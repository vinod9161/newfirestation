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d.docs.live.net/6FE057CDF5F533C7/Documents/"/>
    </mc:Choice>
  </mc:AlternateContent>
  <xr:revisionPtr revIDLastSave="604" documentId="13_ncr:1_{16CCC509-4467-40AE-AB61-E10A3DE87921}" xr6:coauthVersionLast="47" xr6:coauthVersionMax="47" xr10:uidLastSave="{437AD00D-C6D8-4E2B-B8B1-75ACC988BE3E}"/>
  <bookViews>
    <workbookView xWindow="14295" yWindow="0" windowWidth="14610" windowHeight="15585" firstSheet="7" activeTab="7" xr2:uid="{00000000-000D-0000-FFFF-FFFF00000000}"/>
  </bookViews>
  <sheets>
    <sheet name="Sheet1" sheetId="9" r:id="rId1"/>
    <sheet name="All-Final" sheetId="8" r:id="rId2"/>
    <sheet name="Sheet2" sheetId="19" r:id="rId3"/>
    <sheet name="ALM" sheetId="14" r:id="rId4"/>
    <sheet name="BGR" sheetId="10" r:id="rId5"/>
    <sheet name="CMI" sheetId="7" r:id="rId6"/>
    <sheet name="CPT" sheetId="11" r:id="rId7"/>
    <sheet name="DDN" sheetId="5" r:id="rId8"/>
    <sheet name="HDR" sheetId="1" r:id="rId9"/>
    <sheet name="NTL" sheetId="12" r:id="rId10"/>
    <sheet name="PWL" sheetId="15" r:id="rId11"/>
    <sheet name="PTH" sheetId="16" r:id="rId12"/>
    <sheet name="RPG" sheetId="17" r:id="rId13"/>
    <sheet name="TWL" sheetId="18" r:id="rId14"/>
    <sheet name="UDN" sheetId="4" r:id="rId15"/>
    <sheet name="UKI" sheetId="13" r:id="rId16"/>
    <sheet name="Rescue" sheetId="2" r:id="rId17"/>
    <sheet name="Forest Fire" sheetId="3" r:id="rId18"/>
    <sheet name="Sheet1 (2)" sheetId="6" r:id="rId19"/>
  </sheets>
  <calcPr calcId="191029"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16" l="1"/>
  <c r="H11" i="19"/>
  <c r="F51" i="9"/>
  <c r="J52" i="9"/>
  <c r="J48" i="9"/>
  <c r="F48" i="9"/>
  <c r="J46" i="9"/>
  <c r="J47" i="9"/>
  <c r="J49" i="9"/>
  <c r="J50" i="9"/>
  <c r="J51" i="9"/>
  <c r="J45" i="9"/>
  <c r="F45" i="9"/>
  <c r="F46" i="9"/>
  <c r="F47" i="9"/>
  <c r="F49" i="9"/>
  <c r="F50" i="9"/>
  <c r="N26" i="9"/>
  <c r="N27" i="9"/>
  <c r="N28" i="9"/>
  <c r="N29" i="9"/>
  <c r="N30" i="9"/>
  <c r="N31" i="9"/>
  <c r="N32" i="9"/>
  <c r="N33" i="9"/>
  <c r="N34" i="9"/>
  <c r="N35" i="9"/>
  <c r="N36" i="9"/>
  <c r="N37" i="9"/>
  <c r="L26" i="9"/>
  <c r="L27" i="9"/>
  <c r="L28" i="9"/>
  <c r="L29" i="9"/>
  <c r="L30" i="9"/>
  <c r="L31" i="9"/>
  <c r="L32" i="9"/>
  <c r="L33" i="9"/>
  <c r="L34" i="9"/>
  <c r="L35" i="9"/>
  <c r="L36" i="9"/>
  <c r="L37" i="9"/>
  <c r="L38" i="9"/>
  <c r="R37" i="19"/>
  <c r="AE6" i="19"/>
  <c r="AE7" i="19"/>
  <c r="AE8" i="19"/>
  <c r="AE9" i="19"/>
  <c r="AE10" i="19"/>
  <c r="AE11" i="19"/>
  <c r="AE12" i="19"/>
  <c r="AE13" i="19"/>
  <c r="AE14" i="19"/>
  <c r="AE15" i="19"/>
  <c r="AE16" i="19"/>
  <c r="AE17" i="19"/>
  <c r="AE18" i="19"/>
  <c r="AE19" i="19"/>
  <c r="AE20" i="19"/>
  <c r="AE21" i="19"/>
  <c r="AE22" i="19"/>
  <c r="AE23" i="19"/>
  <c r="AE24" i="19"/>
  <c r="AE25" i="19"/>
  <c r="AE26" i="19"/>
  <c r="AE27" i="19"/>
  <c r="AE28" i="19"/>
  <c r="AE29" i="19"/>
  <c r="AE30" i="19"/>
  <c r="AE31" i="19"/>
  <c r="AE32" i="19"/>
  <c r="AE33" i="19"/>
  <c r="AE34" i="19"/>
  <c r="AE35" i="19"/>
  <c r="AE36" i="19"/>
  <c r="AE37" i="19"/>
  <c r="AE38" i="19"/>
  <c r="AE39" i="19"/>
  <c r="AE40" i="19"/>
  <c r="AE41" i="19"/>
  <c r="AE42" i="19"/>
  <c r="AE43" i="19"/>
  <c r="AE44" i="19"/>
  <c r="AE45" i="19"/>
  <c r="AE46" i="19"/>
  <c r="AE47" i="19"/>
  <c r="AE48" i="19"/>
  <c r="AE49" i="19"/>
  <c r="AE50" i="19"/>
  <c r="AE51" i="19"/>
  <c r="AE52" i="19"/>
  <c r="AE53" i="19"/>
  <c r="S54" i="19"/>
  <c r="U54" i="19"/>
  <c r="W54" i="19"/>
  <c r="Y54" i="19"/>
  <c r="AA54" i="19"/>
  <c r="AC54" i="19"/>
  <c r="I54" i="19"/>
  <c r="K54" i="19"/>
  <c r="M54" i="19"/>
  <c r="O54" i="19"/>
  <c r="Q54" i="19"/>
  <c r="F6" i="19"/>
  <c r="F7" i="19"/>
  <c r="F8" i="19"/>
  <c r="F9" i="19"/>
  <c r="F10" i="19"/>
  <c r="F11" i="19"/>
  <c r="F12" i="19"/>
  <c r="F13" i="19"/>
  <c r="F14" i="19"/>
  <c r="F15" i="19"/>
  <c r="F16" i="19"/>
  <c r="F17" i="19"/>
  <c r="F18" i="19"/>
  <c r="F19" i="19"/>
  <c r="F20" i="19"/>
  <c r="F21" i="19"/>
  <c r="F22" i="19"/>
  <c r="F23" i="19"/>
  <c r="F24" i="19"/>
  <c r="F25" i="19"/>
  <c r="F26" i="19"/>
  <c r="F27" i="19"/>
  <c r="F28" i="19"/>
  <c r="F29" i="19"/>
  <c r="F30" i="19"/>
  <c r="F31" i="19"/>
  <c r="F32" i="19"/>
  <c r="F33" i="19"/>
  <c r="F34" i="19"/>
  <c r="F35" i="19"/>
  <c r="F36" i="19"/>
  <c r="F37" i="19"/>
  <c r="F38" i="19"/>
  <c r="F39" i="19"/>
  <c r="F40" i="19"/>
  <c r="F41" i="19"/>
  <c r="F42" i="19"/>
  <c r="F43" i="19"/>
  <c r="F44" i="19"/>
  <c r="F45" i="19"/>
  <c r="F46" i="19"/>
  <c r="F47" i="19"/>
  <c r="F48" i="19"/>
  <c r="F49" i="19"/>
  <c r="F50" i="19"/>
  <c r="F51" i="19"/>
  <c r="F52" i="19"/>
  <c r="F53" i="19"/>
  <c r="AB6" i="19"/>
  <c r="AB7" i="19"/>
  <c r="AB8" i="19"/>
  <c r="AB9" i="19"/>
  <c r="AB10" i="19"/>
  <c r="AB11" i="19"/>
  <c r="AB12" i="19"/>
  <c r="AB13" i="19"/>
  <c r="AB14" i="19"/>
  <c r="AB15" i="19"/>
  <c r="AB16" i="19"/>
  <c r="AB17" i="19"/>
  <c r="AB18" i="19"/>
  <c r="AB19" i="19"/>
  <c r="AB20" i="19"/>
  <c r="AB21" i="19"/>
  <c r="AB22" i="19"/>
  <c r="AB23" i="19"/>
  <c r="AB24" i="19"/>
  <c r="AB25" i="19"/>
  <c r="AB26" i="19"/>
  <c r="AB27" i="19"/>
  <c r="AB28" i="19"/>
  <c r="AB29" i="19"/>
  <c r="AB30" i="19"/>
  <c r="AB31" i="19"/>
  <c r="AB32" i="19"/>
  <c r="AB33" i="19"/>
  <c r="AB34" i="19"/>
  <c r="AB35" i="19"/>
  <c r="AB36" i="19"/>
  <c r="AB37" i="19"/>
  <c r="AB38" i="19"/>
  <c r="AB39" i="19"/>
  <c r="AB40" i="19"/>
  <c r="AB41" i="19"/>
  <c r="AB42" i="19"/>
  <c r="AB43" i="19"/>
  <c r="AB44" i="19"/>
  <c r="AB45" i="19"/>
  <c r="AB46" i="19"/>
  <c r="AB47" i="19"/>
  <c r="AB48" i="19"/>
  <c r="AB49" i="19"/>
  <c r="AB50" i="19"/>
  <c r="AB51" i="19"/>
  <c r="AB52" i="19"/>
  <c r="AB53" i="19"/>
  <c r="Z6" i="19"/>
  <c r="Z7" i="19"/>
  <c r="Z8" i="19"/>
  <c r="Z9" i="19"/>
  <c r="Z10" i="19"/>
  <c r="Z11" i="19"/>
  <c r="Z12" i="19"/>
  <c r="Z13" i="19"/>
  <c r="Z14" i="19"/>
  <c r="Z15" i="19"/>
  <c r="Z16" i="19"/>
  <c r="Z17" i="19"/>
  <c r="Z18" i="19"/>
  <c r="Z19" i="19"/>
  <c r="Z20" i="19"/>
  <c r="Z21" i="19"/>
  <c r="Z22" i="19"/>
  <c r="Z23" i="19"/>
  <c r="Z24" i="19"/>
  <c r="Z25" i="19"/>
  <c r="Z26" i="19"/>
  <c r="Z27" i="19"/>
  <c r="Z28" i="19"/>
  <c r="Z29" i="19"/>
  <c r="Z30" i="19"/>
  <c r="Z31" i="19"/>
  <c r="Z32" i="19"/>
  <c r="Z33" i="19"/>
  <c r="Z34" i="19"/>
  <c r="Z35" i="19"/>
  <c r="Z36" i="19"/>
  <c r="Z37" i="19"/>
  <c r="Z38" i="19"/>
  <c r="Z39" i="19"/>
  <c r="Z40" i="19"/>
  <c r="Z41" i="19"/>
  <c r="Z42" i="19"/>
  <c r="Z43" i="19"/>
  <c r="Z44" i="19"/>
  <c r="Z45" i="19"/>
  <c r="Z46" i="19"/>
  <c r="Z47" i="19"/>
  <c r="Z48" i="19"/>
  <c r="Z49" i="19"/>
  <c r="Z50" i="19"/>
  <c r="Z51" i="19"/>
  <c r="Z52" i="19"/>
  <c r="Z53" i="19"/>
  <c r="X6" i="19"/>
  <c r="X7" i="19"/>
  <c r="X8" i="19"/>
  <c r="X9" i="19"/>
  <c r="X10" i="19"/>
  <c r="X11" i="19"/>
  <c r="X12" i="19"/>
  <c r="X13" i="19"/>
  <c r="X14" i="19"/>
  <c r="X15" i="19"/>
  <c r="X16" i="19"/>
  <c r="X17" i="19"/>
  <c r="X18" i="19"/>
  <c r="X19" i="19"/>
  <c r="X20" i="19"/>
  <c r="X21" i="19"/>
  <c r="X22" i="19"/>
  <c r="X23" i="19"/>
  <c r="X24" i="19"/>
  <c r="X25" i="19"/>
  <c r="X26" i="19"/>
  <c r="X27" i="19"/>
  <c r="X28" i="19"/>
  <c r="X29" i="19"/>
  <c r="X30" i="19"/>
  <c r="X31" i="19"/>
  <c r="X32" i="19"/>
  <c r="X33" i="19"/>
  <c r="X34" i="19"/>
  <c r="X35" i="19"/>
  <c r="X36" i="19"/>
  <c r="X37" i="19"/>
  <c r="X38" i="19"/>
  <c r="X39" i="19"/>
  <c r="X40" i="19"/>
  <c r="X41" i="19"/>
  <c r="X42" i="19"/>
  <c r="X43" i="19"/>
  <c r="X44" i="19"/>
  <c r="X45" i="19"/>
  <c r="X46" i="19"/>
  <c r="X47" i="19"/>
  <c r="X48" i="19"/>
  <c r="X49" i="19"/>
  <c r="X50" i="19"/>
  <c r="X51" i="19"/>
  <c r="X52" i="19"/>
  <c r="X53" i="19"/>
  <c r="V6" i="19"/>
  <c r="V7" i="19"/>
  <c r="V8" i="19"/>
  <c r="V9" i="19"/>
  <c r="V10" i="19"/>
  <c r="V11" i="19"/>
  <c r="V12" i="19"/>
  <c r="V13" i="19"/>
  <c r="V14" i="19"/>
  <c r="V15" i="19"/>
  <c r="V16" i="19"/>
  <c r="V17" i="19"/>
  <c r="V18" i="19"/>
  <c r="V19" i="19"/>
  <c r="V20" i="19"/>
  <c r="V21" i="19"/>
  <c r="V22" i="19"/>
  <c r="V23" i="19"/>
  <c r="V24" i="19"/>
  <c r="V25" i="19"/>
  <c r="V26" i="19"/>
  <c r="V27" i="19"/>
  <c r="V28" i="19"/>
  <c r="V29" i="19"/>
  <c r="V30" i="19"/>
  <c r="V31" i="19"/>
  <c r="V32" i="19"/>
  <c r="V33" i="19"/>
  <c r="V34" i="19"/>
  <c r="V35" i="19"/>
  <c r="V36" i="19"/>
  <c r="V37" i="19"/>
  <c r="V38" i="19"/>
  <c r="V39" i="19"/>
  <c r="V40" i="19"/>
  <c r="V41" i="19"/>
  <c r="V42" i="19"/>
  <c r="V43" i="19"/>
  <c r="V44" i="19"/>
  <c r="V45" i="19"/>
  <c r="V46" i="19"/>
  <c r="V47" i="19"/>
  <c r="V48" i="19"/>
  <c r="V49" i="19"/>
  <c r="V50" i="19"/>
  <c r="V51" i="19"/>
  <c r="V52" i="19"/>
  <c r="V53" i="19"/>
  <c r="T6" i="19"/>
  <c r="T7" i="19"/>
  <c r="T8" i="19"/>
  <c r="T9" i="19"/>
  <c r="T10" i="19"/>
  <c r="T11" i="19"/>
  <c r="T12" i="19"/>
  <c r="T13" i="19"/>
  <c r="T14" i="19"/>
  <c r="T15" i="19"/>
  <c r="T16" i="19"/>
  <c r="T17" i="19"/>
  <c r="T18" i="19"/>
  <c r="T19" i="19"/>
  <c r="T20" i="19"/>
  <c r="T21" i="19"/>
  <c r="T22" i="19"/>
  <c r="T23" i="19"/>
  <c r="T24" i="19"/>
  <c r="T25" i="19"/>
  <c r="T26" i="19"/>
  <c r="T27" i="19"/>
  <c r="T28" i="19"/>
  <c r="T29" i="19"/>
  <c r="T30" i="19"/>
  <c r="T31" i="19"/>
  <c r="T32" i="19"/>
  <c r="T33" i="19"/>
  <c r="T34" i="19"/>
  <c r="T35" i="19"/>
  <c r="T36" i="19"/>
  <c r="T37" i="19"/>
  <c r="T38" i="19"/>
  <c r="T39" i="19"/>
  <c r="T40" i="19"/>
  <c r="T41" i="19"/>
  <c r="T42" i="19"/>
  <c r="T43" i="19"/>
  <c r="T44" i="19"/>
  <c r="T45" i="19"/>
  <c r="T46" i="19"/>
  <c r="T47" i="19"/>
  <c r="T48" i="19"/>
  <c r="T49" i="19"/>
  <c r="T50" i="19"/>
  <c r="T51" i="19"/>
  <c r="T52" i="19"/>
  <c r="T53" i="19"/>
  <c r="R6" i="19"/>
  <c r="R7" i="19"/>
  <c r="R8" i="19"/>
  <c r="R9" i="19"/>
  <c r="R10" i="19"/>
  <c r="R11" i="19"/>
  <c r="R12" i="19"/>
  <c r="R13" i="19"/>
  <c r="R14" i="19"/>
  <c r="R15" i="19"/>
  <c r="R16" i="19"/>
  <c r="R17" i="19"/>
  <c r="R18" i="19"/>
  <c r="R19" i="19"/>
  <c r="R20" i="19"/>
  <c r="R21" i="19"/>
  <c r="R22" i="19"/>
  <c r="R23" i="19"/>
  <c r="R24" i="19"/>
  <c r="R25" i="19"/>
  <c r="R26" i="19"/>
  <c r="R27" i="19"/>
  <c r="R28" i="19"/>
  <c r="R29" i="19"/>
  <c r="R30" i="19"/>
  <c r="R31" i="19"/>
  <c r="R32" i="19"/>
  <c r="R33" i="19"/>
  <c r="R34" i="19"/>
  <c r="R35" i="19"/>
  <c r="R36" i="19"/>
  <c r="R38" i="19"/>
  <c r="R39" i="19"/>
  <c r="R40" i="19"/>
  <c r="R41" i="19"/>
  <c r="R42" i="19"/>
  <c r="R43" i="19"/>
  <c r="R44" i="19"/>
  <c r="R45" i="19"/>
  <c r="R46" i="19"/>
  <c r="R47" i="19"/>
  <c r="R48" i="19"/>
  <c r="R49" i="19"/>
  <c r="R50" i="19"/>
  <c r="R51" i="19"/>
  <c r="R52" i="19"/>
  <c r="R53" i="19"/>
  <c r="P6" i="19"/>
  <c r="P7" i="19"/>
  <c r="P8" i="19"/>
  <c r="P9" i="19"/>
  <c r="P10" i="19"/>
  <c r="P11" i="19"/>
  <c r="P12" i="19"/>
  <c r="P13" i="19"/>
  <c r="P14" i="19"/>
  <c r="P15" i="19"/>
  <c r="P16" i="19"/>
  <c r="P17" i="19"/>
  <c r="P18" i="19"/>
  <c r="P19" i="19"/>
  <c r="P20" i="19"/>
  <c r="P21" i="19"/>
  <c r="P22" i="19"/>
  <c r="P23" i="19"/>
  <c r="P24" i="19"/>
  <c r="P25" i="19"/>
  <c r="P26" i="19"/>
  <c r="P27" i="19"/>
  <c r="P28" i="19"/>
  <c r="P29" i="19"/>
  <c r="P30" i="19"/>
  <c r="P31" i="19"/>
  <c r="P32" i="19"/>
  <c r="P33" i="19"/>
  <c r="P34" i="19"/>
  <c r="P35" i="19"/>
  <c r="P36" i="19"/>
  <c r="P37" i="19"/>
  <c r="P38" i="19"/>
  <c r="P39" i="19"/>
  <c r="P40" i="19"/>
  <c r="P41" i="19"/>
  <c r="P42" i="19"/>
  <c r="P43" i="19"/>
  <c r="P44" i="19"/>
  <c r="P45" i="19"/>
  <c r="P46" i="19"/>
  <c r="P47" i="19"/>
  <c r="P48" i="19"/>
  <c r="P49" i="19"/>
  <c r="P50" i="19"/>
  <c r="P51" i="19"/>
  <c r="P52" i="19"/>
  <c r="P53" i="19"/>
  <c r="N6" i="19"/>
  <c r="N7" i="19"/>
  <c r="N8" i="19"/>
  <c r="N9" i="19"/>
  <c r="N10" i="19"/>
  <c r="N11" i="19"/>
  <c r="N12" i="19"/>
  <c r="N13" i="19"/>
  <c r="N14" i="19"/>
  <c r="N15" i="19"/>
  <c r="N16" i="19"/>
  <c r="N17" i="19"/>
  <c r="N18" i="19"/>
  <c r="N19" i="19"/>
  <c r="N20" i="19"/>
  <c r="N21" i="19"/>
  <c r="N22" i="19"/>
  <c r="N23" i="19"/>
  <c r="N24" i="19"/>
  <c r="N25" i="19"/>
  <c r="N26" i="19"/>
  <c r="N27" i="19"/>
  <c r="N28" i="19"/>
  <c r="N29" i="19"/>
  <c r="N30" i="19"/>
  <c r="N31" i="19"/>
  <c r="N32" i="19"/>
  <c r="N33" i="19"/>
  <c r="N34" i="19"/>
  <c r="N35" i="19"/>
  <c r="N36" i="19"/>
  <c r="N37" i="19"/>
  <c r="N38" i="19"/>
  <c r="N39" i="19"/>
  <c r="N40" i="19"/>
  <c r="N41" i="19"/>
  <c r="N42" i="19"/>
  <c r="N43" i="19"/>
  <c r="N44" i="19"/>
  <c r="N45" i="19"/>
  <c r="N46" i="19"/>
  <c r="N47" i="19"/>
  <c r="N48" i="19"/>
  <c r="N49" i="19"/>
  <c r="N50" i="19"/>
  <c r="N51" i="19"/>
  <c r="N52" i="19"/>
  <c r="N53" i="19"/>
  <c r="L6" i="19"/>
  <c r="L7" i="19"/>
  <c r="L8" i="19"/>
  <c r="L9" i="19"/>
  <c r="L10" i="19"/>
  <c r="L11" i="19"/>
  <c r="L12" i="19"/>
  <c r="L13" i="19"/>
  <c r="L14" i="19"/>
  <c r="L15" i="19"/>
  <c r="L16" i="19"/>
  <c r="L17" i="19"/>
  <c r="L18" i="19"/>
  <c r="L19" i="19"/>
  <c r="L20" i="19"/>
  <c r="L21" i="19"/>
  <c r="L22" i="19"/>
  <c r="L23" i="19"/>
  <c r="L24" i="19"/>
  <c r="L25" i="19"/>
  <c r="L26" i="19"/>
  <c r="L27" i="19"/>
  <c r="L28" i="19"/>
  <c r="L29" i="19"/>
  <c r="L30" i="19"/>
  <c r="L31" i="19"/>
  <c r="L32" i="19"/>
  <c r="L33" i="19"/>
  <c r="L34" i="19"/>
  <c r="L35" i="19"/>
  <c r="L36" i="19"/>
  <c r="L37" i="19"/>
  <c r="L38" i="19"/>
  <c r="L39" i="19"/>
  <c r="L40" i="19"/>
  <c r="L41" i="19"/>
  <c r="L42" i="19"/>
  <c r="L43" i="19"/>
  <c r="L44" i="19"/>
  <c r="L45" i="19"/>
  <c r="L46" i="19"/>
  <c r="L47" i="19"/>
  <c r="L48" i="19"/>
  <c r="L49" i="19"/>
  <c r="L50" i="19"/>
  <c r="L51" i="19"/>
  <c r="L52" i="19"/>
  <c r="L53" i="19"/>
  <c r="J6" i="19"/>
  <c r="J7" i="19"/>
  <c r="J8" i="19"/>
  <c r="J9" i="19"/>
  <c r="J10" i="19"/>
  <c r="J11" i="19"/>
  <c r="J12" i="19"/>
  <c r="J13" i="19"/>
  <c r="J14" i="19"/>
  <c r="J15" i="19"/>
  <c r="J16" i="19"/>
  <c r="J17" i="19"/>
  <c r="J18" i="19"/>
  <c r="J19" i="19"/>
  <c r="J20" i="19"/>
  <c r="J21" i="19"/>
  <c r="J22" i="19"/>
  <c r="J23" i="19"/>
  <c r="J24" i="19"/>
  <c r="J25" i="19"/>
  <c r="J26" i="19"/>
  <c r="J27" i="19"/>
  <c r="J28" i="19"/>
  <c r="J29" i="19"/>
  <c r="J30" i="19"/>
  <c r="J31" i="19"/>
  <c r="J32" i="19"/>
  <c r="J33" i="19"/>
  <c r="J34" i="19"/>
  <c r="J35" i="19"/>
  <c r="J36" i="19"/>
  <c r="J37" i="19"/>
  <c r="J38" i="19"/>
  <c r="J39" i="19"/>
  <c r="J40" i="19"/>
  <c r="J41" i="19"/>
  <c r="J42" i="19"/>
  <c r="J43" i="19"/>
  <c r="J44" i="19"/>
  <c r="J45" i="19"/>
  <c r="J46" i="19"/>
  <c r="J47" i="19"/>
  <c r="J48" i="19"/>
  <c r="J49" i="19"/>
  <c r="J50" i="19"/>
  <c r="J51" i="19"/>
  <c r="J52" i="19"/>
  <c r="J53" i="19"/>
  <c r="H6" i="19"/>
  <c r="H7" i="19"/>
  <c r="H8" i="19"/>
  <c r="H9" i="19"/>
  <c r="H10" i="19"/>
  <c r="H12" i="19"/>
  <c r="H13" i="19"/>
  <c r="H14" i="19"/>
  <c r="H15" i="19"/>
  <c r="H16" i="19"/>
  <c r="H17" i="19"/>
  <c r="H18" i="19"/>
  <c r="H19" i="19"/>
  <c r="H20" i="19"/>
  <c r="H21" i="19"/>
  <c r="H22" i="19"/>
  <c r="H23" i="19"/>
  <c r="H24" i="19"/>
  <c r="H25" i="19"/>
  <c r="H26" i="19"/>
  <c r="H27" i="19"/>
  <c r="H28" i="19"/>
  <c r="H29" i="19"/>
  <c r="H30" i="19"/>
  <c r="H31" i="19"/>
  <c r="H32" i="19"/>
  <c r="H33" i="19"/>
  <c r="H34" i="19"/>
  <c r="H35" i="19"/>
  <c r="H36" i="19"/>
  <c r="H37" i="19"/>
  <c r="H38" i="19"/>
  <c r="H39" i="19"/>
  <c r="H40" i="19"/>
  <c r="H41" i="19"/>
  <c r="H42" i="19"/>
  <c r="H43" i="19"/>
  <c r="H44" i="19"/>
  <c r="H45" i="19"/>
  <c r="H46" i="19"/>
  <c r="H47" i="19"/>
  <c r="H48" i="19"/>
  <c r="H49" i="19"/>
  <c r="H50" i="19"/>
  <c r="H51" i="19"/>
  <c r="H52" i="19"/>
  <c r="H53" i="19"/>
  <c r="AB5" i="19"/>
  <c r="Z5" i="19"/>
  <c r="X5" i="19"/>
  <c r="V5" i="19"/>
  <c r="T5" i="19"/>
  <c r="R5" i="19"/>
  <c r="P5" i="19"/>
  <c r="N5" i="19"/>
  <c r="L5" i="19"/>
  <c r="J5" i="19"/>
  <c r="F5" i="19"/>
  <c r="H5" i="19"/>
  <c r="AE5" i="19"/>
  <c r="G54" i="19"/>
  <c r="N39" i="9" l="1"/>
  <c r="S36" i="9" s="1"/>
  <c r="F53" i="9"/>
  <c r="G49" i="9" s="1"/>
  <c r="J53" i="9"/>
  <c r="K47" i="9" s="1"/>
  <c r="AD37" i="19"/>
  <c r="AD30" i="19"/>
  <c r="AD6" i="19"/>
  <c r="AD42" i="19"/>
  <c r="AD14" i="19"/>
  <c r="AD39" i="19"/>
  <c r="AD49" i="19"/>
  <c r="AD47" i="19"/>
  <c r="AD9" i="19"/>
  <c r="AD38" i="19"/>
  <c r="AD10" i="19"/>
  <c r="AD7" i="19"/>
  <c r="AD8" i="19"/>
  <c r="AD20" i="19"/>
  <c r="AD16" i="19"/>
  <c r="AD11" i="19"/>
  <c r="AD18" i="19"/>
  <c r="AD22" i="19"/>
  <c r="AD26" i="19"/>
  <c r="AD25" i="19"/>
  <c r="AD23" i="19"/>
  <c r="AD31" i="19"/>
  <c r="AD50" i="19"/>
  <c r="AD44" i="19"/>
  <c r="N54" i="19"/>
  <c r="R54" i="19"/>
  <c r="T54" i="19"/>
  <c r="P54" i="19"/>
  <c r="H54" i="19"/>
  <c r="V54" i="19"/>
  <c r="X54" i="19"/>
  <c r="J54" i="19"/>
  <c r="Z54" i="19"/>
  <c r="L54" i="19"/>
  <c r="AB54" i="19"/>
  <c r="AD33" i="19"/>
  <c r="AD53" i="19"/>
  <c r="AD45" i="19"/>
  <c r="AD29" i="19"/>
  <c r="AD21" i="19"/>
  <c r="AD13" i="19"/>
  <c r="AD36" i="19"/>
  <c r="AD41" i="19"/>
  <c r="AD46" i="19"/>
  <c r="AD17" i="19"/>
  <c r="AD52" i="19"/>
  <c r="AD51" i="19"/>
  <c r="AD43" i="19"/>
  <c r="AD35" i="19"/>
  <c r="AD27" i="19"/>
  <c r="AD19" i="19"/>
  <c r="AD48" i="19"/>
  <c r="AD40" i="19"/>
  <c r="AD32" i="19"/>
  <c r="AD24" i="19"/>
  <c r="AD34" i="19"/>
  <c r="AD28" i="19"/>
  <c r="AD15" i="19"/>
  <c r="AD12" i="19"/>
  <c r="AD5" i="19"/>
  <c r="F54" i="19"/>
  <c r="G45" i="9" l="1"/>
  <c r="G48" i="9"/>
  <c r="G46" i="9"/>
  <c r="G50" i="9"/>
  <c r="G51" i="9"/>
  <c r="G47" i="9"/>
  <c r="K45" i="9"/>
  <c r="K48" i="9"/>
  <c r="K49" i="9"/>
  <c r="K50" i="9"/>
  <c r="K51" i="9"/>
  <c r="K52" i="9"/>
  <c r="K46" i="9"/>
  <c r="AD54" i="19"/>
  <c r="AE54" i="19"/>
  <c r="H26" i="9"/>
  <c r="H27" i="9"/>
  <c r="H28" i="9"/>
  <c r="H29" i="9"/>
  <c r="H30" i="9"/>
  <c r="H31" i="9"/>
  <c r="H32" i="9"/>
  <c r="H33" i="9"/>
  <c r="H34" i="9"/>
  <c r="H35" i="9"/>
  <c r="H36" i="9"/>
  <c r="H37" i="9"/>
  <c r="H38" i="9"/>
  <c r="G26" i="9"/>
  <c r="M27" i="9"/>
  <c r="M28" i="9"/>
  <c r="M29" i="9"/>
  <c r="M30" i="9"/>
  <c r="M31" i="9"/>
  <c r="M32" i="9"/>
  <c r="M33" i="9"/>
  <c r="M34" i="9"/>
  <c r="M35" i="9"/>
  <c r="M36" i="9"/>
  <c r="M37" i="9"/>
  <c r="M38" i="9"/>
  <c r="M26" i="9"/>
  <c r="F27" i="9"/>
  <c r="I26" i="9"/>
  <c r="I27" i="9"/>
  <c r="I28" i="9"/>
  <c r="I29" i="9"/>
  <c r="I30" i="9"/>
  <c r="I31" i="9"/>
  <c r="I32" i="9"/>
  <c r="I33" i="9"/>
  <c r="I34" i="9"/>
  <c r="I35" i="9"/>
  <c r="I36" i="9"/>
  <c r="I37" i="9"/>
  <c r="I38" i="9"/>
  <c r="E26" i="9"/>
  <c r="E27" i="9"/>
  <c r="E28" i="9"/>
  <c r="E29" i="9"/>
  <c r="E30" i="9"/>
  <c r="E31" i="9"/>
  <c r="E32" i="9"/>
  <c r="E33" i="9"/>
  <c r="E34" i="9"/>
  <c r="E35" i="9"/>
  <c r="E36" i="9"/>
  <c r="E37" i="9"/>
  <c r="E38" i="9"/>
  <c r="D26" i="9"/>
  <c r="D27" i="9"/>
  <c r="G27" i="9"/>
  <c r="J27" i="9"/>
  <c r="K27" i="9"/>
  <c r="D28" i="9"/>
  <c r="F28" i="9"/>
  <c r="G28" i="9"/>
  <c r="J28" i="9"/>
  <c r="K28" i="9"/>
  <c r="D29" i="9"/>
  <c r="F29" i="9"/>
  <c r="G29" i="9"/>
  <c r="J29" i="9"/>
  <c r="K29" i="9"/>
  <c r="D30" i="9"/>
  <c r="F30" i="9"/>
  <c r="G30" i="9"/>
  <c r="J30" i="9"/>
  <c r="K30" i="9"/>
  <c r="D31" i="9"/>
  <c r="F31" i="9"/>
  <c r="G31" i="9"/>
  <c r="J31" i="9"/>
  <c r="K31" i="9"/>
  <c r="D32" i="9"/>
  <c r="F32" i="9"/>
  <c r="G32" i="9"/>
  <c r="J32" i="9"/>
  <c r="K32" i="9"/>
  <c r="D33" i="9"/>
  <c r="F33" i="9"/>
  <c r="G33" i="9"/>
  <c r="J33" i="9"/>
  <c r="K33" i="9"/>
  <c r="D34" i="9"/>
  <c r="F34" i="9"/>
  <c r="G34" i="9"/>
  <c r="J34" i="9"/>
  <c r="K34" i="9"/>
  <c r="D35" i="9"/>
  <c r="F35" i="9"/>
  <c r="G35" i="9"/>
  <c r="J35" i="9"/>
  <c r="K35" i="9"/>
  <c r="D36" i="9"/>
  <c r="F36" i="9"/>
  <c r="G36" i="9"/>
  <c r="J36" i="9"/>
  <c r="K36" i="9"/>
  <c r="D37" i="9"/>
  <c r="F37" i="9"/>
  <c r="G37" i="9"/>
  <c r="J37" i="9"/>
  <c r="K37" i="9"/>
  <c r="D38" i="9"/>
  <c r="F38" i="9"/>
  <c r="G38" i="9"/>
  <c r="J38" i="9"/>
  <c r="K38" i="9"/>
  <c r="K26" i="9"/>
  <c r="J26" i="9"/>
  <c r="F26" i="9"/>
  <c r="G448" i="6" a="1"/>
  <c r="G448" i="6" s="1"/>
  <c r="H39" i="9" l="1"/>
  <c r="S30" i="9" s="1"/>
  <c r="O38" i="9"/>
  <c r="O34" i="9"/>
  <c r="O30" i="9"/>
  <c r="O31" i="9"/>
  <c r="O27" i="9"/>
  <c r="O26" i="9"/>
  <c r="O35" i="9"/>
  <c r="O36" i="9"/>
  <c r="O32" i="9"/>
  <c r="O28" i="9"/>
  <c r="M39" i="9"/>
  <c r="S35" i="9" s="1"/>
  <c r="O33" i="9"/>
  <c r="O29" i="9"/>
  <c r="O37" i="9"/>
  <c r="I39" i="9"/>
  <c r="S31" i="9" s="1"/>
  <c r="E39" i="9"/>
  <c r="S27" i="9" s="1"/>
  <c r="F39" i="9"/>
  <c r="S28" i="9" s="1"/>
  <c r="D39" i="9"/>
  <c r="S26" i="9" s="1"/>
  <c r="G39" i="9" l="1"/>
  <c r="S29" i="9" s="1"/>
  <c r="J39" i="9" l="1"/>
  <c r="S32" i="9" s="1"/>
  <c r="K39" i="9" l="1"/>
  <c r="S33" i="9" s="1"/>
  <c r="L39" i="9" l="1"/>
  <c r="S34" i="9" s="1"/>
  <c r="O39" i="9"/>
  <c r="K672" i="5"/>
  <c r="K672" i="5"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<sst xmlns="http://schemas.openxmlformats.org/spreadsheetml/2006/main" count="39432" uniqueCount="6307">
  <si>
    <t>tuin</t>
  </si>
  <si>
    <t>vfXudk.M dk fnukad</t>
  </si>
  <si>
    <t>le;</t>
  </si>
  <si>
    <t>?kVukLFky dk la{ksIr fooj.k</t>
  </si>
  <si>
    <t>vfXudk.M dk dkj.k</t>
  </si>
  <si>
    <t>vfXudk.M dk dkj.k ¼vkx fdl oLrq esa yxh gS½</t>
  </si>
  <si>
    <t>vuqekfur {kfr lEifr ¼Qk;j fjiksVZ ds vk/kkj ij½</t>
  </si>
  <si>
    <t>vuqekfur cpk;h xbZ lEifr</t>
  </si>
  <si>
    <t>tho ejs</t>
  </si>
  <si>
    <t>tho ?kk;y</t>
  </si>
  <si>
    <t>tho cps</t>
  </si>
  <si>
    <t>euq0</t>
  </si>
  <si>
    <t>i'kq</t>
  </si>
  <si>
    <t>gfj}kj</t>
  </si>
  <si>
    <t>&amp;</t>
  </si>
  <si>
    <t>_</t>
  </si>
  <si>
    <t>78,50,000/-</t>
  </si>
  <si>
    <t>45,80,000/-</t>
  </si>
  <si>
    <t>15]000@&amp;</t>
  </si>
  <si>
    <t>;ksx</t>
  </si>
  <si>
    <t>-</t>
  </si>
  <si>
    <t>:M+dh</t>
  </si>
  <si>
    <t>5]000@&amp;</t>
  </si>
  <si>
    <t>NIL</t>
  </si>
  <si>
    <t>10]000@&amp;</t>
  </si>
  <si>
    <t>vKkr</t>
  </si>
  <si>
    <t>45]000@&amp;</t>
  </si>
  <si>
    <t>yDlj</t>
  </si>
  <si>
    <t>20,000/=</t>
  </si>
  <si>
    <t>flMdqy</t>
  </si>
  <si>
    <t>2,06,800/-</t>
  </si>
  <si>
    <t>7,93,200/-</t>
  </si>
  <si>
    <t xml:space="preserve">     80,000/-</t>
  </si>
  <si>
    <t>4,20,000/-</t>
  </si>
  <si>
    <t>2000/-</t>
  </si>
  <si>
    <t>48,000/-</t>
  </si>
  <si>
    <t>Hkxokuiqj</t>
  </si>
  <si>
    <t>14%43</t>
  </si>
  <si>
    <t>15%10</t>
  </si>
  <si>
    <t>15%23</t>
  </si>
  <si>
    <t>ykijokgh</t>
  </si>
  <si>
    <t>Ø-l-</t>
  </si>
  <si>
    <t>Qk;j LVs'ku dk uke ¼ftl Qk;j LVs'ku {ks=kUrkZxr vfXudk.M gqvk gks½</t>
  </si>
  <si>
    <t>1-</t>
  </si>
  <si>
    <t>2-</t>
  </si>
  <si>
    <t>3-</t>
  </si>
  <si>
    <t>4-</t>
  </si>
  <si>
    <t>5-</t>
  </si>
  <si>
    <t>6-</t>
  </si>
  <si>
    <t>7-</t>
  </si>
  <si>
    <t>8-</t>
  </si>
  <si>
    <t>9-</t>
  </si>
  <si>
    <t>10-</t>
  </si>
  <si>
    <t>11-</t>
  </si>
  <si>
    <t>12-</t>
  </si>
  <si>
    <t>13-</t>
  </si>
  <si>
    <t>14-</t>
  </si>
  <si>
    <t>ek;kiqj</t>
  </si>
  <si>
    <t>19%07</t>
  </si>
  <si>
    <t>lEHkor% tyrh chM+h flxjsV Qsdus ds dkj.kA vkx jktkth us”kuy ikdZ eksrhpwj] ds taxy esa yxh FkhA</t>
  </si>
  <si>
    <t>14]90]000@&amp;</t>
  </si>
  <si>
    <t>'kwU;</t>
  </si>
  <si>
    <t>11%31</t>
  </si>
  <si>
    <t>lEHkor% lM+d ij pyrs jkgxhj }kj tyrh chM+h flxjsV Qsdus ds dkj.kA vkx jktkth us”kuy ikdZ eksrhpwj] LVs”ku chV&amp;1] eulk efUnj jksM ds fdukjs taxy esa yxh FkhA</t>
  </si>
  <si>
    <t>15]35]000@&amp;</t>
  </si>
  <si>
    <t>Qk;j LVs'ku</t>
  </si>
  <si>
    <t>?kVuk dk fnukad</t>
  </si>
  <si>
    <t>vfHk;ku</t>
  </si>
  <si>
    <t>vkink</t>
  </si>
  <si>
    <t>lM+d</t>
  </si>
  <si>
    <t>jkgr cpko</t>
  </si>
  <si>
    <t>dksrokyh uxj] gfj}kj ds ifjlj esa isM+ dk Vguk fxjk gqvk Fkk ftls Qk;j lfoZl jsLD;w Vhe }kjk Vguk dks oqM dVj dh lgk;rk ls dkVdj ifjlj dk [kkyh fd;k x;k</t>
  </si>
  <si>
    <t>ch-,p-bZ-,y- lsDVj&amp;04 gfj}kj esa lM+d ij ,d isM+ fxjk gqvk Fkk ftls Qk;j lfoZl jsLD;w Vhe }kjk rqjUr oqM dVj dh lgk;rk ls isM+ dks iw.kZ :I ls dkVdj ;krk;kr dks lqpk: :Ik ls pkyw fd;k x;kA</t>
  </si>
  <si>
    <r>
      <t>osn fudsru/kke] fudV&amp;lw[kh unh] HkhexkSM+k gfj}kj esa lM+d ij ,oa lM+d ds fdukjs [kMh dkj la0&amp;</t>
    </r>
    <r>
      <rPr>
        <sz val="10"/>
        <color theme="1"/>
        <rFont val="Cambria"/>
        <family val="1"/>
      </rPr>
      <t>UK07FH-5700</t>
    </r>
    <r>
      <rPr>
        <sz val="12"/>
        <color theme="1"/>
        <rFont val="Kruti Dev 010"/>
      </rPr>
      <t xml:space="preserve"> ds Åij ,d isM+ fxjk gqvk Fkk ftls Qk;j lfoZl jsLD;w Vhe }kjk rqjUr oqM dVj dh lgk;rk ls isM+ dks iw.kZ :Ik ls dkVdj ckf/kr ;krk;kr dks lqpk: :Ik ls pkyw fd;k x;kA</t>
    </r>
  </si>
  <si>
    <t>dqy tho j{kk iqdkj &amp; 03</t>
  </si>
  <si>
    <t>Nil</t>
  </si>
  <si>
    <t>क्र.</t>
  </si>
  <si>
    <t>जनपद</t>
  </si>
  <si>
    <t>(जिस फायर स्टेशन क्षेत्रार्न्तागत अग्निकाण्ड हुआ हो)</t>
  </si>
  <si>
    <t>अग्निकाण्ड का दिनांक</t>
  </si>
  <si>
    <t>समय</t>
  </si>
  <si>
    <t>घटनास्थल का संक्षेप्त विवरण</t>
  </si>
  <si>
    <t>अग्निकाण्ड का कारण</t>
  </si>
  <si>
    <t>अग्निकाण्ड का कारण (आग किस वस्तु में लगी है)</t>
  </si>
  <si>
    <t>अनुमानित क्षति सम्पति (फायर रिपोर्ट के आधार पर)</t>
  </si>
  <si>
    <t>अनुमानित बचायी गई सम्पति</t>
  </si>
  <si>
    <t>जीव मरे (मनुष्य)</t>
  </si>
  <si>
    <t>जीव घायल (मनुष्य)</t>
  </si>
  <si>
    <t>जीव बचे (मनुष्य)</t>
  </si>
  <si>
    <t>जीव बचे (पशु)</t>
  </si>
  <si>
    <t>जीव घायल (पशु)</t>
  </si>
  <si>
    <t>जीव मरे (पशु)</t>
  </si>
  <si>
    <t xml:space="preserve">     </t>
  </si>
  <si>
    <t>हरिद्वार</t>
  </si>
  <si>
    <t>मायापुर</t>
  </si>
  <si>
    <t>तुलसी अपार्टमेंट, रामदेव पुलिया, कनखल, हरिद्वार।</t>
  </si>
  <si>
    <t xml:space="preserve">विघुत बोर्ड में शार्ट सर्किट होने के कारण </t>
  </si>
  <si>
    <t>आग अपार्टमेंट के बेसमेट में स्थित पार्किगं के विद्युत बोर्ड में लगी थी आग ए श्रेणी की थी।</t>
  </si>
  <si>
    <t>रानीपुर झाला बहादराबाद, हरिद्वार।</t>
  </si>
  <si>
    <t>इलैक्ट्रिक पैनल में शार्ट सर्किट होने के कारण</t>
  </si>
  <si>
    <t>आग महादेव रेस्टोरेन्ट इलैक्ट्रिक पैनल में लगी थी, आग ई0 क्लास की थी।</t>
  </si>
  <si>
    <t>औद्यौगिक क्षेत्र डी-31, हरिद्वार।</t>
  </si>
  <si>
    <t>विघुत शार्ट सर्किट होने के कारण</t>
  </si>
  <si>
    <t>आग लल्लू शिवगोविन्द दास टैन्ट हाउस के गोदाम में कपड़े एवं परदों आदि में लगी थी आग ए क्लास श्रेणी की थी।</t>
  </si>
  <si>
    <t>5000/.</t>
  </si>
  <si>
    <t>सराय भगतनापुर, ज्वालापुर, हरिद्वार।</t>
  </si>
  <si>
    <t xml:space="preserve">सम्भवतः धू्रमपान करने से जलती बीडी सिगरेट फेकने से </t>
  </si>
  <si>
    <t>आग खाली प्लाट में कूड़े के ढ़ेर में  लगी थी। आग ए श्रेणी की थी।</t>
  </si>
  <si>
    <t>पंतद्वीप पार्किगं हरिद्वार।</t>
  </si>
  <si>
    <t xml:space="preserve">जलते दीपक के कारण </t>
  </si>
  <si>
    <t>आग झुगी झोपड़ी एवं उसमें रखे खाली प्लास्टिक बोलतों आदि सामान में लगी थी। आग ए श्रेणी की थी।</t>
  </si>
  <si>
    <t>ग्राम‘-मिस्सपुर लक्सर रोड़ हरिद्वार।</t>
  </si>
  <si>
    <t>राहगीर द्वारा जलती बीडी सिगरेट फेकने के कारण</t>
  </si>
  <si>
    <t>आग मे उपले एवं कूड़े के ढ़ेर में ें लगी थी। आग ए श्रेणी की थी।</t>
  </si>
  <si>
    <t>ब्रहमपुरी मनसादेवी मार्ग, हरिद्वार।</t>
  </si>
  <si>
    <t xml:space="preserve">सम्भवतः जलती बीडी, सिगरेट </t>
  </si>
  <si>
    <t>आग खाली प्लाट में रखे रेडी, लगी थी। आग ए श्रेणी की थी।</t>
  </si>
  <si>
    <t>­   50,000/-</t>
  </si>
  <si>
    <t>17%30</t>
  </si>
  <si>
    <t>04%58</t>
  </si>
  <si>
    <t>21%51</t>
  </si>
  <si>
    <t xml:space="preserve">Nil </t>
  </si>
  <si>
    <t xml:space="preserve">     25,000/-</t>
  </si>
  <si>
    <t>49,75,000/-</t>
  </si>
  <si>
    <t>nqdku esa</t>
  </si>
  <si>
    <t xml:space="preserve">     4,00.000/-</t>
  </si>
  <si>
    <t>86,00,000/-</t>
  </si>
  <si>
    <t>5000/-</t>
  </si>
  <si>
    <t>4.95,000/-</t>
  </si>
  <si>
    <t>16%10</t>
  </si>
  <si>
    <t>13%25</t>
  </si>
  <si>
    <t>VªkalQkeZj esa</t>
  </si>
  <si>
    <t>14%54</t>
  </si>
  <si>
    <t>13%27</t>
  </si>
  <si>
    <t>tkWpk/khu</t>
  </si>
  <si>
    <t>21%22</t>
  </si>
  <si>
    <t>13%47</t>
  </si>
  <si>
    <t>fctyh ds [kEcs esa</t>
  </si>
  <si>
    <t>18%49</t>
  </si>
  <si>
    <t xml:space="preserve">    20,000/</t>
  </si>
  <si>
    <t xml:space="preserve">     30,000/-</t>
  </si>
  <si>
    <t>10,000/-</t>
  </si>
  <si>
    <t>40,000/-</t>
  </si>
  <si>
    <t>70,000/-</t>
  </si>
  <si>
    <t>4,30,000/-</t>
  </si>
  <si>
    <t>1,00,000/-</t>
  </si>
  <si>
    <t>14%50</t>
  </si>
  <si>
    <t>15%25</t>
  </si>
  <si>
    <t>13%10</t>
  </si>
  <si>
    <t>14%37</t>
  </si>
  <si>
    <t>13%49</t>
  </si>
  <si>
    <t>xSl yhdst</t>
  </si>
  <si>
    <t>4,90,000/-</t>
  </si>
  <si>
    <t>20,10,000/-</t>
  </si>
  <si>
    <t>4,80,000/-</t>
  </si>
  <si>
    <t>500/-</t>
  </si>
  <si>
    <t>15,000/-</t>
  </si>
  <si>
    <t>50,000/-</t>
  </si>
  <si>
    <t>2,50,000/-</t>
  </si>
  <si>
    <t>11%33</t>
  </si>
  <si>
    <t>15%28</t>
  </si>
  <si>
    <t>18%43</t>
  </si>
  <si>
    <t>22%51</t>
  </si>
  <si>
    <t>3,50,000/-</t>
  </si>
  <si>
    <t>11,50,000/-</t>
  </si>
  <si>
    <t>14%44</t>
  </si>
  <si>
    <t>23%05</t>
  </si>
  <si>
    <t>15%01</t>
  </si>
  <si>
    <t>18%30</t>
  </si>
  <si>
    <t>21%09</t>
  </si>
  <si>
    <t>00%30</t>
  </si>
  <si>
    <t>20,000/-</t>
  </si>
  <si>
    <t>49,80,000/-</t>
  </si>
  <si>
    <t>49,00,000/-</t>
  </si>
  <si>
    <t>50,00,000/-</t>
  </si>
  <si>
    <t>14%49</t>
  </si>
  <si>
    <t>1,00,00,000/-</t>
  </si>
  <si>
    <t>15,00,000/-</t>
  </si>
  <si>
    <t>8,00,000/-</t>
  </si>
  <si>
    <t>14,99,500/-</t>
  </si>
  <si>
    <t>13%29</t>
  </si>
  <si>
    <t>10%30</t>
  </si>
  <si>
    <t>11%30</t>
  </si>
  <si>
    <t>22%58</t>
  </si>
  <si>
    <t>12%09</t>
  </si>
  <si>
    <t>22%56</t>
  </si>
  <si>
    <t>23%48</t>
  </si>
  <si>
    <t>0206-2024</t>
  </si>
  <si>
    <t>fctyh ds iksy esa</t>
  </si>
  <si>
    <t>5,000/-</t>
  </si>
  <si>
    <t>4,95,000/-</t>
  </si>
  <si>
    <t>&gt;kfM;ksa esa</t>
  </si>
  <si>
    <t>13%14</t>
  </si>
  <si>
    <t>13%57</t>
  </si>
  <si>
    <t>22%19</t>
  </si>
  <si>
    <t>22%50</t>
  </si>
  <si>
    <t>07%17</t>
  </si>
  <si>
    <t>19,50,000/-</t>
  </si>
  <si>
    <t>20000/-</t>
  </si>
  <si>
    <t>22.03.2024</t>
  </si>
  <si>
    <t>निकट भूमनानंद अस्पताल रानीपुर झाल</t>
  </si>
  <si>
    <t>27.03.2024</t>
  </si>
  <si>
    <t>निकट शिव मन्दिर पीठ बाजार कनखल</t>
  </si>
  <si>
    <t>इलैक्ट्रिक शार्ट सर्किट के कारण</t>
  </si>
  <si>
    <t>10000/-</t>
  </si>
  <si>
    <t>40000/-</t>
  </si>
  <si>
    <t>28.03.2024</t>
  </si>
  <si>
    <t>आग घर में बाथरूम के गीजर में लगी थी जोकि ई श्रेणी की आग है।</t>
  </si>
  <si>
    <t>980000/-</t>
  </si>
  <si>
    <t>485000/-</t>
  </si>
  <si>
    <t>465000/-</t>
  </si>
  <si>
    <t>30,000/-</t>
  </si>
  <si>
    <t>49,60,000/-</t>
  </si>
  <si>
    <t xml:space="preserve">     5000/-</t>
  </si>
  <si>
    <t xml:space="preserve">    2,000/-</t>
  </si>
  <si>
    <t>9,98,000/-</t>
  </si>
  <si>
    <t xml:space="preserve">    1,000/-</t>
  </si>
  <si>
    <t>1,99,000/-</t>
  </si>
  <si>
    <t>18,000/-</t>
  </si>
  <si>
    <t xml:space="preserve">    90000/-</t>
  </si>
  <si>
    <t>9,10,000/-</t>
  </si>
  <si>
    <t xml:space="preserve">     40000/-</t>
  </si>
  <si>
    <t>2,60000/-</t>
  </si>
  <si>
    <t>1,90,000/-</t>
  </si>
  <si>
    <t>68,10,000/-</t>
  </si>
  <si>
    <t>2,00,000/-</t>
  </si>
  <si>
    <t>1,000/-</t>
  </si>
  <si>
    <t>49,000/-</t>
  </si>
  <si>
    <t>19%55</t>
  </si>
  <si>
    <t>5,00,000/-</t>
  </si>
  <si>
    <t>44,50,000/-</t>
  </si>
  <si>
    <t>60,000/-</t>
  </si>
  <si>
    <t>1,24,40,000/-</t>
  </si>
  <si>
    <t>24,50,000/-</t>
  </si>
  <si>
    <t>19%18</t>
  </si>
  <si>
    <t>49,50,000/-</t>
  </si>
  <si>
    <t>4,35,000/-</t>
  </si>
  <si>
    <t>90,65,000/-</t>
  </si>
  <si>
    <t>34,80,000/-</t>
  </si>
  <si>
    <t>49,30,000/-</t>
  </si>
  <si>
    <t>10,00,000/-</t>
  </si>
  <si>
    <t>25,000/-</t>
  </si>
  <si>
    <t>75,000/-</t>
  </si>
  <si>
    <t>8,000/-</t>
  </si>
  <si>
    <t>42,000/-</t>
  </si>
  <si>
    <t>15,10,000/-</t>
  </si>
  <si>
    <t>23%40</t>
  </si>
  <si>
    <t>9,30,000/-</t>
  </si>
  <si>
    <t>21%37</t>
  </si>
  <si>
    <t>14%52</t>
  </si>
  <si>
    <t>1,50,000/-</t>
  </si>
  <si>
    <t>13,50,000/-</t>
  </si>
  <si>
    <t>13%40</t>
  </si>
  <si>
    <t>21%30</t>
  </si>
  <si>
    <t>1500/-</t>
  </si>
  <si>
    <t>23,500/-</t>
  </si>
  <si>
    <t>20%30</t>
  </si>
  <si>
    <t>19,98,000/-</t>
  </si>
  <si>
    <t>3,75.000/-</t>
  </si>
  <si>
    <t>75.000/-</t>
  </si>
  <si>
    <t>14,500/-</t>
  </si>
  <si>
    <t>00%23</t>
  </si>
  <si>
    <t>5,80,000/--</t>
  </si>
  <si>
    <t>4,00,000/-</t>
  </si>
  <si>
    <t>12%59</t>
  </si>
  <si>
    <t>65,000/-</t>
  </si>
  <si>
    <t>1,35,000/-</t>
  </si>
  <si>
    <t>dkj esa</t>
  </si>
  <si>
    <t>isM esa</t>
  </si>
  <si>
    <t>2,000/-</t>
  </si>
  <si>
    <t>4,98,000/-</t>
  </si>
  <si>
    <t>4,85,000/-</t>
  </si>
  <si>
    <t>7,95,000/-</t>
  </si>
  <si>
    <t>5,20,000/-</t>
  </si>
  <si>
    <t xml:space="preserve"> </t>
  </si>
  <si>
    <t>6,40,000/-</t>
  </si>
  <si>
    <t>9,85,000/-</t>
  </si>
  <si>
    <t>20%27</t>
  </si>
  <si>
    <t>49,85,000/-</t>
  </si>
  <si>
    <t>00%32</t>
  </si>
  <si>
    <t>dwMs ds &lt;sj esa</t>
  </si>
  <si>
    <t>13%23</t>
  </si>
  <si>
    <t>90,000/-</t>
  </si>
  <si>
    <t>15%49</t>
  </si>
  <si>
    <t>tkWpksaijkUr</t>
  </si>
  <si>
    <t>09%54</t>
  </si>
  <si>
    <t>11%55</t>
  </si>
  <si>
    <t>23%12</t>
  </si>
  <si>
    <t>23%57</t>
  </si>
  <si>
    <t>20%22</t>
  </si>
  <si>
    <t xml:space="preserve">    1 5,000/-</t>
  </si>
  <si>
    <t>95,000/-</t>
  </si>
  <si>
    <t>1,40,000/-</t>
  </si>
  <si>
    <t>3,60,000/-</t>
  </si>
  <si>
    <t>18%50</t>
  </si>
  <si>
    <t>00%54</t>
  </si>
  <si>
    <t>03%11</t>
  </si>
  <si>
    <t>14%42</t>
  </si>
  <si>
    <t>21%05</t>
  </si>
  <si>
    <t>15%19</t>
  </si>
  <si>
    <t>01%34</t>
  </si>
  <si>
    <t>20%45</t>
  </si>
  <si>
    <t>5.00,000/-</t>
  </si>
  <si>
    <t>4,70,000/-</t>
  </si>
  <si>
    <t>19%05</t>
  </si>
  <si>
    <t>11%50</t>
  </si>
  <si>
    <t>सितारगंज</t>
  </si>
  <si>
    <t>खटीमा</t>
  </si>
  <si>
    <t>नगला तराई खटीमा ।</t>
  </si>
  <si>
    <t>शार्ट सर्किट</t>
  </si>
  <si>
    <t>गोशाला में ।</t>
  </si>
  <si>
    <t xml:space="preserve">नौगुवा नाथ बिसौटा खटीमा । </t>
  </si>
  <si>
    <t>बीडी या सिगरेट की ठुड्डी फेकने से ।</t>
  </si>
  <si>
    <t>पुवाल के ढेर में  ।</t>
  </si>
  <si>
    <t xml:space="preserve">ब्लाक के पास के पास सितारगंज रोड़ खटीमा । </t>
  </si>
  <si>
    <t>फल के गोदाम में ।</t>
  </si>
  <si>
    <t>?kj esa</t>
  </si>
  <si>
    <t xml:space="preserve">जसपुर </t>
  </si>
  <si>
    <t>बडीयोवाला पतरामपुर रोड जसपुर</t>
  </si>
  <si>
    <t xml:space="preserve"> शार्ट सर्किट</t>
  </si>
  <si>
    <t>वाहन में</t>
  </si>
  <si>
    <t>ऊधमसिंहनगर</t>
  </si>
  <si>
    <t>ग्राम अमाऊ टनकपुर रोड़ खटीमा ।</t>
  </si>
  <si>
    <t>गैस रिसाव होने से ।</t>
  </si>
  <si>
    <t>पेट्रोमैक्स सिलैण्डर में ।</t>
  </si>
  <si>
    <t>हिमालय प्लाईवुड पतरामपुर रोड जसपुर</t>
  </si>
  <si>
    <t>रॉ मैटिरियल</t>
  </si>
  <si>
    <t>मै0 श्रीराम साल्वेंट एक्सट्रेक्शन प्रा0 लि0 अहमदनगर जसपुर</t>
  </si>
  <si>
    <t>एल0पी0जी0 गैस से</t>
  </si>
  <si>
    <t>खाना बनाते समय कढाई में रखे तेल में</t>
  </si>
  <si>
    <t>एल0पी0जी0 गैस रिसाव</t>
  </si>
  <si>
    <t xml:space="preserve">गैस सिलेंडर </t>
  </si>
  <si>
    <t>बंधन पैलेस के पास मो0 नत्था सिंह जसपुर</t>
  </si>
  <si>
    <t>flys.Mj esa</t>
  </si>
  <si>
    <t>जसपुर</t>
  </si>
  <si>
    <t>ग्राम राजपुर जसपुर</t>
  </si>
  <si>
    <t xml:space="preserve"> अज्ञात</t>
  </si>
  <si>
    <t>लकडी व छप्पर</t>
  </si>
  <si>
    <t>पंजाबी कॉलोनी जसपुर</t>
  </si>
  <si>
    <t>ध्रुमपान</t>
  </si>
  <si>
    <t>झाडियों में</t>
  </si>
  <si>
    <t>शून्य</t>
  </si>
  <si>
    <t>पुराना पोस्ट ऑफिस जसपुर</t>
  </si>
  <si>
    <t>कुडे के ढेर में</t>
  </si>
  <si>
    <t>हिमालय टेंट हाउस ग्राम नेतराम पट्टी चौहान कासमपुर मोड जसपुर</t>
  </si>
  <si>
    <t>टेंट के गोदाम में</t>
  </si>
  <si>
    <t>ग्राम नारायणपुर जसपुर</t>
  </si>
  <si>
    <t>घर में</t>
  </si>
  <si>
    <t xml:space="preserve">ग्राम मनसापट्टी जसपुर </t>
  </si>
  <si>
    <t xml:space="preserve">गौशाला के पास जलाये गये उपले की चिंगारी से </t>
  </si>
  <si>
    <t>गौशाला</t>
  </si>
  <si>
    <t xml:space="preserve">ग्राम मडुवाखेड़ा जसपुर </t>
  </si>
  <si>
    <t>धुम्रपान</t>
  </si>
  <si>
    <t>कूड़े के ढेर में</t>
  </si>
  <si>
    <t xml:space="preserve">शून्य </t>
  </si>
  <si>
    <t xml:space="preserve">ग्राम देवीपुरा जसपुर </t>
  </si>
  <si>
    <t xml:space="preserve">मौ0 जुल्हान जसपुर </t>
  </si>
  <si>
    <t xml:space="preserve">शॉर्ट सर्किट </t>
  </si>
  <si>
    <t xml:space="preserve">ग्राम नई बस्ती जसपुर </t>
  </si>
  <si>
    <t xml:space="preserve">गेहूँ के नाल में </t>
  </si>
  <si>
    <t>ग्राम मडुवाखेड़ा जसपुर</t>
  </si>
  <si>
    <t xml:space="preserve">ग्राम श्यामनगर कुंडा जसपुर </t>
  </si>
  <si>
    <t xml:space="preserve">अज्ञात </t>
  </si>
  <si>
    <t xml:space="preserve">गेहूँ के ढेर में </t>
  </si>
  <si>
    <t xml:space="preserve">ग्राम मनोरथपुर जसपुर </t>
  </si>
  <si>
    <t>गेहूँ के ढेर में</t>
  </si>
  <si>
    <t xml:space="preserve">ग्राम पतरामपुर जसपुर </t>
  </si>
  <si>
    <t>गेहूँ के नाल में</t>
  </si>
  <si>
    <t>ग्राम पतरामपुर जसपुर</t>
  </si>
  <si>
    <t xml:space="preserve">कुण्डा जसपुर </t>
  </si>
  <si>
    <t xml:space="preserve">सब्जी मंडी परिसर जसपुर </t>
  </si>
  <si>
    <t>विधुत तार में शॉर्ट सर्किट</t>
  </si>
  <si>
    <t xml:space="preserve">झाड़ियो में </t>
  </si>
  <si>
    <t xml:space="preserve">बिजलीघर के पास नई बस्ती जसपुर </t>
  </si>
  <si>
    <t>विधुत तार गिरने से  शॉर्ट सर्किट</t>
  </si>
  <si>
    <t xml:space="preserve">गेहूँ के नाल के अवशेषों में  </t>
  </si>
  <si>
    <t>ग्राम करनपुर कुण्डा जसपुर</t>
  </si>
  <si>
    <t xml:space="preserve">ग्राम भगवन्तपुर जसपुर </t>
  </si>
  <si>
    <t xml:space="preserve">ग्राम निजामगढ़ जसपुर </t>
  </si>
  <si>
    <t xml:space="preserve">ग्राम बहेड़ी धरमपुर जसपुर </t>
  </si>
  <si>
    <t xml:space="preserve">गेहूँ के खेत में </t>
  </si>
  <si>
    <t xml:space="preserve">ग्राम बढियोंवाला जसपुर </t>
  </si>
  <si>
    <t xml:space="preserve">बिजली के तार से निकली चिंगारी </t>
  </si>
  <si>
    <t>ग्राम भगवन्तपुर जसपुर</t>
  </si>
  <si>
    <t xml:space="preserve">पशुपति इण्डस्टीज अहमदनगर रोड जसपुर </t>
  </si>
  <si>
    <t>शॉर्ट सर्किट</t>
  </si>
  <si>
    <t xml:space="preserve">ट्रक में </t>
  </si>
  <si>
    <t xml:space="preserve">ग्राम मेघवाला जसपुर </t>
  </si>
  <si>
    <t xml:space="preserve">फैज ए आम इण्टर कॉलेज के पास जसपुर </t>
  </si>
  <si>
    <t xml:space="preserve">ईदगाह के पास जसपुर </t>
  </si>
  <si>
    <t xml:space="preserve">घर में </t>
  </si>
  <si>
    <t xml:space="preserve">ग्राम रहमापुर जसपुर </t>
  </si>
  <si>
    <t xml:space="preserve">छप्पर में </t>
  </si>
  <si>
    <t xml:space="preserve">ग्राम रामनगर वन जसपुर </t>
  </si>
  <si>
    <t>बिजली का तार टूटने से शॉर्ट सर्किट</t>
  </si>
  <si>
    <t xml:space="preserve">ग्राम कासमपुर जसपुर </t>
  </si>
  <si>
    <t>गेहूँ के खेत में</t>
  </si>
  <si>
    <t xml:space="preserve">कूड़े के ढेर में </t>
  </si>
  <si>
    <t xml:space="preserve">ग्राम भोगपुर जसपुर </t>
  </si>
  <si>
    <t xml:space="preserve">गोपाल नगर शिशु मन्दिर स्कूल के पास जसपुर </t>
  </si>
  <si>
    <t xml:space="preserve">लकड़ी के गोदाम </t>
  </si>
  <si>
    <t xml:space="preserve">ग्राम लालपुर जसपुर </t>
  </si>
  <si>
    <t xml:space="preserve">भूसे के ढेर में </t>
  </si>
  <si>
    <t>नरई जलाने से</t>
  </si>
  <si>
    <t>गेहु की नरई में</t>
  </si>
  <si>
    <t>गेहु के खेतो में</t>
  </si>
  <si>
    <t>अज्ञात</t>
  </si>
  <si>
    <t>खटीमा चोराहे के पास</t>
  </si>
  <si>
    <t>रोडवेज बस में</t>
  </si>
  <si>
    <t>झोपडियो में</t>
  </si>
  <si>
    <t>झोपडी में</t>
  </si>
  <si>
    <t xml:space="preserve">गेहू की खडी फसल में </t>
  </si>
  <si>
    <t xml:space="preserve">ट्रैक्टर ट्रली में रखे गेहु में </t>
  </si>
  <si>
    <t xml:space="preserve">गेहु की नरई  व पेड़ में </t>
  </si>
  <si>
    <t>गेहू के नरई में</t>
  </si>
  <si>
    <t xml:space="preserve">गेहू के नरई व भूसे के ढेर में </t>
  </si>
  <si>
    <t>गेहू के नरई व बॉस के पेडो में</t>
  </si>
  <si>
    <t>गेहू के नरई व भूसे के ढेर में</t>
  </si>
  <si>
    <t>गेहु की नरई व सूखे पेड में</t>
  </si>
  <si>
    <t>गेहु की नरई  में</t>
  </si>
  <si>
    <t xml:space="preserve">शार्ट सर्किट </t>
  </si>
  <si>
    <t>भूसे के ढेर में</t>
  </si>
  <si>
    <t xml:space="preserve">झाडियो में </t>
  </si>
  <si>
    <t>गेहु की नरई व भूसे  के ढेर में</t>
  </si>
  <si>
    <t xml:space="preserve">गेहु के खेत व नरई में  </t>
  </si>
  <si>
    <t xml:space="preserve">गेहु के नरई में  </t>
  </si>
  <si>
    <t xml:space="preserve">किचन में ।  </t>
  </si>
  <si>
    <t xml:space="preserve">गेहू की नरई में   </t>
  </si>
  <si>
    <t xml:space="preserve">गेहू की नरई में  </t>
  </si>
  <si>
    <t xml:space="preserve">नरई जलाने से </t>
  </si>
  <si>
    <t xml:space="preserve">लकडी के गिल्टो में  </t>
  </si>
  <si>
    <t xml:space="preserve">गेहू के नरई में </t>
  </si>
  <si>
    <t>गेहू के नरई में व भूसे के ढेर में ।</t>
  </si>
  <si>
    <t xml:space="preserve">नरई जलाने से  </t>
  </si>
  <si>
    <t xml:space="preserve">झोपडी में </t>
  </si>
  <si>
    <t>गौशाला मॆ</t>
  </si>
  <si>
    <t>गन्ने की पतेल में</t>
  </si>
  <si>
    <t>पीपल के पेड में</t>
  </si>
  <si>
    <t xml:space="preserve">शार्ट सर्किट  </t>
  </si>
  <si>
    <t xml:space="preserve"> भूसे के ढेर में</t>
  </si>
  <si>
    <t xml:space="preserve">शीशम के खड़े पेड़ में </t>
  </si>
  <si>
    <t>प्लास्टिक के पाइप में</t>
  </si>
  <si>
    <t>नरई जलने से</t>
  </si>
  <si>
    <t>आम के बगीचे में</t>
  </si>
  <si>
    <t xml:space="preserve">झाड़ियों व बगीचे में  </t>
  </si>
  <si>
    <t>पराल व भूसे के ढेर में</t>
  </si>
  <si>
    <t>गेहूँ की नरई में</t>
  </si>
  <si>
    <t>गेहूँ की नलई में</t>
  </si>
  <si>
    <t>फर्नीचर की दुकान में</t>
  </si>
  <si>
    <t>प्लास्टिक के गोदाम में</t>
  </si>
  <si>
    <t>भूसे के ढेर व गेहूँ की नरई में</t>
  </si>
  <si>
    <t xml:space="preserve"> ग्राम कुमराहाखटीमा ।                             </t>
  </si>
  <si>
    <t>भूसे के ढेर व झोपड़ी में</t>
  </si>
  <si>
    <t xml:space="preserve">ग्राम नदन्ना खटीमा ।                             </t>
  </si>
  <si>
    <t>सुखे पेड में</t>
  </si>
  <si>
    <t>भूसे के ट्राली में</t>
  </si>
  <si>
    <t xml:space="preserve">शीशम के पेड में </t>
  </si>
  <si>
    <t>xSl fjlko</t>
  </si>
  <si>
    <t>VªkalQkeZj</t>
  </si>
  <si>
    <t>[kkyh IykV esa</t>
  </si>
  <si>
    <t xml:space="preserve">सामुदायिक स्वास्थ्य केन्द्र के पास जसपुर </t>
  </si>
  <si>
    <t xml:space="preserve">धुम्रपान </t>
  </si>
  <si>
    <t xml:space="preserve">कूड़े में </t>
  </si>
  <si>
    <t xml:space="preserve">हरियावाला चौक कुण्डा  जसपुर </t>
  </si>
  <si>
    <t xml:space="preserve">बिजली घर के पास  मडुवाखेड़ा जसपुर  </t>
  </si>
  <si>
    <t xml:space="preserve">जसपुर पट्टी उत्तम  </t>
  </si>
  <si>
    <t xml:space="preserve">सिद्धार्थ पेपर्स प्रा0 लि0 के सामने मुरादाबाद रोड जसपुर  </t>
  </si>
  <si>
    <t xml:space="preserve">बिजली के तार से निकली चिंगारी से </t>
  </si>
  <si>
    <t xml:space="preserve"> सिवान्ता स्पुनटेक्स प्रा0 लि0 के पास जसपुर </t>
  </si>
  <si>
    <t xml:space="preserve">झाड़ियों में </t>
  </si>
  <si>
    <t xml:space="preserve">नूरी मस्जिद के पास अफजलगढ़ रोड जसपुर </t>
  </si>
  <si>
    <t xml:space="preserve">फर्नीचर की दुकान में  </t>
  </si>
  <si>
    <t xml:space="preserve">मौ0 पट्टी चौहान जसपुर </t>
  </si>
  <si>
    <t xml:space="preserve">विधुत पोल के तारो  में  </t>
  </si>
  <si>
    <t xml:space="preserve">लकड़ी मण्डी  जसपुर  </t>
  </si>
  <si>
    <t xml:space="preserve">ट्रांसफ़ॉर्मर की वायर में </t>
  </si>
  <si>
    <t>एटीम के सर्वर रूम में</t>
  </si>
  <si>
    <t>झाड़ियों से</t>
  </si>
  <si>
    <t xml:space="preserve">झाड़ियों में </t>
  </si>
  <si>
    <t xml:space="preserve">चिन्दा मेडिकल स्टोर </t>
  </si>
  <si>
    <t>बिजली के पोल में</t>
  </si>
  <si>
    <t xml:space="preserve">गत्तों के ढेर में  </t>
  </si>
  <si>
    <t>घरेलू सामानों में</t>
  </si>
  <si>
    <t>[kkyh IykWV esa</t>
  </si>
  <si>
    <t xml:space="preserve">fctyh ds iksy esa </t>
  </si>
  <si>
    <t xml:space="preserve">विधुत कार्यालय के पास भगवतपुर जसपुर </t>
  </si>
  <si>
    <t xml:space="preserve">जी0डी0 गोयनका पब्लिक स्कूल के पास हरियावाला जसपुर </t>
  </si>
  <si>
    <t>कूड़े में</t>
  </si>
  <si>
    <t>ग्राम हरियावाला जसपुर</t>
  </si>
  <si>
    <t xml:space="preserve">असत्य </t>
  </si>
  <si>
    <t>बाजार चौकी के पास जसपुर</t>
  </si>
  <si>
    <t>ट्रांसफ़ॉर्मर की वायर में</t>
  </si>
  <si>
    <t xml:space="preserve">लकड़ी मण्डी के पास जसपुर  </t>
  </si>
  <si>
    <t xml:space="preserve">अफज़लगढ़ रोड गोविन्दपुर जसपुर </t>
  </si>
  <si>
    <t>वाहन के आपस मे टक्कर होने से</t>
  </si>
  <si>
    <t xml:space="preserve">वाहन मे </t>
  </si>
  <si>
    <t>विवेचनाधीन</t>
  </si>
  <si>
    <t>बाजार चौकी</t>
  </si>
  <si>
    <t>आतिशबाजी से</t>
  </si>
  <si>
    <t>झाड़ियों में</t>
  </si>
  <si>
    <t>बॉयलर की ओवरहीटिंग से</t>
  </si>
  <si>
    <t>राईस मिल के बॉयलर में</t>
  </si>
  <si>
    <t>जंगल की आग से</t>
  </si>
  <si>
    <t>पेड़ में</t>
  </si>
  <si>
    <t>शार्ट सर्किट से</t>
  </si>
  <si>
    <t>जलावन लकड़ियों के ढेर में लगी आग से</t>
  </si>
  <si>
    <t>खेतों  में</t>
  </si>
  <si>
    <t>झाड़ियों में लगी आग से</t>
  </si>
  <si>
    <t>बांस की झाड़ियों में</t>
  </si>
  <si>
    <t xml:space="preserve">पुराना सरकारी हॉस्पिटल सितारगंज रोड </t>
  </si>
  <si>
    <t>प्लास्टिक के ढेर में</t>
  </si>
  <si>
    <t xml:space="preserve">सुधा राइस एंड सीड्स मिल गढ़ीनेगी जसपुर </t>
  </si>
  <si>
    <t>वायलर से निकली चिंगारी से</t>
  </si>
  <si>
    <t>झाड़ियो में</t>
  </si>
  <si>
    <t>नई बस्ती मोहल्ला नत्थासिंह जसपुर</t>
  </si>
  <si>
    <t>एल0पी0जी0 गैस रिसाव से</t>
  </si>
  <si>
    <t>राइस के ड्रायर</t>
  </si>
  <si>
    <t>नूरी मस्जिद के पास अफ़जलगढ़ रोड जसपुर</t>
  </si>
  <si>
    <t>गैस सिलेण्डर</t>
  </si>
  <si>
    <t xml:space="preserve">शून्य  </t>
  </si>
  <si>
    <t>ममता नर्सिग होम के पास</t>
  </si>
  <si>
    <t>दुकान में ।</t>
  </si>
  <si>
    <t xml:space="preserve">एक्सेस बैक सितारगंज रोड़ </t>
  </si>
  <si>
    <t>यू0पी0एस में</t>
  </si>
  <si>
    <t>edku esa</t>
  </si>
  <si>
    <t xml:space="preserve">वाहन में </t>
  </si>
  <si>
    <t>शॉर्ट सर्किट से</t>
  </si>
  <si>
    <t>परचून एवं मोबाईल की दुकान में</t>
  </si>
  <si>
    <t>लोहिया पुल के समीप सितारगंज रोड</t>
  </si>
  <si>
    <t>बंद घर में ।</t>
  </si>
  <si>
    <t>कुमाऊँ बेकर्स एण्ड स्वीटस मुख्य मार्केट खटीमा ।</t>
  </si>
  <si>
    <t>मिठाई की दुकान में ।</t>
  </si>
  <si>
    <t>किचन काउंटर व एलपीजी सिलेण्डर में ।</t>
  </si>
  <si>
    <t>पराली व लकड़ी के ढेर में ।</t>
  </si>
  <si>
    <t>चकरपुर खटीमा ।</t>
  </si>
  <si>
    <t>एलपीजी सिलेण्डर में ।</t>
  </si>
  <si>
    <t>श्रीपुर बिचवा खटीमा ।</t>
  </si>
  <si>
    <t>पराली के ढेर में ।</t>
  </si>
  <si>
    <t>चांदपुर खटीमा</t>
  </si>
  <si>
    <t>गौशाला व चारा गोदाम ।</t>
  </si>
  <si>
    <t>सम्भवत्   पटाखा से ।</t>
  </si>
  <si>
    <t>पुराल के ढेर मे ।</t>
  </si>
  <si>
    <t>शार्ट सर्किट से ।</t>
  </si>
  <si>
    <t>मकान मे ।</t>
  </si>
  <si>
    <t xml:space="preserve"> शॉर्ट सर्किट</t>
  </si>
  <si>
    <t>सिलाई मशीन के पार्टिकल बोर्ड में।</t>
  </si>
  <si>
    <t>बिजली के तार से शॉर्ट सर्किट</t>
  </si>
  <si>
    <t>पराली में।</t>
  </si>
  <si>
    <t>ग्राम रायपुर जसपुर।</t>
  </si>
  <si>
    <t>संभवतः पटाखे से</t>
  </si>
  <si>
    <t>पराली तथा गौशाला में ।</t>
  </si>
  <si>
    <t>धर्मपुर चौकी के पास हरिद्वार हाईवे मार्ग में</t>
  </si>
  <si>
    <t>वाहन के पहिये जाम होने के कारण।</t>
  </si>
  <si>
    <t>लकड़ी के फर्नीचर में।</t>
  </si>
  <si>
    <t>ग्राम रायपुर जसपुर</t>
  </si>
  <si>
    <t>ग्राम हजीरो फार्म जसपुर।</t>
  </si>
  <si>
    <t>तहसील परिसर जसपुर</t>
  </si>
  <si>
    <t>झाड़ियों में।</t>
  </si>
  <si>
    <t>ग्राम बेतवाला बैलजुड़ी जसपुर</t>
  </si>
  <si>
    <t>जोशीयान मौहल्ला जसपुर</t>
  </si>
  <si>
    <t xml:space="preserve"> गैस सिलेण्डर के लीकेज से</t>
  </si>
  <si>
    <t>गैस सिलेण्डर में ।</t>
  </si>
  <si>
    <t>शाँर्ट सर्किट</t>
  </si>
  <si>
    <t>आई20 कार में ।</t>
  </si>
  <si>
    <t>गन्ने के खेत में ।</t>
  </si>
  <si>
    <t>गैस सिलेण्डर का लीकेज होना</t>
  </si>
  <si>
    <t>ग्राम भगवतपुर मजीरोवाला जसपुर</t>
  </si>
  <si>
    <t>कुड़े में।</t>
  </si>
  <si>
    <t>घर में ।</t>
  </si>
  <si>
    <t>गन्ने की पताई में</t>
  </si>
  <si>
    <t>दुकान में रखे कपड़ों में ।</t>
  </si>
  <si>
    <t>लोहियाहेड रोड अमाऊं खटीमा ।</t>
  </si>
  <si>
    <t>किचन की चिमनी में ।</t>
  </si>
  <si>
    <t>गन्ने के खेत   में ।</t>
  </si>
  <si>
    <t>उमरूर्खुद नहर पार खटीमा ।</t>
  </si>
  <si>
    <t>पराली में ।</t>
  </si>
  <si>
    <t>बरम कॉलोनी नौगांव ठग्गू खटीमा ।</t>
  </si>
  <si>
    <t>बिजली का तार टूटने से ।</t>
  </si>
  <si>
    <t>जमौर बंडिया रोड खटीमा ।</t>
  </si>
  <si>
    <t>गन्ने के पत्तों से भरी ट्राली में ।</t>
  </si>
  <si>
    <t>पन्तनगर</t>
  </si>
  <si>
    <t>22­:10</t>
  </si>
  <si>
    <t>15­:08</t>
  </si>
  <si>
    <t xml:space="preserve">    </t>
  </si>
  <si>
    <t>रूड़की</t>
  </si>
  <si>
    <t>22/23-12-4</t>
  </si>
  <si>
    <t>18@19-05-24</t>
  </si>
  <si>
    <t>भगवानपुर</t>
  </si>
  <si>
    <r>
      <t xml:space="preserve">      Ekkg tuojh 2024 </t>
    </r>
    <r>
      <rPr>
        <b/>
        <u/>
        <sz val="13"/>
        <color theme="1"/>
        <rFont val="Kruti Dev 016"/>
      </rPr>
      <t>vksizs’kuy izdj.k vfXudk.Mks dk fooj.kA izk#i&amp;%3 ¼d½</t>
    </r>
  </si>
  <si>
    <t>dze la0</t>
  </si>
  <si>
    <t>Qk;j LVs’ku dk uke ¼ftl Qk;j LVs’ku {ksU=kxZr vfXudk.M gqvk gks½</t>
  </si>
  <si>
    <t>vfXudk.M dk fNukad</t>
  </si>
  <si>
    <t>Lke;</t>
  </si>
  <si>
    <t>?kVukLFky dk laf{kIr fooj.k</t>
  </si>
  <si>
    <t>vfXudk.M dk fooj.k ¼vkx fdl cLrq esa yxh gS@vfXu dh Js.kh½</t>
  </si>
  <si>
    <t>vuqekfur {kfr lEifr Qk;j fjiksVZ ds vk/kkj ij</t>
  </si>
  <si>
    <t>vuqekfur cpkbZ xbZ lEifr</t>
  </si>
  <si>
    <t>Ik’kq0</t>
  </si>
  <si>
    <t>nsgjknwu</t>
  </si>
  <si>
    <t>01-0-2024</t>
  </si>
  <si>
    <t>fujatuiqj ds ikl nqdku esa vkx</t>
  </si>
  <si>
    <t>Tkakp izpfyr</t>
  </si>
  <si>
    <t>%</t>
  </si>
  <si>
    <t>07%18</t>
  </si>
  <si>
    <t>eksFkjksokyk es a?kj esa vkx</t>
  </si>
  <si>
    <t>?kj esa vkx</t>
  </si>
  <si>
    <t>22%34</t>
  </si>
  <si>
    <t>jsldkslZ ds ikl uSuk dkj esa vkx</t>
  </si>
  <si>
    <t>uSuks dkj esa vkx</t>
  </si>
  <si>
    <t>Tksxhokyk pkSd ds ikl odZ’kkWi ea vkx</t>
  </si>
  <si>
    <t>‘kkV&amp; lfdZV</t>
  </si>
  <si>
    <t>odZ’kkWi esa vkx</t>
  </si>
  <si>
    <t>04-01*-2024</t>
  </si>
  <si>
    <t>09%04</t>
  </si>
  <si>
    <t>ifMrokMh pkSd ds ikl fctyh ds iksy esa vkx</t>
  </si>
  <si>
    <t>‘kkV&amp;lfdZV</t>
  </si>
  <si>
    <t>fctyh ds iksy esa vkx</t>
  </si>
  <si>
    <t>---</t>
  </si>
  <si>
    <t>-----</t>
  </si>
  <si>
    <t>17%45</t>
  </si>
  <si>
    <t>xksYQ LVsV cxhps easvkx</t>
  </si>
  <si>
    <t>Ykijokgh</t>
  </si>
  <si>
    <t>Cxhps esa vkx</t>
  </si>
  <si>
    <t>02%58</t>
  </si>
  <si>
    <t>Tkk[ku ds ikl okgu es vkx</t>
  </si>
  <si>
    <t>nqxZVuk</t>
  </si>
  <si>
    <t>Okgu esa vkx</t>
  </si>
  <si>
    <t>16%35</t>
  </si>
  <si>
    <t>cYyqiqj QykbZvksoj ds ikl fctyh ds iksy es vkx</t>
  </si>
  <si>
    <t>‘kkVZ lfdZV</t>
  </si>
  <si>
    <t>09-01*-2024</t>
  </si>
  <si>
    <t>21%40</t>
  </si>
  <si>
    <t>,e-Mh-Mh- , dkyksuh ] Mkyuokyk ds ikl dk;kZy; Hkou esa vkx</t>
  </si>
  <si>
    <t>Dk;kZy; esa vkx</t>
  </si>
  <si>
    <t>17%50</t>
  </si>
  <si>
    <t>fot; dkyksuh ds ikl ckck dh dqfV;k esa vkx</t>
  </si>
  <si>
    <t>dqfV;k esa vkx</t>
  </si>
  <si>
    <t>05%17</t>
  </si>
  <si>
    <t>Panzcuh pkSd ds ikl nqdku esa vkx</t>
  </si>
  <si>
    <t>nqdku¼[kks[ks½</t>
  </si>
  <si>
    <t>01%04</t>
  </si>
  <si>
    <t>Tkh-,e-,l jksM edku ds fctyh ds cksMZ esa vkx</t>
  </si>
  <si>
    <t>fctyh ds cksMZ esa vkx</t>
  </si>
  <si>
    <t>08%35</t>
  </si>
  <si>
    <t xml:space="preserve"> vk’kkjksMh pSd iksLV ds ikl Vªd esa vkx</t>
  </si>
  <si>
    <t>lkbZysUlj ds xeZ gksus ds dkj.k</t>
  </si>
  <si>
    <t>Vªd esa vkx</t>
  </si>
  <si>
    <t>04%54</t>
  </si>
  <si>
    <t>mEesniqj] izseuxj</t>
  </si>
  <si>
    <t>‘kkVZlfdZV</t>
  </si>
  <si>
    <t>15%18</t>
  </si>
  <si>
    <t>Ifjtkr  ,Udyso] tksxhokyk] cnzhiqj] nsgjknwuA</t>
  </si>
  <si>
    <t>‘kkV lfdZV</t>
  </si>
  <si>
    <t>y{ehiqj] Fkkuk&amp;oalrfogkj</t>
  </si>
  <si>
    <t>21%50</t>
  </si>
  <si>
    <t>lgL=/kkjk jksM] dkj esa vkx</t>
  </si>
  <si>
    <t>Dkj esa vkx</t>
  </si>
  <si>
    <t>nssgjknwwu</t>
  </si>
  <si>
    <t>17%56</t>
  </si>
  <si>
    <t xml:space="preserve">vkehZ vLirky ] x&lt;hds.V </t>
  </si>
  <si>
    <t>VªkalQkeZj esa vkx</t>
  </si>
  <si>
    <t>09%50</t>
  </si>
  <si>
    <t>lgL=/kkjk jksM] fctyh ds iksy esa vkx</t>
  </si>
  <si>
    <t xml:space="preserve">‘kkV lfdZV </t>
  </si>
  <si>
    <t>------</t>
  </si>
  <si>
    <t>Ekkylh iVªksy iEi ls vkxs isM esa vkx</t>
  </si>
  <si>
    <t>‘kkVZ lffdZV</t>
  </si>
  <si>
    <t>isM esa vkx</t>
  </si>
  <si>
    <t>20%59</t>
  </si>
  <si>
    <t>bZlh jksM] [kkyh IykV esa vkx</t>
  </si>
  <si>
    <t>isMks o &gt;kfM;ksa esa vkx</t>
  </si>
  <si>
    <t>14%15</t>
  </si>
  <si>
    <t>Dkoyh jksM] vuqjkx pkSd ds ikl VªkalQkeZj esa vkx</t>
  </si>
  <si>
    <t>19%44</t>
  </si>
  <si>
    <t>dsjh xkao izseuxj] VªkalQkeZj esa vkx</t>
  </si>
  <si>
    <t>22%45</t>
  </si>
  <si>
    <t>fo’kkzarh fjlksVZ esa vkx</t>
  </si>
  <si>
    <t>fjlksVZ esa vkx</t>
  </si>
  <si>
    <t>16%45</t>
  </si>
  <si>
    <t>gFkh cMdyk iqfyl pkSdh ds ikl dsfcy fd rkjks esa vkx</t>
  </si>
  <si>
    <t>dsfcy dh rkjks esa vkx</t>
  </si>
  <si>
    <t>22%55</t>
  </si>
  <si>
    <t>Chjiqj]?ka/kksMk xSl yhdst</t>
  </si>
  <si>
    <t>fnYyh ifCyd Ldwy ds ikl lh,Qvks egksn; }kjk Vªk;y VuZvkmV</t>
  </si>
  <si>
    <t>Vªk;y VuZvkmV</t>
  </si>
  <si>
    <t>12%05</t>
  </si>
  <si>
    <t>bZnz ckckk ekxZ &gt;kfM;ksa esa vkx</t>
  </si>
  <si>
    <t>----</t>
  </si>
  <si>
    <t>16%31</t>
  </si>
  <si>
    <t>Rkiksou jksM] dwMs esa vkx</t>
  </si>
  <si>
    <t>16%15</t>
  </si>
  <si>
    <t>,Qvkj vkbZ xsV ds lkeus isM es vkx</t>
  </si>
  <si>
    <t>17%32</t>
  </si>
  <si>
    <t>flYoj jkWd vikVZ esaV Mkyuokyi] QysV esa vkx</t>
  </si>
  <si>
    <t>08%36</t>
  </si>
  <si>
    <t>fcnky iqy ds ikl fctyh ds iksy esa vkx</t>
  </si>
  <si>
    <t>--</t>
  </si>
  <si>
    <t>06%59</t>
  </si>
  <si>
    <t>vij rquokyk] VkWoj esa vkx</t>
  </si>
  <si>
    <t>Vkoj esa vkx</t>
  </si>
  <si>
    <t xml:space="preserve">                                                                        </t>
  </si>
  <si>
    <r>
      <t xml:space="preserve"> </t>
    </r>
    <r>
      <rPr>
        <b/>
        <sz val="10"/>
        <color theme="1"/>
        <rFont val="Arial"/>
        <family val="2"/>
      </rPr>
      <t xml:space="preserve"> </t>
    </r>
    <r>
      <rPr>
        <b/>
        <u/>
        <sz val="11"/>
        <color theme="1"/>
        <rFont val="Kruti Dev 016"/>
      </rPr>
      <t>27vksizs’kuy izdj.k oukfXu dk fooj.kA izk#i&amp;%3 ¼[k½</t>
    </r>
  </si>
  <si>
    <t>?kVukLFky dk 28laf{kIr fooj.k</t>
  </si>
  <si>
    <t>vfXudk.M dk fooj.k ¼vkx fdl cLrq esa yxh gS½</t>
  </si>
  <si>
    <t>fdekMh xkao ds ikl taxy esa vkx</t>
  </si>
  <si>
    <t>fdekMh xkao ds ikl taxy fd vkx dks iw.kZ :Ik ls cq&gt;k;k x;kA</t>
  </si>
  <si>
    <t xml:space="preserve">Tkaxy esa </t>
  </si>
  <si>
    <t>07%39</t>
  </si>
  <si>
    <t>dSuky jksM] /kksj.kk [kkl] cxhps esa vkx</t>
  </si>
  <si>
    <t>jkLrk ugh gksus ds dkj.k okil vk;sA</t>
  </si>
  <si>
    <t>cxhps esa</t>
  </si>
  <si>
    <t xml:space="preserve">                    </t>
  </si>
  <si>
    <r>
      <t xml:space="preserve"> </t>
    </r>
    <r>
      <rPr>
        <b/>
        <u/>
        <sz val="11"/>
        <color theme="1"/>
        <rFont val="Kruti Dev 016"/>
      </rPr>
      <t>vksizs’kuy izdj.k tho j{kk dk fooj.kA izk#i&amp;3¼x½</t>
    </r>
  </si>
  <si>
    <t>?kVuk  dk fnukad</t>
  </si>
  <si>
    <t>?kVuk dk lf{kIr fooj.k</t>
  </si>
  <si>
    <t>lMd</t>
  </si>
  <si>
    <t>jkgr  cpko</t>
  </si>
  <si>
    <t xml:space="preserve">nqxZ?kVuk </t>
  </si>
  <si>
    <t xml:space="preserve">,QvkjvkbZ xsV ds ikl okgu nqxZ?kVuk </t>
  </si>
  <si>
    <t>lsykdqbZ {ks= esa Dyksjhu xSl fjlko</t>
  </si>
  <si>
    <t>dtZu jksM esa xsV ij dqRrs dk QlukA</t>
  </si>
  <si>
    <r>
      <t xml:space="preserve">                                                    ekg Qjojh 2024  </t>
    </r>
    <r>
      <rPr>
        <b/>
        <u/>
        <sz val="13"/>
        <color theme="1"/>
        <rFont val="Kruti Dev 016"/>
      </rPr>
      <t>vksizs’kuy izdj.k vfXudk.Mks dk fooj.kA izk#i&amp;%3 ¼d½</t>
    </r>
  </si>
  <si>
    <t>00%00</t>
  </si>
  <si>
    <t>DyseuVkmu fctyh ds [kEHks esa vkx</t>
  </si>
  <si>
    <t>fotyh ds iksy esa</t>
  </si>
  <si>
    <t>01%21</t>
  </si>
  <si>
    <t>Dkjxh pkSd tsih Iyktk esa vkx</t>
  </si>
  <si>
    <t>Fctyh ds iksy esa vkx</t>
  </si>
  <si>
    <t>06%22</t>
  </si>
  <si>
    <t>dkSykx&lt; jksM fudVdey Msjh esa vxk</t>
  </si>
  <si>
    <t>Loea }kjk</t>
  </si>
  <si>
    <t>06%32</t>
  </si>
  <si>
    <t>izxfr fogkj ys0u0 4 usg: dkyksuh] nsgjknwuA</t>
  </si>
  <si>
    <t>15&amp;04</t>
  </si>
  <si>
    <t>banz ckck ekxZ fctyh ds iksy esa vkx</t>
  </si>
  <si>
    <t>Lkqfo/kk ekdsZV]dkj es avkx</t>
  </si>
  <si>
    <t>01202-2024</t>
  </si>
  <si>
    <t>05%59</t>
  </si>
  <si>
    <t>lsykdqbZ {ks=</t>
  </si>
  <si>
    <t>dSuky jksM fctyh ds isky esa vkx</t>
  </si>
  <si>
    <t>11%36</t>
  </si>
  <si>
    <t>eksFkjksokyk] fctyh ds iksy esa vkx</t>
  </si>
  <si>
    <t>12%55</t>
  </si>
  <si>
    <t>losZ pkSd ds ikl fctyh ds iksy esa vkx</t>
  </si>
  <si>
    <t>02%35</t>
  </si>
  <si>
    <t>pdjkrk jksM dEi;wVj ‘kkWi esa vkx</t>
  </si>
  <si>
    <t>dEi;wVj ‘kkWi esa vkx</t>
  </si>
  <si>
    <t>15%54</t>
  </si>
  <si>
    <t>Pkanz yksd dkyksuh jktiqj jksM VªkalQkeZj esa vkx</t>
  </si>
  <si>
    <t>00%45</t>
  </si>
  <si>
    <t>jka&gt;kokyk ds ikl cl es vkx</t>
  </si>
  <si>
    <t xml:space="preserve"> tkap ipfyr</t>
  </si>
  <si>
    <t>17%23</t>
  </si>
  <si>
    <t>vkdk'k bLVh;wV ds ckgj dwMs esa vkx</t>
  </si>
  <si>
    <t>04%10</t>
  </si>
  <si>
    <t>daMksyh xkao cqysV esa vkx</t>
  </si>
  <si>
    <t>1602-2024</t>
  </si>
  <si>
    <t>10%26</t>
  </si>
  <si>
    <t>Dkoyh jksM+ dqMs esa vkx</t>
  </si>
  <si>
    <t>19%31</t>
  </si>
  <si>
    <t>th,e,l jksM vkoklh; ¶ySV esa vkx</t>
  </si>
  <si>
    <t>tkap ipfyr</t>
  </si>
  <si>
    <t>07%27</t>
  </si>
  <si>
    <t>jkts”ojh eafnj uFkqokyk ?kj esa vkx</t>
  </si>
  <si>
    <t>e?; ekxZ ls okil vk;sA</t>
  </si>
  <si>
    <t>17%46</t>
  </si>
  <si>
    <t>ts-,e-,l jksM fctyh ds iksy esa vkx</t>
  </si>
  <si>
    <t>fctyh ds iksy es vkx</t>
  </si>
  <si>
    <t>19%54</t>
  </si>
  <si>
    <t>DyseuVkmu edku esa vkx</t>
  </si>
  <si>
    <t>iqjkus [k.gj esa vkx</t>
  </si>
  <si>
    <t>10%40</t>
  </si>
  <si>
    <t>izseuxj ?kj esa vkXk</t>
  </si>
  <si>
    <t>15%16</t>
  </si>
  <si>
    <t>fRkCCrh ekdsZV esa vkx</t>
  </si>
  <si>
    <t>ds’kjokyk izseuxj {ks-= esa vkx</t>
  </si>
  <si>
    <t>Ykkijokgh</t>
  </si>
  <si>
    <t>Taxy esa vkx</t>
  </si>
  <si>
    <r>
      <t xml:space="preserve">  Ekg ekpZ 2024  </t>
    </r>
    <r>
      <rPr>
        <b/>
        <u/>
        <sz val="13"/>
        <color theme="1"/>
        <rFont val="Kruti Dev 016"/>
      </rPr>
      <t xml:space="preserve">vksizs’kuy izdj.k vfXudk.Mks dk fooj.kA </t>
    </r>
  </si>
  <si>
    <t>izk#i&amp;%3 ¼d½</t>
  </si>
  <si>
    <t>23%51</t>
  </si>
  <si>
    <t>fcanky iqy ds ikl fctyh ds iksy esa vkx</t>
  </si>
  <si>
    <t>12%56</t>
  </si>
  <si>
    <t>xaxk fogkj gfj}kj jksM can ?kj esa vkx</t>
  </si>
  <si>
    <t>21%10</t>
  </si>
  <si>
    <t>eh&lt;h csgMh pkSd jka&gt;kokyk jksM+] nqdku esa vkx</t>
  </si>
  <si>
    <t>0503-2024</t>
  </si>
  <si>
    <t>00%39</t>
  </si>
  <si>
    <t>fd’kuuxj pkSd ds ikl Vsyj dh nqdku esa vkx</t>
  </si>
  <si>
    <t>11%38</t>
  </si>
  <si>
    <t>cMksokyk] nsgjknwu esa xkS’kkyk esa vkx</t>
  </si>
  <si>
    <t>23%08</t>
  </si>
  <si>
    <t>bZlh jksM tujsVj esa vkx</t>
  </si>
  <si>
    <t>‘kkVZ&amp; lfdZV</t>
  </si>
  <si>
    <t>09%56</t>
  </si>
  <si>
    <t>ljLorh fogkj] vtciqj dyk VªaklQkeZj esa vkx</t>
  </si>
  <si>
    <t>2%17</t>
  </si>
  <si>
    <t>lkjk b.MªLVªht bLVsV jkeuxj</t>
  </si>
  <si>
    <t>Qk;j LVs’ku lsykdqbZ }kjk fooj.k fn;k tk;sxk</t>
  </si>
  <si>
    <t>13%52</t>
  </si>
  <si>
    <t>vkj-lh ,e Iyktk ds cslesaV esa dwMs esa vkx</t>
  </si>
  <si>
    <t>17%48</t>
  </si>
  <si>
    <t>nsodh dkEiySDl dwMs esa vkx</t>
  </si>
  <si>
    <t>21%41</t>
  </si>
  <si>
    <t>fcanky iqy dwMs ds &lt;sj esa vkx</t>
  </si>
  <si>
    <t>01%16</t>
  </si>
  <si>
    <t>izseuxj Vh LVsV QwM oSu esa vkx</t>
  </si>
  <si>
    <t>08%34</t>
  </si>
  <si>
    <t>vk;Zu Ldwy ekylh fM;j ikdZ ds ikl fctyh ds iksy esa vkx</t>
  </si>
  <si>
    <t>12%27</t>
  </si>
  <si>
    <t>ou vuqla/kku laLFkkuds ikl rsy ds VSadj esa vkx</t>
  </si>
  <si>
    <t>;w-ds-,l-,l,l lh jk;iqj ds ikl isM esa vkx</t>
  </si>
  <si>
    <t>15%58</t>
  </si>
  <si>
    <t>ckyk lanjh efaanj] dSuky jksM ds vkxs [kkyh IykV esa vkx</t>
  </si>
  <si>
    <t>18%23</t>
  </si>
  <si>
    <t>Dsnkj iqje ckbZikl pkSdh ds ikl fctyh ds iksy esa vkx</t>
  </si>
  <si>
    <t>18%25</t>
  </si>
  <si>
    <t>Mkyuoky esa iqjkus [k.Mgj edku esa vkx</t>
  </si>
  <si>
    <t>dqMs ds &lt;sj esa vkx</t>
  </si>
  <si>
    <t>06%49</t>
  </si>
  <si>
    <t>jktiqj jksM ch,luy dk;kZ y; ds ikl edku esa vkx</t>
  </si>
  <si>
    <t>Ekdku esa vkx</t>
  </si>
  <si>
    <t>10%13</t>
  </si>
  <si>
    <t>Hkwrksokyk] vkbZ,l chVh VkalQkeZj esa vkx</t>
  </si>
  <si>
    <t>02%05</t>
  </si>
  <si>
    <t>Bsys esa vkx eksFkjksokyk ds ikl</t>
  </si>
  <si>
    <t>10%20</t>
  </si>
  <si>
    <t>Dksfpax bLVh;wV ds LVksj esa vkx</t>
  </si>
  <si>
    <t>19%26</t>
  </si>
  <si>
    <t>th-,e-,l jksM [kkyh IYkkV esa vkx</t>
  </si>
  <si>
    <t>23%04</t>
  </si>
  <si>
    <t>jktsUnz uxj esa gksfydk ngu ds nkSjku uxj fuxe ds dwMs ds okgu esa vkx</t>
  </si>
  <si>
    <t>20%38</t>
  </si>
  <si>
    <t>/kkekokyk] ugj okyh xyh dwMs ds &lt;sj esa vkx</t>
  </si>
  <si>
    <t>14%40</t>
  </si>
  <si>
    <t>vij rquokyk pkSd fctyh ds iksy esa vkx</t>
  </si>
  <si>
    <t>‘kkVZ&amp;lfdZV</t>
  </si>
  <si>
    <t>22%48</t>
  </si>
  <si>
    <t>DyseuVkmu isM esa vkx</t>
  </si>
  <si>
    <t>‘kkVZ%lfdZV</t>
  </si>
  <si>
    <t>21%57</t>
  </si>
  <si>
    <t>lkbZ eafnj jktiqj jksM isM esa vkx</t>
  </si>
  <si>
    <t>23%45</t>
  </si>
  <si>
    <t>lgL=/kkjk jksM+ ds ikl fuxj fuxe ds okgu esa vkx</t>
  </si>
  <si>
    <t>01%36</t>
  </si>
  <si>
    <t>Ckkyk laqnjh efUnj dSuky jksM diMks ds xkSnke esa vkx dh vLkR; dkWy</t>
  </si>
  <si>
    <t>26]10]000</t>
  </si>
  <si>
    <t>82]90]000</t>
  </si>
  <si>
    <t>iqjdqy unh ds ikl taxy esa vkx</t>
  </si>
  <si>
    <t>Taxy esa</t>
  </si>
  <si>
    <t>19%38</t>
  </si>
  <si>
    <t>vkbZ Vh ikdZ taxy esa vkx</t>
  </si>
  <si>
    <t>taxy esa vkx</t>
  </si>
  <si>
    <r>
      <t xml:space="preserve">  ekg vizSy 2024 </t>
    </r>
    <r>
      <rPr>
        <b/>
        <u/>
        <sz val="13"/>
        <color theme="1"/>
        <rFont val="Kruti Dev 016"/>
      </rPr>
      <t xml:space="preserve">vksizs’kuy izdj.k vfXudk.Mks dk fooj.kA </t>
    </r>
  </si>
  <si>
    <t>01%10</t>
  </si>
  <si>
    <t>LdwVh esa vkx</t>
  </si>
  <si>
    <t>19%19</t>
  </si>
  <si>
    <t xml:space="preserve">?kkslh xyh </t>
  </si>
  <si>
    <t>xSl fydst</t>
  </si>
  <si>
    <t xml:space="preserve"> xSl flys.Mj</t>
  </si>
  <si>
    <t>15%46</t>
  </si>
  <si>
    <t>bUnzs’kuxj dkoyh jksM</t>
  </si>
  <si>
    <t>edku</t>
  </si>
  <si>
    <t>22%04</t>
  </si>
  <si>
    <t xml:space="preserve">iSflfQd ekWy </t>
  </si>
  <si>
    <t>ykMiwj fctyh ds ehVj esa</t>
  </si>
  <si>
    <t>czkdyhu Ldwy Mkyuokyk</t>
  </si>
  <si>
    <t>fctyh dh rkjks esa</t>
  </si>
  <si>
    <t>Ukdjksnk jksM</t>
  </si>
  <si>
    <t>nqdku</t>
  </si>
  <si>
    <t>15%56</t>
  </si>
  <si>
    <t>Mrjkpy ;wfuojflVh</t>
  </si>
  <si>
    <t>04%33</t>
  </si>
  <si>
    <t>pqD[kwokyk</t>
  </si>
  <si>
    <t>xksnke</t>
  </si>
  <si>
    <t>12%14</t>
  </si>
  <si>
    <t>losZ vkQ bf.M;k</t>
  </si>
  <si>
    <t>dwMs</t>
  </si>
  <si>
    <t>19%17</t>
  </si>
  <si>
    <t>78 nwu fcgkj tk[ku</t>
  </si>
  <si>
    <t>09%13</t>
  </si>
  <si>
    <t>gjo'okyk vUukgtkjs pkSd ds ikl</t>
  </si>
  <si>
    <t>e/; ekxZ ls okil</t>
  </si>
  <si>
    <t>,l0ch0vkbZ ,0vh0,e dkoyh jksM</t>
  </si>
  <si>
    <t>18%21</t>
  </si>
  <si>
    <t>cYyhokyk ds ikl</t>
  </si>
  <si>
    <t>vksoj ghfVax</t>
  </si>
  <si>
    <t>dkj</t>
  </si>
  <si>
    <t>12--04-2024</t>
  </si>
  <si>
    <t>18%45</t>
  </si>
  <si>
    <t>nqxkZ fcgkj pUnzcuh</t>
  </si>
  <si>
    <t xml:space="preserve">Nr esa Vadh </t>
  </si>
  <si>
    <t>usg#dkyksuh ds ikl</t>
  </si>
  <si>
    <t>14%05</t>
  </si>
  <si>
    <t>Ykkzsvj lSfud dkyksuh gjca’k okyk</t>
  </si>
  <si>
    <t>cq}kpkSd ds ikl</t>
  </si>
  <si>
    <t>[kkyh IykV</t>
  </si>
  <si>
    <t>07%58</t>
  </si>
  <si>
    <t>00%26</t>
  </si>
  <si>
    <t>dSuky jksM iqy ds uhps</t>
  </si>
  <si>
    <t>09%20</t>
  </si>
  <si>
    <t>fdnwokyk e/wkwj isVªksy iEi ds ikl</t>
  </si>
  <si>
    <t>16%04-2024</t>
  </si>
  <si>
    <t>09%29</t>
  </si>
  <si>
    <t>dkejk gkfLiVy ds ikl</t>
  </si>
  <si>
    <t>15%32</t>
  </si>
  <si>
    <t>veu fcgkj  e;wj fcgkj pkSdh</t>
  </si>
  <si>
    <t>[kkyh IykV@&gt;kfM;ks</t>
  </si>
  <si>
    <t>17%28</t>
  </si>
  <si>
    <t>lgL=/kkjk jksM eSDloSy jsthMsUlh</t>
  </si>
  <si>
    <t>22%20</t>
  </si>
  <si>
    <t>nzks.k gksVy ds ikl</t>
  </si>
  <si>
    <t>eksVj lkbZfdy</t>
  </si>
  <si>
    <t>01%03</t>
  </si>
  <si>
    <t>th0vkj0Mh dkyst ds lkeus jktiqj jksM</t>
  </si>
  <si>
    <t>?kj ds ikl [kMs ckal ds isM</t>
  </si>
  <si>
    <t>03%36</t>
  </si>
  <si>
    <t>ikbZugkWy Ldwy ds ikl jktiqj jksM</t>
  </si>
  <si>
    <t>dk;kZy;</t>
  </si>
  <si>
    <t>14%06</t>
  </si>
  <si>
    <t>‘kkL=huxj fo/kku lHkk jksM</t>
  </si>
  <si>
    <t>[kkyh IykV esa@&gt;kfM;ksa</t>
  </si>
  <si>
    <t>bUniqj jksM uoknk</t>
  </si>
  <si>
    <t>10%42</t>
  </si>
  <si>
    <t>ykycgknwj ‘kkL=h ,dsMeh ds ikl</t>
  </si>
  <si>
    <t>11%05</t>
  </si>
  <si>
    <t xml:space="preserve">uuwj[ksMk [ksr </t>
  </si>
  <si>
    <t>12%15</t>
  </si>
  <si>
    <t>veu fcgkj lgL=/kkjk jksM</t>
  </si>
  <si>
    <t>16%27</t>
  </si>
  <si>
    <t xml:space="preserve">fjLiuk iqy ds uhps cus </t>
  </si>
  <si>
    <t xml:space="preserve">dwMs esa </t>
  </si>
  <si>
    <t>21%47</t>
  </si>
  <si>
    <t>usg#dksykuh</t>
  </si>
  <si>
    <t>fcty ds iksy</t>
  </si>
  <si>
    <t>00%31</t>
  </si>
  <si>
    <t>osYge xYlZ Ldwy ds ikl</t>
  </si>
  <si>
    <t>VªkUlQkeZj</t>
  </si>
  <si>
    <t>21-04%2024</t>
  </si>
  <si>
    <t>09%23</t>
  </si>
  <si>
    <t>}kfjdk LVksj ds ikl</t>
  </si>
  <si>
    <t>fctyh ds iksy</t>
  </si>
  <si>
    <t>fluthZ gkfLiVy ds ikl</t>
  </si>
  <si>
    <t>21%04-2024</t>
  </si>
  <si>
    <t>16%41</t>
  </si>
  <si>
    <t>Cksy pksd Hkkjr QuhZpj</t>
  </si>
  <si>
    <t>pUnz cuh jksM d`’.kk esfMdy</t>
  </si>
  <si>
    <t>10%28</t>
  </si>
  <si>
    <t>losZpkSd ds ikl</t>
  </si>
  <si>
    <t>15%27</t>
  </si>
  <si>
    <t xml:space="preserve">iSflfQd ekWy ls vkxs </t>
  </si>
  <si>
    <t>pwuk HkVk xksnke@QsDVªh esa</t>
  </si>
  <si>
    <t>tkap izpfyr</t>
  </si>
  <si>
    <t>23%04-2024</t>
  </si>
  <si>
    <t>00%04</t>
  </si>
  <si>
    <t>02%16</t>
  </si>
  <si>
    <t>izseuxj dkyjk LohV’kkWi the esa</t>
  </si>
  <si>
    <t>nhid tyus ls</t>
  </si>
  <si>
    <t>fte esa</t>
  </si>
  <si>
    <t>14%36</t>
  </si>
  <si>
    <t>esgwokyk ekQh u;k uxj</t>
  </si>
  <si>
    <t>ydMh ds cqjkns esa</t>
  </si>
  <si>
    <t>17%01</t>
  </si>
  <si>
    <t>Lkbxzsl ,dsMeh ds ikl</t>
  </si>
  <si>
    <t>04%25</t>
  </si>
  <si>
    <t>jktiqj dSuky jksM ds ikl</t>
  </si>
  <si>
    <t>efUnj</t>
  </si>
  <si>
    <t>16%57</t>
  </si>
  <si>
    <t>jktiqj jksM fd’uiqj</t>
  </si>
  <si>
    <t>18%16</t>
  </si>
  <si>
    <t>cYyhokyk pkSd ds ikl</t>
  </si>
  <si>
    <t>23%06</t>
  </si>
  <si>
    <t>rquokyk pkSd ds ikl fctyh ds iksy esa vkx</t>
  </si>
  <si>
    <t>rkjks esa vkx</t>
  </si>
  <si>
    <t>01%18</t>
  </si>
  <si>
    <t xml:space="preserve">iYkVu cktkj efLtn ds ikl </t>
  </si>
  <si>
    <t>02%30</t>
  </si>
  <si>
    <t>v/kksbZokyk jk;iqj</t>
  </si>
  <si>
    <t>tsvkjMh Ldwy ds ikl</t>
  </si>
  <si>
    <t>19%14</t>
  </si>
  <si>
    <t>fjax jksM fctsih xzkm.M</t>
  </si>
  <si>
    <t>fctyh dh rkjksa esa</t>
  </si>
  <si>
    <t>}kfjdk LVksj ds ikl LdwVh esa vkx</t>
  </si>
  <si>
    <t>Okgu ds VDdj ekjus ds dkj.k</t>
  </si>
  <si>
    <t>00%22</t>
  </si>
  <si>
    <t>fizal pkSd ds ikl Hkwfexr ok;fjax ls ?kqWvk fudy jgk Fkk</t>
  </si>
  <si>
    <t>lEHor% ‘kkVZ lfdZV</t>
  </si>
  <si>
    <t>12%24</t>
  </si>
  <si>
    <t>olar fogkj ds ikl edku esa vk</t>
  </si>
  <si>
    <t>Edku esa vkx</t>
  </si>
  <si>
    <t>10%39</t>
  </si>
  <si>
    <t>Dkaoyh jksM} y{e.k pkSd ds ikl {kksiMiVVh esa vkx</t>
  </si>
  <si>
    <t>Tkap izpfyr</t>
  </si>
  <si>
    <t>15%05</t>
  </si>
  <si>
    <t>nkz.k gksVy ds ihNs isM esa vkx</t>
  </si>
  <si>
    <t>15%12</t>
  </si>
  <si>
    <t>iVsyuxj dwMs esa vkx</t>
  </si>
  <si>
    <t>dwMs esa vkx</t>
  </si>
  <si>
    <r>
      <t xml:space="preserve"> </t>
    </r>
    <r>
      <rPr>
        <b/>
        <sz val="10"/>
        <color theme="1"/>
        <rFont val="Arial"/>
        <family val="2"/>
      </rPr>
      <t xml:space="preserve"> </t>
    </r>
    <r>
      <rPr>
        <b/>
        <u/>
        <sz val="11"/>
        <color theme="1"/>
        <rFont val="Kruti Dev 016"/>
      </rPr>
      <t>27 vksizs’kuy izdj.k oukfXu dk fooj.kA izk#i&amp;%3 ¼[k½</t>
    </r>
  </si>
  <si>
    <t xml:space="preserve">Cknh’k dkyksuh </t>
  </si>
  <si>
    <t>Takxy esa</t>
  </si>
  <si>
    <t>18%52</t>
  </si>
  <si>
    <t>lgL=/kkjk jksM frCcrh dkyksuh</t>
  </si>
  <si>
    <t>19%00</t>
  </si>
  <si>
    <t>Xk&lt;hdsUV jksM dsfczt gkWy Ldwy</t>
  </si>
  <si>
    <t>jktiqj jksM</t>
  </si>
  <si>
    <t>21%27</t>
  </si>
  <si>
    <t>Qwyluh ikS/kk</t>
  </si>
  <si>
    <t>14%13</t>
  </si>
  <si>
    <t xml:space="preserve">,QvkjvkbZ xsV ds ikl taxy esa </t>
  </si>
  <si>
    <t>Ikzseuxj dksVjk larwj</t>
  </si>
  <si>
    <t>20%36</t>
  </si>
  <si>
    <t xml:space="preserve">fjaxjksM </t>
  </si>
  <si>
    <t>vkeokyk ds ikl taxy esa</t>
  </si>
  <si>
    <t>15%03</t>
  </si>
  <si>
    <t>vksyh  xkao</t>
  </si>
  <si>
    <t>20%44</t>
  </si>
  <si>
    <t>ekynsork</t>
  </si>
  <si>
    <t>Ek;wj fcgkj iqfyl pkSdh</t>
  </si>
  <si>
    <t>07%47</t>
  </si>
  <si>
    <t>nks cPph jksM lgL=/kkjk jksM</t>
  </si>
  <si>
    <t>09%09</t>
  </si>
  <si>
    <t>HkdMsrh xkao elwjh jksM</t>
  </si>
  <si>
    <t>17%15</t>
  </si>
  <si>
    <t>frCcrh dkyksuh ukykikuh</t>
  </si>
  <si>
    <t>19^16</t>
  </si>
  <si>
    <t>Ukykikuh pksd</t>
  </si>
  <si>
    <t>ykMiqj</t>
  </si>
  <si>
    <t>05%47</t>
  </si>
  <si>
    <t>dkykxkao ds ikl</t>
  </si>
  <si>
    <t>11%34</t>
  </si>
  <si>
    <t>Mh0ih0,l0 Ldwy dkykxkao</t>
  </si>
  <si>
    <t>nwu ifCyd Ldwy pdjkrk jksM</t>
  </si>
  <si>
    <t>18%28</t>
  </si>
  <si>
    <t>lkbZ efUnj jktiqj jksM</t>
  </si>
  <si>
    <t>12%04-2024</t>
  </si>
  <si>
    <t>07%13</t>
  </si>
  <si>
    <t>Qwyluh xkkao</t>
  </si>
  <si>
    <t>11%02</t>
  </si>
  <si>
    <t>d.Mksyh xkao</t>
  </si>
  <si>
    <t>17%42</t>
  </si>
  <si>
    <t>,drk fcgkj ysu u0 15</t>
  </si>
  <si>
    <t>22%40</t>
  </si>
  <si>
    <t>,QvkjvkbZ ds ihNs</t>
  </si>
  <si>
    <t>07%44</t>
  </si>
  <si>
    <t>[kyaxk jksM ukykikuh</t>
  </si>
  <si>
    <t>Tkk[ku tksgjh xkao</t>
  </si>
  <si>
    <t>14%24</t>
  </si>
  <si>
    <t>tkewu okyk</t>
  </si>
  <si>
    <t>xqtjkMk lgL=/kkjk jksM</t>
  </si>
  <si>
    <t>17%11</t>
  </si>
  <si>
    <t>vLFky lgL=/kkjk jksM</t>
  </si>
  <si>
    <t>xSl xksnke  lgL=/kkjk jksM</t>
  </si>
  <si>
    <t>tksgMh tk[ku</t>
  </si>
  <si>
    <t>Mh0ih0,l0 Ldwy dkykxko</t>
  </si>
  <si>
    <t>20%33</t>
  </si>
  <si>
    <t>Vh LVsV</t>
  </si>
  <si>
    <t>07%19</t>
  </si>
  <si>
    <t>fc”V xkao tk[ku</t>
  </si>
  <si>
    <t>18%13</t>
  </si>
  <si>
    <t>,QvkjvkbZ ds ikl</t>
  </si>
  <si>
    <t>16%01</t>
  </si>
  <si>
    <t>dksBky xsV ds ikl</t>
  </si>
  <si>
    <t>20%56</t>
  </si>
  <si>
    <t>Ckfu;kokyk xSl xksnke izseuxj</t>
  </si>
  <si>
    <t>Cknzh’k dkyksuh</t>
  </si>
  <si>
    <t>frCcrh dkyksuh [kyxk</t>
  </si>
  <si>
    <t>19%10</t>
  </si>
  <si>
    <t xml:space="preserve">jktiqj  lkbZ efUnj ds ikl ikuh dh Vadh </t>
  </si>
  <si>
    <t>12%58</t>
  </si>
  <si>
    <t xml:space="preserve">}kjk xkao jk;iqj </t>
  </si>
  <si>
    <t>26-04-32024</t>
  </si>
  <si>
    <t>14%39</t>
  </si>
  <si>
    <t xml:space="preserve">,pvkbZVh dkyst dkyk xkao ds ikl </t>
  </si>
  <si>
    <t>00%20</t>
  </si>
  <si>
    <t>fluksyk xkao tk[ku</t>
  </si>
  <si>
    <t>16%36</t>
  </si>
  <si>
    <t>vksYM elwjh jksM</t>
  </si>
  <si>
    <t>20%13</t>
  </si>
  <si>
    <t>,Q-vkj-vkbZ ifjlj ds vanj lw[ks is Mesa vkx</t>
  </si>
  <si>
    <t>2904-2024</t>
  </si>
  <si>
    <t>jktiqj jksM ij Hkkjrh; ukSlsuk ds dk;kZy; ds ihNs taxy esa vkx</t>
  </si>
  <si>
    <t>22%37</t>
  </si>
  <si>
    <t>Elwjh jksM iqjdqy xkao taxy esa vkzx</t>
  </si>
  <si>
    <t>22%57</t>
  </si>
  <si>
    <t xml:space="preserve">elwjh jksM iqjdqy xkoa </t>
  </si>
  <si>
    <t>tksgMh xkao ds ikl taxy esa vkx</t>
  </si>
  <si>
    <t>17%22</t>
  </si>
  <si>
    <t>Tkk[ku ds ikl taxy esa vkx</t>
  </si>
  <si>
    <t>19%47</t>
  </si>
  <si>
    <t xml:space="preserve">tksgMh xkao tk[ku </t>
  </si>
  <si>
    <t>lkbZ efUnj ds ikl jktiqj jksM nsgjknwu esa isM ,d fo’kkydk; isM fxjk Fkk ftls Qk;j lfoZl ;wfUV }kjk oqMu dVj ls isM dks dkVdj ekxZ@VªsfQd dks lqpk: fd;k x;k</t>
  </si>
  <si>
    <t>f’kokfyd vikvZesUV dSuky jksM nsgjknwu</t>
  </si>
  <si>
    <t xml:space="preserve">Eksgdeiqj ¶ykbZvksoj ds ikl </t>
  </si>
  <si>
    <t>fcUnky iqy ‘kfu efUnj ds ikla isM ,d fo’kkydk; isM fxjk Fkk ftls Qk;j lfoZl ;wfUV }kjk oqMu dVj ls isM dks dkVdj ekxZ@VªsfQd dks lqpk: fd;k x;k k</t>
  </si>
  <si>
    <t>lejosyh Ldwy ds ikl rsxcgknqj jksM ij lMd ij isM ,d fo’kkydk; isM fxjk Fkk ftls Qk;j lfoZl ;wfUV }kjk oqMu dVj ls isM dks dkVdj ekxZ@VªsfQd dks lqpk: fd;k x;k</t>
  </si>
  <si>
    <t xml:space="preserve">vkink </t>
  </si>
  <si>
    <t>osygse xYlZ Ldwy ds isM ,d fo’kkydk; isM fxjk Fkk ftls Qk;j lfoZl ;wfUV }kjk oqMu dVj ls isM dks dkVdj ekxZ@VªsfQd dks lqpk: fd;k x;k</t>
  </si>
  <si>
    <t>dkUosV Ldwy fudV frCcrh ekdsZV isM ,d fo’kkydk; isM fxjk Fkk ftls Qk;j lfoZl ;wfUV }kjk oqMu dVj ls isM dks dkVdj ekxZ@VªsfQd dks lqpk: fd;k x;k</t>
  </si>
  <si>
    <t>-+</t>
  </si>
  <si>
    <r>
      <t xml:space="preserve">ekg ebZ 2024  </t>
    </r>
    <r>
      <rPr>
        <b/>
        <u/>
        <sz val="13"/>
        <color theme="1"/>
        <rFont val="Kruti Dev 016"/>
      </rPr>
      <t xml:space="preserve">vksizs’kuy izdj.k vfXudk.Mks dk fooj.kA </t>
    </r>
  </si>
  <si>
    <t>fd’kuiqj</t>
  </si>
  <si>
    <t xml:space="preserve">[kqMcqMk eksgYyk </t>
  </si>
  <si>
    <t>ekrk efUnj jksM</t>
  </si>
  <si>
    <t>10%08</t>
  </si>
  <si>
    <t>[kqMcqMk eksgYyk</t>
  </si>
  <si>
    <t>16%06</t>
  </si>
  <si>
    <t>mRrjkpy ;wfuojflVh</t>
  </si>
  <si>
    <t>‘kkVZ lfdZV ls</t>
  </si>
  <si>
    <t>rsy ds VSadj</t>
  </si>
  <si>
    <t>20%35</t>
  </si>
  <si>
    <t>y{ek.k pkSd ds ikl</t>
  </si>
  <si>
    <t>20%51</t>
  </si>
  <si>
    <t>x&lt;hdsUV</t>
  </si>
  <si>
    <t>11%06</t>
  </si>
  <si>
    <t>R;kxh jksM</t>
  </si>
  <si>
    <t>cMksokyk</t>
  </si>
  <si>
    <t>20%03</t>
  </si>
  <si>
    <t>,eds0ih dkyst ds ikl</t>
  </si>
  <si>
    <t>bZlh jksM</t>
  </si>
  <si>
    <t>rquokyk dSuky jksM</t>
  </si>
  <si>
    <t>5%10</t>
  </si>
  <si>
    <t>ifMrokMh iqfyl pkSdh ds ikl</t>
  </si>
  <si>
    <t>12%11</t>
  </si>
  <si>
    <t>Mh,e vkokl ds ikl</t>
  </si>
  <si>
    <t>13%04</t>
  </si>
  <si>
    <t>,e0ds0ih0 dkyst ds ikl</t>
  </si>
  <si>
    <t>fdlkZyh pkSd</t>
  </si>
  <si>
    <t>[kkyh IykV esa vkx</t>
  </si>
  <si>
    <t>14%58</t>
  </si>
  <si>
    <t>lsykdqbZ QSDVªjh esa vkx</t>
  </si>
  <si>
    <t>Qk0LVs0 lsykdqbZ }kjk fn;k tk;sxk</t>
  </si>
  <si>
    <t>QsDVªjh esa</t>
  </si>
  <si>
    <t>21%17</t>
  </si>
  <si>
    <t xml:space="preserve">dkyhnkl jksM [kkyh IykWV </t>
  </si>
  <si>
    <t>fctyh ds iksy eksFjksokyk</t>
  </si>
  <si>
    <t>14%08</t>
  </si>
  <si>
    <t>,w0ds0ih0 pkSd ds ikl ldwVh esa vkx</t>
  </si>
  <si>
    <t xml:space="preserve">LdwVh esa </t>
  </si>
  <si>
    <t>16%29</t>
  </si>
  <si>
    <t>cMk HkkMokyk flys.Mj esa vkx</t>
  </si>
  <si>
    <t>14%00</t>
  </si>
  <si>
    <t>fujatuwj eaMh ds ikl</t>
  </si>
  <si>
    <t>dwMs esa</t>
  </si>
  <si>
    <t>15%52</t>
  </si>
  <si>
    <t xml:space="preserve">lgL+=/kkjk jksM </t>
  </si>
  <si>
    <t>ykijogh</t>
  </si>
  <si>
    <t>20%32</t>
  </si>
  <si>
    <t>,e0 ds ih pkSd ds ikl</t>
  </si>
  <si>
    <t>[kkyh IykWV</t>
  </si>
  <si>
    <t>20%55</t>
  </si>
  <si>
    <t>vkbZ0,l0ch0Vh ikoj gkml</t>
  </si>
  <si>
    <t>ikoj gkml</t>
  </si>
  <si>
    <t>00%46</t>
  </si>
  <si>
    <t>vYQk Vkoj dkj esa vkx</t>
  </si>
  <si>
    <t>tkWp izpfyr</t>
  </si>
  <si>
    <t>16%46</t>
  </si>
  <si>
    <t>th0,e0,l0 jkssM</t>
  </si>
  <si>
    <t xml:space="preserve">dwMs </t>
  </si>
  <si>
    <t>pwuk HkVVk jk;iqj jksM</t>
  </si>
  <si>
    <t>[kkyh IykWV es</t>
  </si>
  <si>
    <t>09%52</t>
  </si>
  <si>
    <t>,eMhMh, dk;kZy; ds lkeus iVkk[kk QSDVjh</t>
  </si>
  <si>
    <t xml:space="preserve">‘kkVZ lfdZV </t>
  </si>
  <si>
    <t>QSDVªjh</t>
  </si>
  <si>
    <t>17%44</t>
  </si>
  <si>
    <t>xksj[kiqj pkSd ds ikl</t>
  </si>
  <si>
    <t>&gt;kfM;ks esa</t>
  </si>
  <si>
    <t>19%58</t>
  </si>
  <si>
    <t>caxkyh dksBh ds ikl</t>
  </si>
  <si>
    <t>usg: dkWyhuh jsyos ykbZu ds ikl</t>
  </si>
  <si>
    <t>&gt;kkfM;ks esa</t>
  </si>
  <si>
    <t>12%48</t>
  </si>
  <si>
    <t>/keZiqj ,Vh,e esa vkx</t>
  </si>
  <si>
    <t>00%27</t>
  </si>
  <si>
    <t xml:space="preserve">jktiqj jksM </t>
  </si>
  <si>
    <t>ckal ds isMks esa</t>
  </si>
  <si>
    <t>06%25</t>
  </si>
  <si>
    <t>MksBZokyk esau ekdZsV</t>
  </si>
  <si>
    <t xml:space="preserve">iVsyHkou ds ikl </t>
  </si>
  <si>
    <t>17%54</t>
  </si>
  <si>
    <t>/kkjk pkSdh ds ikl</t>
  </si>
  <si>
    <t>dwMs essa</t>
  </si>
  <si>
    <t>,w0ds0ih0 pkSd</t>
  </si>
  <si>
    <t>07%06</t>
  </si>
  <si>
    <t>rglhy pkSd ds ikl</t>
  </si>
  <si>
    <t>17&amp;05-2024</t>
  </si>
  <si>
    <t xml:space="preserve">clUr fcgkj </t>
  </si>
  <si>
    <t>‘’kVZ lfdZV</t>
  </si>
  <si>
    <t>/kj esa</t>
  </si>
  <si>
    <t>16%05</t>
  </si>
  <si>
    <t>iukloSyh jsftMsUlh</t>
  </si>
  <si>
    <t>QySV esa</t>
  </si>
  <si>
    <t>16%14</t>
  </si>
  <si>
    <t>izseuxj uUnk dh pkSdh</t>
  </si>
  <si>
    <t>02%28</t>
  </si>
  <si>
    <t>tk[ku &gt;kfM+;ksa esa vkx</t>
  </si>
  <si>
    <t>&gt;kkfM;ksa esa vkx</t>
  </si>
  <si>
    <t>16%50</t>
  </si>
  <si>
    <t>iqfMrokMh iqfyl pkSdh ds</t>
  </si>
  <si>
    <t>e/; ls okil</t>
  </si>
  <si>
    <t>18%55</t>
  </si>
  <si>
    <t>iqafMrokMh xaxksMk</t>
  </si>
  <si>
    <t xml:space="preserve">ijky esa </t>
  </si>
  <si>
    <t>19%27</t>
  </si>
  <si>
    <t>xqMMqokyk pkSd fc”V xkao</t>
  </si>
  <si>
    <t>&gt;ksiMh esa vkx</t>
  </si>
  <si>
    <t>19%34</t>
  </si>
  <si>
    <t xml:space="preserve">ekynsork </t>
  </si>
  <si>
    <t>kkl Qql esa vkx</t>
  </si>
  <si>
    <t>20-05*-2024</t>
  </si>
  <si>
    <t>vkapy Msjh jk;iqj is Mesa vkx</t>
  </si>
  <si>
    <t>vkbZVh ikdZ ds ikl edku esa vkx</t>
  </si>
  <si>
    <t>csdjh ‘kki th,e,l jksM</t>
  </si>
  <si>
    <t>csdjh</t>
  </si>
  <si>
    <t>21-+05-2024</t>
  </si>
  <si>
    <t>03%04</t>
  </si>
  <si>
    <t>x&lt;hds.V dwMs esa vkx</t>
  </si>
  <si>
    <t>lgkjuiqj jksM iVsyuxj</t>
  </si>
  <si>
    <t>lqHkk”k jksM fctyh ds iksy esa vkx</t>
  </si>
  <si>
    <t>15%22</t>
  </si>
  <si>
    <t>vuqjkx pkSd Hkwry esa fctyh ehVj esa vkx</t>
  </si>
  <si>
    <t>fctyh ehVj esa vkx</t>
  </si>
  <si>
    <t>19%28</t>
  </si>
  <si>
    <t>fdlkZyh pkSd fctyh ds iksy esa vkx</t>
  </si>
  <si>
    <t>DyseuVkMu fctyh ds ehVj es vkx</t>
  </si>
  <si>
    <t>01%27</t>
  </si>
  <si>
    <t>cyohj jksM [kkyh IykV esa vkx</t>
  </si>
  <si>
    <t>06%19</t>
  </si>
  <si>
    <t>dksjksus’ku vLirky nwljh eafty esa vkx</t>
  </si>
  <si>
    <t>‘kkVZ lfdZV -</t>
  </si>
  <si>
    <t>25*-05-2024</t>
  </si>
  <si>
    <t>08%51</t>
  </si>
  <si>
    <t>dkaoyh jksM xksnke esa vkx</t>
  </si>
  <si>
    <t>e?; ekxZ ls okil</t>
  </si>
  <si>
    <t>fnykjke pkSd is Mesa vkx</t>
  </si>
  <si>
    <t>-------</t>
  </si>
  <si>
    <t>fctyh ds fLop cksMZ esa vkx</t>
  </si>
  <si>
    <t>fLop cksMZ esa vkx</t>
  </si>
  <si>
    <t>clar fogkj [kkkyh IykV esa vkx</t>
  </si>
  <si>
    <t>th,e,l jksM fctyh dh ykbZu esa vkx</t>
  </si>
  <si>
    <t>fctyh dh rkj esa</t>
  </si>
  <si>
    <t>23-33</t>
  </si>
  <si>
    <t>14%47</t>
  </si>
  <si>
    <t>iqfyl ykbZu ds ikl tujsVj esa vkx</t>
  </si>
  <si>
    <t>ghV gksus ds dkj.k</t>
  </si>
  <si>
    <t>tujsVj esa vkx</t>
  </si>
  <si>
    <t>us’kfoyk jksM Mkyuokyk] VklQkeZj esa vkx</t>
  </si>
  <si>
    <t>VklQkeZj esa vkx</t>
  </si>
  <si>
    <t>16%33</t>
  </si>
  <si>
    <t>dSuky jksM &gt;kfM;ks esa vkx</t>
  </si>
  <si>
    <t>&gt;kfM;ks esa vkx</t>
  </si>
  <si>
    <t>17%00</t>
  </si>
  <si>
    <t>dyseuVkmu fctyh ds iksy esvkx</t>
  </si>
  <si>
    <t>20%37</t>
  </si>
  <si>
    <t>fgy O;w dkyksuh banjk uxj</t>
  </si>
  <si>
    <t>isMks o lw[ks iRRkks a vkx</t>
  </si>
  <si>
    <t>[kqMcqMk pkSdh ds ikl nqdku esa</t>
  </si>
  <si>
    <t>nqdku esa vkx</t>
  </si>
  <si>
    <t>13%42</t>
  </si>
  <si>
    <t>gksVy LVkjoqM R;kxh jskM jlksbZ ?kj esa vkx</t>
  </si>
  <si>
    <t>13%44</t>
  </si>
  <si>
    <t>Vh LVsV izseuxj</t>
  </si>
  <si>
    <t>ykiokgh</t>
  </si>
  <si>
    <t>20%47</t>
  </si>
  <si>
    <t>Tkh-vkj-Mh dkyst fctyh ds iksay esa vkx</t>
  </si>
  <si>
    <t>,Q,l ;wfuV ds igpus ls igus gh Pkqdh FkhA</t>
  </si>
  <si>
    <t>usg: xkze fctyh ds iksy esa vkx</t>
  </si>
  <si>
    <t>fctyh ds isky esa vkx</t>
  </si>
  <si>
    <t>12%06</t>
  </si>
  <si>
    <t>iVsyuxj [kkyh IykV esa vkx</t>
  </si>
  <si>
    <t>[kkkyh IykV esa vkx</t>
  </si>
  <si>
    <t>Vh LVsV ] cfu;kokyk]</t>
  </si>
  <si>
    <t>;wukbZVsM  bfM;k bU’;ksjsal dEiuh] jru iSysl nsgjknwuA</t>
  </si>
  <si>
    <t>;wjsMk dk;kZy; fctyh ds ehVj esa vkx</t>
  </si>
  <si>
    <t>18%41</t>
  </si>
  <si>
    <t>tk[ku [kkyh IykV esa vkx</t>
  </si>
  <si>
    <t>23%13</t>
  </si>
  <si>
    <t>lgkjuiqj jksM uxj fuxe cslesaV esa dwMs esa vkx</t>
  </si>
  <si>
    <t>dqMas esa vkx</t>
  </si>
  <si>
    <t>30-05-20247</t>
  </si>
  <si>
    <t>23%52</t>
  </si>
  <si>
    <t>iVsyuxj vej mtkyk dk;kZy; ds ckgj dwMs esa vkx</t>
  </si>
  <si>
    <t>fot; ikdZ VªaklQkeZj o &gt;kkfM;ks esa vkx</t>
  </si>
  <si>
    <t>VªaklQkeZj o &gt;kkfM;ks esa vkx</t>
  </si>
  <si>
    <t>nqdku esa vkx] cYywiqj pdjkrk jksM</t>
  </si>
  <si>
    <t>47]60]000</t>
  </si>
  <si>
    <t>27]02]42]000</t>
  </si>
  <si>
    <t>18%58</t>
  </si>
  <si>
    <t>xqPpqikuh</t>
  </si>
  <si>
    <t>12%40</t>
  </si>
  <si>
    <t>tSUruokyk</t>
  </si>
  <si>
    <t xml:space="preserve"> vkehZ {ks= ?ka?kksMk</t>
  </si>
  <si>
    <t>fdekMh jksM</t>
  </si>
  <si>
    <t>ts,lvkj gksVy ds ikl</t>
  </si>
  <si>
    <t>dksBkyxsV</t>
  </si>
  <si>
    <t>11%56</t>
  </si>
  <si>
    <t>fdekMh</t>
  </si>
  <si>
    <t>lqHkk”kuxj</t>
  </si>
  <si>
    <t>19%40</t>
  </si>
  <si>
    <t>/kw/kyh</t>
  </si>
  <si>
    <t>14%46</t>
  </si>
  <si>
    <t>egkj.kk izrki LiksVZl dkyst</t>
  </si>
  <si>
    <t>unk dh pkSd</t>
  </si>
  <si>
    <t>17%25</t>
  </si>
  <si>
    <t>nwu oSyh Ldwy fluksyk</t>
  </si>
  <si>
    <t>vksyh xkao</t>
  </si>
  <si>
    <t>17%58</t>
  </si>
  <si>
    <t>lgL=/kkjk taxy esa vkx</t>
  </si>
  <si>
    <t>20%14</t>
  </si>
  <si>
    <t>Qwylsuh xkao</t>
  </si>
  <si>
    <t>20%21</t>
  </si>
  <si>
    <t>xksYQ LVsV lgL=/kkjk jksM</t>
  </si>
  <si>
    <t>epku jsLVkjsUV taxy esa</t>
  </si>
  <si>
    <t>vkSYM elwjh jksM</t>
  </si>
  <si>
    <t>U;w dSUV jksM</t>
  </si>
  <si>
    <t>ekylh fM;j ikdZ ds ikl</t>
  </si>
  <si>
    <t>18%59</t>
  </si>
  <si>
    <t>20%01</t>
  </si>
  <si>
    <t>eksFkjksokyk ds ikl</t>
  </si>
  <si>
    <t>21%32</t>
  </si>
  <si>
    <t>xksykl vkeokyk</t>
  </si>
  <si>
    <t>22%00</t>
  </si>
  <si>
    <t>cYYkwij QykbZvksoj ds</t>
  </si>
  <si>
    <t>00%16</t>
  </si>
  <si>
    <t>xzkfQd ,sjk ds ihNs</t>
  </si>
  <si>
    <t>08%12</t>
  </si>
  <si>
    <t>18%35</t>
  </si>
  <si>
    <t>x&lt;h dSUV Mkdjk</t>
  </si>
  <si>
    <t>12%25</t>
  </si>
  <si>
    <t>lgL+=/kkjk jksM</t>
  </si>
  <si>
    <t>18&amp;05-2024</t>
  </si>
  <si>
    <t>13%19</t>
  </si>
  <si>
    <t>chjiqj xaxkaMk</t>
  </si>
  <si>
    <t>fc/kksyh ds ikl</t>
  </si>
  <si>
    <t>e;wjfogkj pkSdh ds ikl</t>
  </si>
  <si>
    <t>udjksank gjkZokyk taxy esa vkx</t>
  </si>
  <si>
    <t>06%24</t>
  </si>
  <si>
    <t>MhvkbZVh dkyst ds ikl</t>
  </si>
  <si>
    <t>11%18</t>
  </si>
  <si>
    <t xml:space="preserve">foosd fogkj </t>
  </si>
  <si>
    <t>fjaxjksM</t>
  </si>
  <si>
    <t>01%31</t>
  </si>
  <si>
    <t>,QvkjvkbZ taxy esa vkx</t>
  </si>
  <si>
    <t>/kkSykl x&lt;hds.V</t>
  </si>
  <si>
    <t>22%13</t>
  </si>
  <si>
    <t>Ekk.Mqokyk</t>
  </si>
  <si>
    <t>00%58</t>
  </si>
  <si>
    <t>jk;iqj taxy esa  vkx</t>
  </si>
  <si>
    <t>10%04</t>
  </si>
  <si>
    <t xml:space="preserve">jk;iqj </t>
  </si>
  <si>
    <t>20%02</t>
  </si>
  <si>
    <t xml:space="preserve">,-Vh dkyksuh] lgL=/kkjk </t>
  </si>
  <si>
    <t xml:space="preserve">eksgCcsokyk </t>
  </si>
  <si>
    <t>13%05</t>
  </si>
  <si>
    <t xml:space="preserve">fdekMh jksM </t>
  </si>
  <si>
    <t>;w-ds-,l-,l-lh jk;iqj</t>
  </si>
  <si>
    <t>jk;iqj txay esa vkx</t>
  </si>
  <si>
    <r>
      <t xml:space="preserve">                                                                      </t>
    </r>
    <r>
      <rPr>
        <b/>
        <u/>
        <sz val="11"/>
        <color theme="1"/>
        <rFont val="Kruti Dev 016"/>
      </rPr>
      <t xml:space="preserve"> vksizs’kuy izdj.k tho j{kk dk fooj.kA izk#i&amp;3¼x½</t>
    </r>
  </si>
  <si>
    <t>okgu nq?kVZuk-</t>
  </si>
  <si>
    <t xml:space="preserve">&gt;Mhikuh elwjh esa dkj xhjus dh lwpuk </t>
  </si>
  <si>
    <t>mDr ?kVukLFky Qk;j LVs”ku elwjh {ks=kxZr gksus ds dkj.k e`rdks rFkk /kk;kyks dk fooj.k ,Q,l elwjh }kjk fn;k tk;sxkA-</t>
  </si>
  <si>
    <t>cMksokyk iqy lkbZyksddkyksuh u;kxkoa f’keykckbZikl nsgjknwu MEij iyVus dh lwpuk</t>
  </si>
  <si>
    <t xml:space="preserve">fdnnq okyk dckMh dh nqdku esa fo”QksV </t>
  </si>
  <si>
    <t>calr fogkj vkbZVh chih jksM- peu fogkj lhoj ykbZu esa lQkbZ dehZ dk Qluk</t>
  </si>
  <si>
    <r>
      <t xml:space="preserve">Ekkg twu 2024  </t>
    </r>
    <r>
      <rPr>
        <b/>
        <u/>
        <sz val="13"/>
        <color theme="1"/>
        <rFont val="Kruti Dev 016"/>
      </rPr>
      <t xml:space="preserve">vksizs’kuy izdj.k vfXudk.Mks dk fooj.kA </t>
    </r>
  </si>
  <si>
    <t>e/; ekxZ</t>
  </si>
  <si>
    <t xml:space="preserve">caxkyh dkBh </t>
  </si>
  <si>
    <t>jsLVksjsUV</t>
  </si>
  <si>
    <t>elwjh jksM QzSaM dSQs</t>
  </si>
  <si>
    <t>jsLVkjsUV</t>
  </si>
  <si>
    <t>23%36</t>
  </si>
  <si>
    <t>oShHko pkSd clUr fogkj</t>
  </si>
  <si>
    <t>‘kkvZ lfdZV</t>
  </si>
  <si>
    <t>01%22</t>
  </si>
  <si>
    <t xml:space="preserve">eksrh cktkj </t>
  </si>
  <si>
    <t>10%10</t>
  </si>
  <si>
    <t>lqHkk”k jksM nsgjknwu</t>
  </si>
  <si>
    <t>kkVZ lfdZV ls</t>
  </si>
  <si>
    <t>R;kxh jksM [kkyh IykWV</t>
  </si>
  <si>
    <t>[kkyh IYkWkV</t>
  </si>
  <si>
    <t>16%51</t>
  </si>
  <si>
    <t>vUuiw.kZk pkV Hk.Mkj</t>
  </si>
  <si>
    <t>04%49</t>
  </si>
  <si>
    <t>cUuw ldwy ds ikl</t>
  </si>
  <si>
    <t>Mh0,y0jksM nsgjknwu</t>
  </si>
  <si>
    <t>16%08</t>
  </si>
  <si>
    <t xml:space="preserve">,LysgkWy ds ikl </t>
  </si>
  <si>
    <t>18%34</t>
  </si>
  <si>
    <t>23%17</t>
  </si>
  <si>
    <t xml:space="preserve">eksgdeiqj ?kj esa </t>
  </si>
  <si>
    <t>06%39</t>
  </si>
  <si>
    <t>eDdk elftn pkSd</t>
  </si>
  <si>
    <t>09%48</t>
  </si>
  <si>
    <t>lqHkk’kuxj edku es</t>
  </si>
  <si>
    <t>21%48</t>
  </si>
  <si>
    <t xml:space="preserve">veu fogkj </t>
  </si>
  <si>
    <t>22%23</t>
  </si>
  <si>
    <t xml:space="preserve">eksgdeiq QykbZvksoj ds </t>
  </si>
  <si>
    <t>‘kkVZ lfdZV e/; ekxZ</t>
  </si>
  <si>
    <t>fctyh ds ehVj esa</t>
  </si>
  <si>
    <t>v’kksd fogkj ckbZikl</t>
  </si>
  <si>
    <t>22%21</t>
  </si>
  <si>
    <t>nwu ;wfuoflZVh jksM</t>
  </si>
  <si>
    <t>23%54</t>
  </si>
  <si>
    <t xml:space="preserve">tk[ku </t>
  </si>
  <si>
    <t>02%33</t>
  </si>
  <si>
    <t xml:space="preserve">uoknk </t>
  </si>
  <si>
    <t>08%08</t>
  </si>
  <si>
    <t xml:space="preserve">DyseuVkMu </t>
  </si>
  <si>
    <t>‘kkVz lfdZV</t>
  </si>
  <si>
    <t>18%09</t>
  </si>
  <si>
    <t xml:space="preserve">pk.kSD;iqjh </t>
  </si>
  <si>
    <t>23%20</t>
  </si>
  <si>
    <t xml:space="preserve">esgwokyk </t>
  </si>
  <si>
    <t>21%23</t>
  </si>
  <si>
    <t>pUnzcuh pkSd</t>
  </si>
  <si>
    <t xml:space="preserve">‘kkVz lfdZV </t>
  </si>
  <si>
    <t>10%36</t>
  </si>
  <si>
    <t>fudV fo/kkulHkk</t>
  </si>
  <si>
    <t>pk;ckxu izseuxj</t>
  </si>
  <si>
    <t>pk;ckxu</t>
  </si>
  <si>
    <t xml:space="preserve">fujatuiqj </t>
  </si>
  <si>
    <t>yhph dsckx</t>
  </si>
  <si>
    <t xml:space="preserve">vksYM elwjh jksM </t>
  </si>
  <si>
    <t>vk;qZosfnd dkyst</t>
  </si>
  <si>
    <t>14%20</t>
  </si>
  <si>
    <t>lSVFkksel LDwy</t>
  </si>
  <si>
    <t>ykihokgh</t>
  </si>
  <si>
    <t>00%48</t>
  </si>
  <si>
    <t>ljLorh fogkj</t>
  </si>
  <si>
    <t>VªklaQkeZj</t>
  </si>
  <si>
    <t>13%09</t>
  </si>
  <si>
    <t>HkxhjFkiqje</t>
  </si>
  <si>
    <t>[kkyh IykWv</t>
  </si>
  <si>
    <t>14%07</t>
  </si>
  <si>
    <t>dkBxaxyk jktiqj jksM</t>
  </si>
  <si>
    <t>15%29</t>
  </si>
  <si>
    <t>losZ vkW bf,M;k</t>
  </si>
  <si>
    <t>ykijokgh e/; ekxZ</t>
  </si>
  <si>
    <t xml:space="preserve">42 /keZiqj </t>
  </si>
  <si>
    <t>n’kZuh xsV jsyos LVs’ku</t>
  </si>
  <si>
    <t>gksVy</t>
  </si>
  <si>
    <t>lqHkk”kuxj DyseuVkmu</t>
  </si>
  <si>
    <t>peu fogkj Qsl Vw</t>
  </si>
  <si>
    <t>fctyh ds iksy es</t>
  </si>
  <si>
    <t xml:space="preserve">fMQsUl dkYksuh </t>
  </si>
  <si>
    <t>,e0Mh0Mh0 ,0 dkysuh ,0lh esa</t>
  </si>
  <si>
    <t>‘kkkvZ lfdZV</t>
  </si>
  <si>
    <t>17%35</t>
  </si>
  <si>
    <t xml:space="preserve">vkbZ0Vh ikdZ </t>
  </si>
  <si>
    <t>xqPpqikuh uvh ds ikj</t>
  </si>
  <si>
    <t xml:space="preserve">lgL=/kkjk jksM </t>
  </si>
  <si>
    <t>‘kkVz lfdZV e/; exZ</t>
  </si>
  <si>
    <t>08%53</t>
  </si>
  <si>
    <t>lgL=/kkjk gsyhiSM ds ikl</t>
  </si>
  <si>
    <t>foHkwfr gkfLiVy</t>
  </si>
  <si>
    <t>13%33</t>
  </si>
  <si>
    <t>vtciqj dyk</t>
  </si>
  <si>
    <t>&gt;kkfM;ks es</t>
  </si>
  <si>
    <t>izseuxj</t>
  </si>
  <si>
    <t>pk;cxku</t>
  </si>
  <si>
    <t>14%14</t>
  </si>
  <si>
    <t>pk;ckxku</t>
  </si>
  <si>
    <t>21%21</t>
  </si>
  <si>
    <t xml:space="preserve">ukudlj x:}kjk </t>
  </si>
  <si>
    <t>fctygh ds iksy</t>
  </si>
  <si>
    <t>‘kkVz lfdZV e/; ekxZ</t>
  </si>
  <si>
    <t xml:space="preserve">VªkalQkeZj </t>
  </si>
  <si>
    <t>07%35</t>
  </si>
  <si>
    <t>iVsyuxj dEiuh esa</t>
  </si>
  <si>
    <t>e/; kxZ ls okil</t>
  </si>
  <si>
    <t>dEiuh</t>
  </si>
  <si>
    <t>11%57</t>
  </si>
  <si>
    <t xml:space="preserve">catkjkpkyk </t>
  </si>
  <si>
    <t>,lYs gky</t>
  </si>
  <si>
    <t>15%53</t>
  </si>
  <si>
    <t>fo0 mi lalFkku fe;kokyk</t>
  </si>
  <si>
    <t>fo0 mi laLFkku</t>
  </si>
  <si>
    <t>19%20</t>
  </si>
  <si>
    <t xml:space="preserve">pUnuuxj </t>
  </si>
  <si>
    <t>23%42</t>
  </si>
  <si>
    <t>izhre jksM</t>
  </si>
  <si>
    <t>dwMs ess</t>
  </si>
  <si>
    <t>06%52</t>
  </si>
  <si>
    <t>elwjh Mk;Zotu</t>
  </si>
  <si>
    <t>ijoy izseuxj</t>
  </si>
  <si>
    <t>19%56</t>
  </si>
  <si>
    <t>,l0th0vkj0vkj0 iVsyxj</t>
  </si>
  <si>
    <t>Ldwy lVksj</t>
  </si>
  <si>
    <t>dwMs es</t>
  </si>
  <si>
    <t xml:space="preserve">jsyos lVs”ku </t>
  </si>
  <si>
    <t>23%16</t>
  </si>
  <si>
    <t>nsgjk[kkl fctyh ds iksy es</t>
  </si>
  <si>
    <t>23%26</t>
  </si>
  <si>
    <t>vtUrk gksVy ds ikl</t>
  </si>
  <si>
    <t>23%39</t>
  </si>
  <si>
    <t>vkbZ,e0,0 cYM cSad</t>
  </si>
  <si>
    <t>3%11</t>
  </si>
  <si>
    <t>fujtuiqj e.Mh</t>
  </si>
  <si>
    <t>10%55</t>
  </si>
  <si>
    <t>eksFkjksokyk</t>
  </si>
  <si>
    <t>11%09</t>
  </si>
  <si>
    <t>lqeu uxj lgL=/kkjk jksM</t>
  </si>
  <si>
    <t>vkbZMhih,y _f’kds’k</t>
  </si>
  <si>
    <t>bUnz yksd dkyksuh [kkyh IykV esa vkx</t>
  </si>
  <si>
    <t>06%37</t>
  </si>
  <si>
    <t>,eMhMh, dkyksuh VªkUliksVz uxj</t>
  </si>
  <si>
    <t>10%05</t>
  </si>
  <si>
    <t xml:space="preserve">fdn~nwokyk </t>
  </si>
  <si>
    <t xml:space="preserve"> xSl fydst </t>
  </si>
  <si>
    <t>11%51</t>
  </si>
  <si>
    <t>xksYMu esuj vikVzesUV</t>
  </si>
  <si>
    <t>usg# dkyksuh</t>
  </si>
  <si>
    <t>04%35</t>
  </si>
  <si>
    <t>vxzoky gkMZos;j fizla pkSd</t>
  </si>
  <si>
    <t>20%52</t>
  </si>
  <si>
    <t>/keZiqj QOokjk pkSd</t>
  </si>
  <si>
    <t>dkj es</t>
  </si>
  <si>
    <t>egkjk.k LiksVZ pkSd ds ikl</t>
  </si>
  <si>
    <t>05%49</t>
  </si>
  <si>
    <t>x&lt;hdsUV ,l0ch0vkb0 ,0Vh0,e0</t>
  </si>
  <si>
    <t>yhdst</t>
  </si>
  <si>
    <t>12%34</t>
  </si>
  <si>
    <t>vksYM elwjh jksM gksVy gkbZV</t>
  </si>
  <si>
    <t>08%10</t>
  </si>
  <si>
    <t>ekylh</t>
  </si>
  <si>
    <t>pwuk HkVVk ds ikl</t>
  </si>
  <si>
    <t>21%38</t>
  </si>
  <si>
    <t>nwu Ldksyj Ldwy jktiwj jksM</t>
  </si>
  <si>
    <t>VªkalQkeZJ dh Vªkyh esa</t>
  </si>
  <si>
    <t>00%49</t>
  </si>
  <si>
    <t>yD[khckx pkSdh ds ikl</t>
  </si>
  <si>
    <t>fo?kqr ok;j</t>
  </si>
  <si>
    <t>10%17</t>
  </si>
  <si>
    <t xml:space="preserve">m”kk dkyksuh ds ikl </t>
  </si>
  <si>
    <t>ykihogh</t>
  </si>
  <si>
    <t>lqHkk’kuxj ds ikl ,0Vh0,e0</t>
  </si>
  <si>
    <t>,0Vh0,e0</t>
  </si>
  <si>
    <t>23%24</t>
  </si>
  <si>
    <t xml:space="preserve">DyseuVkMu Hkk:okyk </t>
  </si>
  <si>
    <t>12]27]0000</t>
  </si>
  <si>
    <t>10%15</t>
  </si>
  <si>
    <t>01-06+2024</t>
  </si>
  <si>
    <t>13%35</t>
  </si>
  <si>
    <t>ehBhcsjh izseuxj</t>
  </si>
  <si>
    <t>dSuky jksM f’kizk jksM</t>
  </si>
  <si>
    <t>pUnzjksVh xkwo ds ikl</t>
  </si>
  <si>
    <t>17%55</t>
  </si>
  <si>
    <t>xqfu;ky xkWo</t>
  </si>
  <si>
    <t>12%46</t>
  </si>
  <si>
    <t>dSuky jksM</t>
  </si>
  <si>
    <t>LFky jksM nsgjknwu</t>
  </si>
  <si>
    <t>12%35</t>
  </si>
  <si>
    <t>flukSyk xkWo ds ikl</t>
  </si>
  <si>
    <t>15%31</t>
  </si>
  <si>
    <t>10%57</t>
  </si>
  <si>
    <t xml:space="preserve">eksgUM </t>
  </si>
  <si>
    <t>jkts’oj uxj lgL=/kkjk jksM</t>
  </si>
  <si>
    <t xml:space="preserve">tk[ku dkaVs </t>
  </si>
  <si>
    <t>xqtjkMk</t>
  </si>
  <si>
    <t>14%10</t>
  </si>
  <si>
    <t>tk[ku</t>
  </si>
  <si>
    <t>03%26</t>
  </si>
  <si>
    <t>14%41</t>
  </si>
  <si>
    <t>izeuxj</t>
  </si>
  <si>
    <t>fdekMh xkWo</t>
  </si>
  <si>
    <t>uUnk dh pkSdh</t>
  </si>
  <si>
    <t>tkus dk jkLrk ugh Fkk</t>
  </si>
  <si>
    <t>taxy esa</t>
  </si>
  <si>
    <t xml:space="preserve">d,Mksyh xkWo </t>
  </si>
  <si>
    <t>txy esa</t>
  </si>
  <si>
    <t>19%35</t>
  </si>
  <si>
    <t xml:space="preserve">lyku xkWo </t>
  </si>
  <si>
    <t>ukijokgh</t>
  </si>
  <si>
    <t>taxy</t>
  </si>
  <si>
    <t>09%16</t>
  </si>
  <si>
    <t>,Q0vkj0vkbZ</t>
  </si>
  <si>
    <t>taxy es</t>
  </si>
  <si>
    <t>eSdl vLirky ds ikl</t>
  </si>
  <si>
    <t>16%16</t>
  </si>
  <si>
    <t>cMksokyk ds ikl</t>
  </si>
  <si>
    <t>13%34</t>
  </si>
  <si>
    <t>,QvkjvkbZ ls vkxs</t>
  </si>
  <si>
    <t xml:space="preserve">ck&gt;kokyk </t>
  </si>
  <si>
    <t>18%54</t>
  </si>
  <si>
    <t>39]00]000</t>
  </si>
  <si>
    <t>19]12]0000</t>
  </si>
  <si>
    <t xml:space="preserve">                                                                    </t>
  </si>
  <si>
    <t xml:space="preserve">            </t>
  </si>
  <si>
    <r>
      <t xml:space="preserve">  </t>
    </r>
    <r>
      <rPr>
        <b/>
        <u/>
        <sz val="11"/>
        <color theme="1"/>
        <rFont val="Kruti Dev 016"/>
      </rPr>
      <t xml:space="preserve"> vksizs’kuy izdj.k tho j{kk dk fooj.kA izk#i&amp;3¼x½</t>
    </r>
  </si>
  <si>
    <t>fy¶V [kjkc</t>
  </si>
  <si>
    <t xml:space="preserve">xzhu jsftMsUlh jsldkslZ  </t>
  </si>
  <si>
    <t xml:space="preserve">iatkc ,.M flU/k cSad ektjk iVsyuxj </t>
  </si>
  <si>
    <t xml:space="preserve">vfHkeU;q ,dsMeh xqfu;ky xkWo unh  </t>
  </si>
  <si>
    <r>
      <t xml:space="preserve"> Ekg tqykbZ 2024 </t>
    </r>
    <r>
      <rPr>
        <b/>
        <u/>
        <sz val="13"/>
        <color theme="1"/>
        <rFont val="Kruti Dev 016"/>
      </rPr>
      <t xml:space="preserve">vksizs’kuy izdj.k vfXudk.Mks dk fooj.kA </t>
    </r>
  </si>
  <si>
    <t>03*-07-2024</t>
  </si>
  <si>
    <t>00%15</t>
  </si>
  <si>
    <t>th-,el jksM fctyh ds iksy esa vkx</t>
  </si>
  <si>
    <t>gkstjhy dh lgk;rk ls vkx dks iw.kZ :I ls cq&gt;k;k x;kA</t>
  </si>
  <si>
    <t>fMLisUljh jksM+ ds ikl fctyh dh rkjks esa vkx</t>
  </si>
  <si>
    <t>e?; ekxZ ls okil vk;sZ</t>
  </si>
  <si>
    <t>03%38</t>
  </si>
  <si>
    <t>fOkn~;k fogkj Qsl 2 fudV banz’k vLirky VkalQkeZj esa vkx</t>
  </si>
  <si>
    <t>&amp;*</t>
  </si>
  <si>
    <t>vejhd gkWy jsldkslZ edku esa vkx</t>
  </si>
  <si>
    <t>vkx dks iw.kZ :Ik ls cq&gt;k;k x;kA</t>
  </si>
  <si>
    <t>18%31</t>
  </si>
  <si>
    <t>calr fogkj Qsl 2 caxyk u0 184 ds ikl fctyh ds iksy esa vkx</t>
  </si>
  <si>
    <t>vkx cq&gt; tkus ds dkj.k e?; ekxZ ls okil vk;s</t>
  </si>
  <si>
    <t>vk”kkjksMh iqfyl pkSdh ds ikl dkj esa vkx</t>
  </si>
  <si>
    <t>ckyklanjh eafnj dSuky jksM ds ikl fctyh ds iksy esa vkx</t>
  </si>
  <si>
    <t>dkYkj }kjk crk;k x;k fd; vkx cq&gt; pdh gS ,Q,l ;wfuV dSuky jksM ls okil ,Q,l ij mifLFkR gqbZA</t>
  </si>
  <si>
    <t>lhek}kj _f”k fogkj fctyh ds iksy esa vkx</t>
  </si>
  <si>
    <t>dkYkj }kjk crk;k x;k fd; vkx cq&gt; pdh gS ,Q,l ;wfuV th,e,le jksM ls okil ,Q,l ij mifLFkR gqbZA</t>
  </si>
  <si>
    <t>03%29</t>
  </si>
  <si>
    <t>dkoyh jksM ds edku esa vkx</t>
  </si>
  <si>
    <t>[kqMcqMk eksgYyk esa edku dh rhljh efty esa cus LVksj esa yxh Fkh] ftls ,Q,l ;wfuV }kjk ekxZ ladjk gksus ds dkj.k  ckfY;ks ls vkx ij ikuh Mkydj iw.kZ :I ls cq&gt;k;k x;kA</t>
  </si>
  <si>
    <t>21^16</t>
  </si>
  <si>
    <t>efgUnzk ‘kks:e ds ikl fctyh dh rkjks esa vkx</t>
  </si>
  <si>
    <t>efgUnzk ‘kks:e ds il fctyh dh rkjks esa vkx yxh Fkh] ftls ,Q,l ;wfUV ds igqpus ls igys gh fctyh foHkkx ds deZpkfj;ksa }kjk cq&gt;k fn;k x;k FkkA</t>
  </si>
  <si>
    <t>06%47</t>
  </si>
  <si>
    <t>pdjkrk jksM]fcfYMx esa vkx</t>
  </si>
  <si>
    <t>?kVukLFky ?kVk?kj pdjkrk jksM ds ikl igqpdj ,Q,l ;wfuV }kjk vkx dks dkQh rYkk’k djus ij yxh ugh ik;k x;k]ftldh lwuuk ,Q,l ;wfuV }kjk Qk;j LVs’ku okp:Ek M;wVh dks nsdj okikl Qk;j LVs’ku ij mifLFkr gq;sA</t>
  </si>
  <si>
    <t>26+-072024</t>
  </si>
  <si>
    <t>lfpoky; ds ikl okgu esa vkx</t>
  </si>
  <si>
    <r>
      <t>lfpoky; ds ikl okgu esa vkx yxh Fkh]e?; ekXkZ ij igqpdj dkWyj }kjk crk;k x;k fd vkx cq</t>
    </r>
    <r>
      <rPr>
        <b/>
        <sz val="12"/>
        <color theme="1"/>
        <rFont val="Kruti Dev 016"/>
      </rPr>
      <t>&gt; x;h gSA</t>
    </r>
  </si>
  <si>
    <t>nwu vLirky esa vkDlhtu yhdst</t>
  </si>
  <si>
    <t>vkDlhtu xSl yhdst</t>
  </si>
  <si>
    <t>nwu vLirky esa vkDlhtu IykV esa vkDlhtu yhdst gks jgh Fkh] ftls Qk;j lfoZl ;wfuV }kjk cgko can dj yhdst dks jksdk x;kA</t>
  </si>
  <si>
    <t>21%53</t>
  </si>
  <si>
    <t>bZlh jks+M eas ?kj ds ehVj ckDl esa vkx</t>
  </si>
  <si>
    <t>bZlh jksM ij ?kj ds ehVj ckDl esa vkx yxh Fkh] tks ,Q,l ;wfuV ds igqpu ls igys gh cq&gt; pqdh FkhA</t>
  </si>
  <si>
    <t>06%16</t>
  </si>
  <si>
    <t>nwu oYMZ Ldwy] jk;iqj esa ehVj ckDl esa vkx</t>
  </si>
  <si>
    <t>nwu oYMZ Ldwy esa ydMh ds ehVj ckDl esa vkx yxh Fkh] ftls ,l ;wfuV }kjk gkstjhy dh Lkgjk;rk ls i.wkZ :I ls cw&gt;k;k x;kA</t>
  </si>
  <si>
    <t>tk[ku VªaklQkeZj esa vkx</t>
  </si>
  <si>
    <t>tk[ku ds ikl VkalQkeZj esa tks vkx yxh Fkh og ,Q,l ;wfuV ds igqpus ls iwoZ gh cq&gt; pqdh FkhA</t>
  </si>
  <si>
    <t>okgu nq?kZ Vuk</t>
  </si>
  <si>
    <t>okgu ds [kkbZ esa fxjus ds dkj.k 04 O;fDr ?kk;y Fks] ftls ,Q,l ;wfuV ] ,lMhvkj,Q rFkk LFkkuh; turk ds lg;ksx ls ldq’ky fudkydj 108 ,Ecqysl dh lgj;kr ls utnhfd vLikry igqpk;k x;kA</t>
  </si>
  <si>
    <t>unh dk t yLrj c&lt;us ds dkj.k</t>
  </si>
  <si>
    <t>unh dk tyLrj@cgko c&lt; tkus ds dkj.k 10 ykx unh ds nwljh vks Qal x;s Fks ] ftUgs ,Q,l ;wfuV rFkk ,lMh vkj,Q dh enn ls ldq’ky jsLdw;w fd;k x;kA</t>
  </si>
  <si>
    <t>facnky unh esa ikuh c&lt; tkus ds dkj.k 01 efgyk dk cguk</t>
  </si>
  <si>
    <t>facnky unh dk tyLrj c&lt; tkus ds dkj.k 01 efgyk unh esa cg x;hZ Fkh ftls ,Q,l ;wfuV }kjk unh esa dkQh lpZ fd;k x;k rFkk efgyk dk dqN Hkh irk ugh py ik;kA</t>
  </si>
  <si>
    <t>e;wjh fogkj iqfyl pkSdh ds ihNs 01 cMs xM~s esa Ik’kq fxjk gqvk FkkA</t>
  </si>
  <si>
    <t>e;wj fogkj iqfyl pkSdh ds ihNs 01 cMs xM~s esa Ik’kq@LkkaM fxjk gqvk FkkAftls ,Q,l ;wfuV }kjk jLlks dh lgk;rk ls lqjf{kr ckgj fudkyk x;kA</t>
  </si>
  <si>
    <t>iVsyuxj ds ikl phy isM esa Qlh gqbZ FkhA</t>
  </si>
  <si>
    <t>vkS?kksfxd {ks-= iVsyuxj ds ikl 01 phy isM esa Qlh gqbZ Fkh] ftls ,Q ,l ;wfuV }kjk ySMj dh lgk;krk ls ldq”ky okgj fudkyk x;k rFkk eksds ij mifLFkr ou foHkkx ds lqiwnZ fd;k x;kA</t>
  </si>
  <si>
    <t>tksxhokyk ds ikl fyQV esa yksx Qls FksA</t>
  </si>
  <si>
    <t>tksxhokyk thvks ekVZ ds Hkou dh fyQV esa dqN yksx Qls gq;s Fks] dkyj ls lEidZ fd;k rks dkyj }kjk crk;k x;k fd ft;ks ekVZ ds deZpkfj;ks }kjk O;fDr;ks  ldq’ky okgj fudky fn;k x;k gS rFkk Qk;j lfoZl dh vko”;drk ugh gSA</t>
  </si>
  <si>
    <t xml:space="preserve">DyseuVkmu vks[ky HkVVk </t>
  </si>
  <si>
    <t>vks[ky HkVVk esa lwpuk feyh dh ,d O;kfDr ukys esa cg x;k ?kVuk LFky ij igqapdj mDr O;kfDr dks &lt;waMk x;k dqN nsj ckn LFkkuh; iqfyl }kjk crk;k x;k fd ftl O;kfDr dh lwpuk Fkh og fey x;k gS og ?kj ls dgh ckgj ?kweus pyk x;k FkkA ftldh cgus dh lwpuk &gt;wBh FkhA</t>
  </si>
  <si>
    <t>e;wj fcgkj pkSdh ds ikl xk; xM~Ms esa fxjh Fkh</t>
  </si>
  <si>
    <t>e;wj fcgkj pkSdh ds ikl ,d xk; xMMs es fxjh Fkh ftls Qk;j lfoZl ;wfuV }kjk jLlksa dh lgk;rk ls ladq’ky ckgj fudkyk x;kA</t>
  </si>
  <si>
    <t>okgu nq?kZVuk</t>
  </si>
  <si>
    <t>,Qvkj0vkbZ ds ikl okgu nq?kZVuk</t>
  </si>
  <si>
    <t>,QvkjvkbZ ds ikl nks okgu vkil esa Vdjk x;s Fks ftlls jksM ij fMty fxjus ls okgu fQly jgs Fks Qk;j lfoZl ;wfuV }kjk jsr ,oa feVVh Mkydj okil Qk;j LVs’ku ij mifLFkr gq;sA</t>
  </si>
  <si>
    <t>jkgr cPkko</t>
  </si>
  <si>
    <t>;equk dkyksuh ds ikl okgu ds mij isM fxjk FkkA</t>
  </si>
  <si>
    <t>vkaPky Msjh ;equk dyksuh ds ikl okgu ds mij isM fxjk Fkk] ftls ,Q,l ;wfuV }kjk oqMu dVj ls dkVdj okgu ds mij ls gVk;k x;kA</t>
  </si>
  <si>
    <t>jk;iqj ugj esa 02 O;fDr cg x;s FksA</t>
  </si>
  <si>
    <t>vkMZusUl QSDVh ds ikl ugj esa 02 O;fDr cg x;s Fks]ftUgs dkQh [kkst djus ds mijkar 01 O;fDr dks ugj esa pSEcj ls ckgj fudkydj LFkkuh; iqfyl ds lqiwnZ fd;k x;k rFkk nwljs O;fDr dk Ok”kkZ vf/kd gksus rFkk tyLrj c&lt;us ds dkj.k dqN irk ugh py ik;kA</t>
  </si>
  <si>
    <r>
      <t xml:space="preserve"> vxLr  2024  </t>
    </r>
    <r>
      <rPr>
        <b/>
        <u/>
        <sz val="13"/>
        <color theme="1"/>
        <rFont val="Kruti Dev 016"/>
      </rPr>
      <t xml:space="preserve">vksizs’kuy izdj.k vfXudk.Mks dk fooj.kA </t>
    </r>
  </si>
  <si>
    <t>R;kxh jksM ?kj esa vkx</t>
  </si>
  <si>
    <t>07%55</t>
  </si>
  <si>
    <t>iafMrokMh ‘kghn xq:}kjk ds ikl fctyh ds iksy es</t>
  </si>
  <si>
    <t>13%24</t>
  </si>
  <si>
    <t>fcUnky iqy ds ikl xkMh es vkx</t>
  </si>
  <si>
    <t>07%31</t>
  </si>
  <si>
    <t>eksgdeiqj ektjh fctyh ds iksy es</t>
  </si>
  <si>
    <t>&amp;sZ</t>
  </si>
  <si>
    <t>03%07</t>
  </si>
  <si>
    <t>pD[kwokyk fu;j dckMh dh nqdku</t>
  </si>
  <si>
    <t>10%38</t>
  </si>
  <si>
    <t>nwu vLirky ds Lvksj :e esa</t>
  </si>
  <si>
    <t>Nchy ckx y{e.k pkSd fctyh ds iksy esa</t>
  </si>
  <si>
    <t>dkYkj }kjk crk;k x;k fd; vkx cq&gt; pdh gS ,Q,l ;wfuV e/; ekxZ ls okil ,Q,l ij mifLFkR gqbZA</t>
  </si>
  <si>
    <t>16%23</t>
  </si>
  <si>
    <t>y{e.k pkSdh egUr jksM ds ikl edku esa</t>
  </si>
  <si>
    <t xml:space="preserve">      &amp;</t>
  </si>
  <si>
    <t>15%35</t>
  </si>
  <si>
    <t>gjctokyk fu”kkUr bUDyso rsyiqj pkSd ,d edku es</t>
  </si>
  <si>
    <t>n”kes’k fogkj vkeokyk jk;iqj flys.Mj esa</t>
  </si>
  <si>
    <t xml:space="preserve">vkx dks gkstjhy dh lgk;rk ls iw.kZ :Ik ls cq&gt;k;k x;kA </t>
  </si>
  <si>
    <t>rquokyk vij jk;iqj /kjsyw flys.Mj es</t>
  </si>
  <si>
    <t>dkYkj }kjk crk;k x;k fd; vkx cq&gt; pdh gS ,Q,l ;wfuV e/; ekxZ ls okil ,Q,l ij mifLFkR gqbZA yxh Fkh] ftls ,Q,l ;wfUV ds igqpus ls igys gh fctyh foHkkx ds deZpkfj;ksa }kjk cq&gt;k fn;k x;k FkkA</t>
  </si>
  <si>
    <t>ekynsork unh esa ikuh c&lt; tkus ds dkj.k 01 vkneh dk cguk</t>
  </si>
  <si>
    <t>ekynsork unh dk tyLrj c&lt; tkus ds dkj.k 01 O;fDr unh esa cg x;k Fkk ftls ,Q,l ;wfuV ,oa LFkkuh; yksxks dh enn ls ckgj fudkykA</t>
  </si>
  <si>
    <t>jktho xkW/kh dkEIysDl fu;j rglhy pkSd dh Nr ij ckt Qlk Fkk</t>
  </si>
  <si>
    <t xml:space="preserve">,Q0,l0;wfuV }kjk ,DLVs”ku ysMj dh lgk;rk ls idM fy;k x;k rFkk ou foHkkx dh Vhe dks lqiqnZ dj fn;k x;k </t>
  </si>
  <si>
    <t xml:space="preserve"> VkSal unh esa ikuh c&lt; tkus ds dkj.k 01 O;fDr dk cguk</t>
  </si>
  <si>
    <t>Dkwyj ls lEidZ fd;k x;k rks crk;k x;k fd lFkkuh; yksxks }kjk O;fDr dks fudky fy;k x;k gS ,Q0,l0;fuV fcUnky iqy ls okil vk;h</t>
  </si>
  <si>
    <t>bZ”oj fogkj lqUnjokyk esa xkMh cg x;h Fkh</t>
  </si>
  <si>
    <t>bZ’oj fogkj lqUnj okyk esa cysuks xkMh cg x;h Fkh ftlesa esa dkbZ tugkfu ugh gqbZ</t>
  </si>
  <si>
    <t>eksguh jksM iapiqjh dkWyksuh dh unh esa 02 cPps cg x;s</t>
  </si>
  <si>
    <t>,Q0,l0;wfuV vkSj ,l0Mh0vkj0,Q0 lpZ vfHk;ku fd;k x;k ftlesa LFkkuh; yksxks }kjk 01 cPps dks cpk;k x;k rFkk nwljs cPps dks lpZ vfHk;ku fd;k x;k vU/ksjk gksus ds dkj.k ,Q0,l0;wfuV okil vk;hA</t>
  </si>
  <si>
    <t>ekynsork unh esa cksysjks okgu Ql x;k Fkk</t>
  </si>
  <si>
    <t>ekynsork unh dk tyLrj c&lt; tkus ds dkj.k 01 cksysjk okgu ,oa mles 04 O;fDr Qls Fks  LFkkuh; yksxks dh enn ls ckgj fudkykA  dkyj ls lEidZ fd;k rks dkyj }kjk crk;k x;k fd O;fDr;ks  ldq’ky okgj fudky fn;k x;k gS rFkk Qk;j lfoZl dh vko”;drk ugh gSA</t>
  </si>
  <si>
    <t>iq:dqy xkWo esa O;fDr LdwVh ds lkFk Qlk gSA</t>
  </si>
  <si>
    <t>iq:dqy xkWo dh unh esa 01 O;fDr LdwVh ds lkFk unh esa Qlk Fkk fyl ,Q0,l0;wfuV dq igqpus ls igys LFkkuh; O:fDr;ks }kjk fudky fy;k x;k gSA</t>
  </si>
  <si>
    <t>eegkjk.kk izrki LiksVZ dkyst ds vkxs vksfll lDwy</t>
  </si>
  <si>
    <t xml:space="preserve">vks;fll Ldwy ds ihNs unh esa nks ;qod cg x;s ftUgs ,Q0,l0;wfuV ,oa ,lMhvkj,Q {kjk ldq’ky ckgj fudkyk x;k </t>
  </si>
  <si>
    <t xml:space="preserve">MhvkbZVh dkyst iq:dqy xkWo </t>
  </si>
  <si>
    <t>iq:dqy xkWo dsikl unh esa nks ;qod cg x;s ftues 01 ;qod dks ,lMhvkj,Q }kjk fudkyk x;k rFkk nwljs ;qod dh [kkstchu va/kajk gksus rd dh x;h ,Q,l ;wfuV okil vkbZ</t>
  </si>
  <si>
    <t xml:space="preserve">okgu </t>
  </si>
  <si>
    <t>fjLiuk iqy ds ikl dkj esa Qls O;fDr</t>
  </si>
  <si>
    <t>,Q,l ;qfuV ds igqpus ls iwoZ gh LFkkuh; yksxks }kjk nkuks O;fDr;ks dks fudky fy;k x;k e/; ekxZ ls okil vk;sA</t>
  </si>
  <si>
    <t>iVsyuxj vktkn fogkj edku esa Qls O;fDr</t>
  </si>
  <si>
    <t>,Q0,l0;wfuV }kjk edku ls ikuh fudkyk x;k rFkk LFkkuh; yksxks }kjk ?kj ds o;FDr;ks dks cpk;k x;k</t>
  </si>
  <si>
    <t>gkFkhcMdyk lkykokyk edku esa Qls O;fDr</t>
  </si>
  <si>
    <t>ekynsork jksM yksxks ds /kj es eyck vk;k</t>
  </si>
  <si>
    <t>ekynsork jksM ij yksxks ds ?kj ij eyck o ikuh Hkj x;k gS ftldks ,Q0,l0;wfuV ,oa ,lMhvkj,Q0 ] iz’kklu ds }kjk tslhch ls eyck gVok;k x;k o ?kjks ls ikuh fudkyk x;kA</t>
  </si>
  <si>
    <t>uUnk dh pkSdh ds ikl VkSal unh tkuoj Qls gS</t>
  </si>
  <si>
    <t>uUnk dh pkSdh ds ikl VkSal unh esa tkuoj ds cgus dh lwpuk izkIr gqbZ ftlesa ,Q,l ;qfuV us igqpdj ns[kk fd dksbZ Hkh tkuoj unh esa ugh Qlk Fkk ,Q,l ;qfuV okil vk;hA</t>
  </si>
  <si>
    <t>HkaMkjhckx jksM ij Ik{kh isM ij Qls gS</t>
  </si>
  <si>
    <t>HkaMkjhckx jksM ij isM ij i{kh Qalk Fkk ftls ,Q0 ,l0 ;wfuV }kjk ,DlVsalu ySMj dh lgk;rk ls Ik{kh dks  fudky fy;k x;kA</t>
  </si>
  <si>
    <t xml:space="preserve">eksFkjksokyk ckbikl pkSdh ds ikl </t>
  </si>
  <si>
    <t>eksFkjksokyk ckbikl pkSdh ds ikl unh esa 01 O;fDr LdwVh ds lkFk cg x;k Fkk ,Q0,l0;wfuV }kjk lpZ vfHk;ku fd;k dkQh lpZ fd;k x;k ijUrq irk ugh py ik;k</t>
  </si>
  <si>
    <t>nwu vLirky esa ,d O;fDr }kjk vkRegR;k dk iz;kl</t>
  </si>
  <si>
    <t>nwu vLirky dh pkSFkh eafty ij 01 O;fDr }kjk vkErgR;k dk iz;kl dj jgk Fkk ftldk s,Q0,l0 ;wfuV }kjk le&gt;k;k x;k vkjSj lkbZM ls [kpdj cpk;k x;k A</t>
  </si>
  <si>
    <t xml:space="preserve">                              </t>
  </si>
  <si>
    <r>
      <t xml:space="preserve"> Ekg flrEcj   2024  </t>
    </r>
    <r>
      <rPr>
        <b/>
        <u/>
        <sz val="13"/>
        <color theme="1"/>
        <rFont val="Kruti Dev 016"/>
      </rPr>
      <t xml:space="preserve">vksizs’kuy izdj.k vfXudk.Mks dk fooj.kA </t>
    </r>
  </si>
  <si>
    <t>ePNh cktkj</t>
  </si>
  <si>
    <t xml:space="preserve">ykijokgh </t>
  </si>
  <si>
    <t>22%17</t>
  </si>
  <si>
    <t>iqjkuh rglhy ikfdZax</t>
  </si>
  <si>
    <t>dwMs ls</t>
  </si>
  <si>
    <t>xkMh esa</t>
  </si>
  <si>
    <t>14%26</t>
  </si>
  <si>
    <t>‘kkfUr fcgkj usg# dkyksuh</t>
  </si>
  <si>
    <t>07%42</t>
  </si>
  <si>
    <t>230 pUnj jksM Mkyuokyk</t>
  </si>
  <si>
    <t>xSl flys.Mj</t>
  </si>
  <si>
    <t>17%59</t>
  </si>
  <si>
    <t>06 uEcj iqfy;k ysu u0 15</t>
  </si>
  <si>
    <t>e/;ekxZ ls okil</t>
  </si>
  <si>
    <t>th,e,l jksM O;kseizLFk</t>
  </si>
  <si>
    <t>jsyos LVs’ku ds ikl</t>
  </si>
  <si>
    <t>bftfu;j bUdyso feBh csjh</t>
  </si>
  <si>
    <t>01%42</t>
  </si>
  <si>
    <t>y{e.k pkSd 13@11 egUr jksM</t>
  </si>
  <si>
    <t>03%33</t>
  </si>
  <si>
    <t>lkbZyksd dkyksuh th0,e,l jksM</t>
  </si>
  <si>
    <t>06%50</t>
  </si>
  <si>
    <t>th,e0,l jksM deyk iSysl ds fudV</t>
  </si>
  <si>
    <t>00%18</t>
  </si>
  <si>
    <t>dwMs esasa</t>
  </si>
  <si>
    <t>08%56</t>
  </si>
  <si>
    <t>VªkUliksVz uxj y{eh /keZ dkVka</t>
  </si>
  <si>
    <t>871 ihiy e.Mh /kkekkokyk</t>
  </si>
  <si>
    <t xml:space="preserve">orZu ds nqdku </t>
  </si>
  <si>
    <t>12%30</t>
  </si>
  <si>
    <t>Fkkuk jktiqj</t>
  </si>
  <si>
    <t>e/;ekxZ ls okikl</t>
  </si>
  <si>
    <t>18%15</t>
  </si>
  <si>
    <t xml:space="preserve">xka/kh ikdZ ds lkeus </t>
  </si>
  <si>
    <t>09%37</t>
  </si>
  <si>
    <t>egkjk.k izrki LiksVZl fdkyst</t>
  </si>
  <si>
    <t>19%16</t>
  </si>
  <si>
    <t>nwu Ldwy ls vkxs dkyh nkl jksM</t>
  </si>
  <si>
    <t>21%08</t>
  </si>
  <si>
    <t xml:space="preserve">losZpkSd ds ikl </t>
  </si>
  <si>
    <t>dSuky jksM vkbZ Vh ikdZ pkSdh ds ikl</t>
  </si>
  <si>
    <t>dwMk</t>
  </si>
  <si>
    <t>10%45</t>
  </si>
  <si>
    <t>xka/kh xzke xq#}kjs ds ikl</t>
  </si>
  <si>
    <t>18%18</t>
  </si>
  <si>
    <t>izseuxj dkj esa</t>
  </si>
  <si>
    <t xml:space="preserve">fujtuiqj lCth e.Mh </t>
  </si>
  <si>
    <t>30-10--2024</t>
  </si>
  <si>
    <t>iYVu cktkj cxZj ds isM</t>
  </si>
  <si>
    <t xml:space="preserve">cjxn ds isM esa </t>
  </si>
  <si>
    <t>02%03</t>
  </si>
  <si>
    <t>dSuky jksM nwu gjuky</t>
  </si>
  <si>
    <t>vkfr’k ckth</t>
  </si>
  <si>
    <t xml:space="preserve">uxj dksrokyh </t>
  </si>
  <si>
    <t>xkfM;ksa esa</t>
  </si>
  <si>
    <t>16%24</t>
  </si>
  <si>
    <t xml:space="preserve">pUnj uxj </t>
  </si>
  <si>
    <t>19%49</t>
  </si>
  <si>
    <t>laLd`fr yksd dkyksuh ysu u0 05</t>
  </si>
  <si>
    <t>21%24</t>
  </si>
  <si>
    <t>n ukbZu gksVy ‘ksjoqM gksVy</t>
  </si>
  <si>
    <t>vkfr’kckth</t>
  </si>
  <si>
    <t>jtkbZ xnns dh nqdku</t>
  </si>
  <si>
    <t xml:space="preserve">iYVu cktkj ihiy ds is Mesa </t>
  </si>
  <si>
    <t>Vh0,p0Mhlh dkyksuh</t>
  </si>
  <si>
    <t xml:space="preserve">egkj.kk izrki LiksVZl dkyst ds ikl ugj esa </t>
  </si>
  <si>
    <t>egkj.kk izrki LiksVZl dkyst ds ikl ugj esa ,d lhoj ds ukys ls ,d efgyk cgrh gqbZ vk jgh Fkh ftls Qk;j lfoZl ;wfuV ,oa ,l0Mh0vkj0,Q Vhe }kjk idMk x;kA</t>
  </si>
  <si>
    <t>देहरादून</t>
  </si>
  <si>
    <t>-*</t>
  </si>
  <si>
    <t>सिडकुल</t>
  </si>
  <si>
    <t>लक्सर</t>
  </si>
  <si>
    <t>20.03.2024</t>
  </si>
  <si>
    <t>1500/=</t>
  </si>
  <si>
    <t>300000/-</t>
  </si>
  <si>
    <t>65000/-</t>
  </si>
  <si>
    <t>2500/-</t>
  </si>
  <si>
    <t>7500/-</t>
  </si>
  <si>
    <t>350000/-</t>
  </si>
  <si>
    <t>­     _</t>
  </si>
  <si>
    <t>1000/=</t>
  </si>
  <si>
    <t>12000/=</t>
  </si>
  <si>
    <t>15000/=</t>
  </si>
  <si>
    <t>50000/-</t>
  </si>
  <si>
    <t>1,00,00,000 /-</t>
  </si>
  <si>
    <t>50-000</t>
  </si>
  <si>
    <t>70000/=</t>
  </si>
  <si>
    <t>130000/=</t>
  </si>
  <si>
    <t>20000/=</t>
  </si>
  <si>
    <t>30000/=</t>
  </si>
  <si>
    <t>25000/=</t>
  </si>
  <si>
    <t>75000/=</t>
  </si>
  <si>
    <t>90000/=</t>
  </si>
  <si>
    <t>260000/=</t>
  </si>
  <si>
    <t>250000/=</t>
  </si>
  <si>
    <t>200000/=</t>
  </si>
  <si>
    <t>425000/=</t>
  </si>
  <si>
    <t>375000/=</t>
  </si>
  <si>
    <t>2000/=</t>
  </si>
  <si>
    <t>148000/=</t>
  </si>
  <si>
    <t>325000/=</t>
  </si>
  <si>
    <t>750000/=</t>
  </si>
  <si>
    <t>29-98000</t>
  </si>
  <si>
    <t>24-30000</t>
  </si>
  <si>
    <t>170000/=</t>
  </si>
  <si>
    <t>500000/=</t>
  </si>
  <si>
    <t>10000/=</t>
  </si>
  <si>
    <t>490000/=</t>
  </si>
  <si>
    <t>500/=</t>
  </si>
  <si>
    <t>4500/=</t>
  </si>
  <si>
    <t>2500/=</t>
  </si>
  <si>
    <t>3000/=</t>
  </si>
  <si>
    <t>47000/=</t>
  </si>
  <si>
    <t>28000/=</t>
  </si>
  <si>
    <t>15000/-</t>
  </si>
  <si>
    <t>3700000/-</t>
  </si>
  <si>
    <t>835000/-</t>
  </si>
  <si>
    <t>99650000/-</t>
  </si>
  <si>
    <t>9950000/-</t>
  </si>
  <si>
    <t>45000/-</t>
  </si>
  <si>
    <t>40000/=</t>
  </si>
  <si>
    <t>50000/=</t>
  </si>
  <si>
    <t>45000/=</t>
  </si>
  <si>
    <t>10000 -</t>
  </si>
  <si>
    <t>5000=</t>
  </si>
  <si>
    <t>95000=</t>
  </si>
  <si>
    <t>निरंजनपुर के पास दुकान में आग</t>
  </si>
  <si>
    <t>जंाच प्रचलित</t>
  </si>
  <si>
    <t>ः</t>
  </si>
  <si>
    <t>मोथरोवाला मे ंघर में आग</t>
  </si>
  <si>
    <t>घर में आग</t>
  </si>
  <si>
    <t>रेसकोर्स के पास नैना कार में आग</t>
  </si>
  <si>
    <t>नैनो कार में आग</t>
  </si>
  <si>
    <t>जेगीवाला चौक के पास वर्कषॉप मं आग</t>
  </si>
  <si>
    <t>षाट- सर्किट</t>
  </si>
  <si>
    <t>वर्कषॉप में आग</t>
  </si>
  <si>
    <t>पडितवाडी चौक के पास बिजली के पोल में आग</t>
  </si>
  <si>
    <t>षाट-सर्किट</t>
  </si>
  <si>
    <t>बिजली के पोल में आग</t>
  </si>
  <si>
    <t>गोल्फ स्टेट बगीचे मंेआग</t>
  </si>
  <si>
    <t>लपरवाही</t>
  </si>
  <si>
    <t>ब्गीचे में आग</t>
  </si>
  <si>
    <t>जाखन के पास वाहन मे आग</t>
  </si>
  <si>
    <t>दुर्गटना</t>
  </si>
  <si>
    <t>वहन में आग</t>
  </si>
  <si>
    <t>बल्लुपुर फलाईओवर के पास बिजली के पोल मे आग</t>
  </si>
  <si>
    <t>एम.डी.डी. ए कालोनी , डालनवाला के पास कार्यालय भवन में आग</t>
  </si>
  <si>
    <t>कर्यालय में आग</t>
  </si>
  <si>
    <t>विजय कालोनी के पास बाबा की कुटिया में आग</t>
  </si>
  <si>
    <t>कुटिया में आग</t>
  </si>
  <si>
    <t>च्ंद्रबनी चौक के पास दुकान में आग</t>
  </si>
  <si>
    <t>दुकान(खोखे)</t>
  </si>
  <si>
    <t>जी.एम.एस रोड मकान के बिजली के बोर्ड में आग</t>
  </si>
  <si>
    <t>बिजली के बोर्ड में आग</t>
  </si>
  <si>
    <t xml:space="preserve"> आषारोडी चैक पोस्ट के पास ट्रक में आग</t>
  </si>
  <si>
    <t>साईलेन्सर के गर्म होने के कारण</t>
  </si>
  <si>
    <t>ट्रक में आग</t>
  </si>
  <si>
    <t>उम्मेदपुर, प्रेमनगर</t>
  </si>
  <si>
    <t>प्रिजात  एन्कलेव, जोगीवाला, बद्रीपुर, देहरादून।</t>
  </si>
  <si>
    <t>षाट सर्किट</t>
  </si>
  <si>
    <t>लक्ष्मीपुर, थाना-वंसतविहार</t>
  </si>
  <si>
    <t>सहस्त्रधारा रोड, कार में आग</t>
  </si>
  <si>
    <t>कर में आग</t>
  </si>
  <si>
    <t xml:space="preserve">आर्मी अस्पताल , गढीकेण्ट </t>
  </si>
  <si>
    <t>ट्रांसफार्मर में आग</t>
  </si>
  <si>
    <t>सहस्त्रधारा रोड, बिजली के पोल में आग</t>
  </si>
  <si>
    <t xml:space="preserve">षाट सर्किट </t>
  </si>
  <si>
    <t>मालसी पट्रोल पम्प से आगे पेड में आग</t>
  </si>
  <si>
    <t>पेड में आग</t>
  </si>
  <si>
    <t>ईसी रोड, खाली प्लाट में आग</t>
  </si>
  <si>
    <t>पेडो व झाडियों में आग</t>
  </si>
  <si>
    <t>कवली रोड, अनुराग चौक के पास ट्रांसफार्मर में आग</t>
  </si>
  <si>
    <t>केरी गांव प्रेमनगर, ट्रांसफार्मर में आग</t>
  </si>
  <si>
    <t>विषा्रंती रिसोर्ट में आग</t>
  </si>
  <si>
    <t>रिसोर्ट में आग</t>
  </si>
  <si>
    <t>हथी बडकला पुलिस चौकी के पास केबिल कि तारो में आग</t>
  </si>
  <si>
    <t>केबिल की तारो में आग</t>
  </si>
  <si>
    <t>ब्ीरपुर,घंधोडा गैस लीकेज</t>
  </si>
  <si>
    <t>गैस लीकेज</t>
  </si>
  <si>
    <t>दिल्ली पब्लिक स्कूल के पास सीएफओ महोदय द्वारा ट्रायल टर्नआउट</t>
  </si>
  <si>
    <t>ट्रायल टर्नआउट</t>
  </si>
  <si>
    <t>ईद्र बाबाा मार्ग झाडियों में आग</t>
  </si>
  <si>
    <t>तपोवन रोड, कूडे में आग</t>
  </si>
  <si>
    <t>लापरवाही</t>
  </si>
  <si>
    <t>एफआर आई गेट के सामने पेड मे आग</t>
  </si>
  <si>
    <t>सिल्वर रॉक अपार्ट मेंट डालनवालप, फलेट में आग</t>
  </si>
  <si>
    <t>बिदाल पुल के पास बिजली के पोल में आग</t>
  </si>
  <si>
    <t>अपर तुनवाला, टॉवर में आग</t>
  </si>
  <si>
    <t>टावर में आग</t>
  </si>
  <si>
    <t>किमाडी गांव के पास जंगल में आग</t>
  </si>
  <si>
    <t>किमाडी गांव के पास जंगल कि आग को पूर्ण रूप से बुझाया गया।</t>
  </si>
  <si>
    <t xml:space="preserve">जंगल में </t>
  </si>
  <si>
    <t>कैनाल रोड, धोरणा खास, बगीचे में आग</t>
  </si>
  <si>
    <t>रास्ता नही होने के कारण वापस आये।</t>
  </si>
  <si>
    <t>बगीचे में</t>
  </si>
  <si>
    <t>क्लेमनटाउन बिजली के खम्भे में आग</t>
  </si>
  <si>
    <t>विजली के पोल में</t>
  </si>
  <si>
    <t>करगी चौक जेपी प्लाजा में आग</t>
  </si>
  <si>
    <t>थ्बजली के पोल में आग</t>
  </si>
  <si>
    <t>कौलागढ रोड निकटकमल डेरी में अगा</t>
  </si>
  <si>
    <t>स्वमं द्वारा</t>
  </si>
  <si>
    <t>प्रगति विहार ले0न0 4 नेहरू कालोनी, देहरादून।</t>
  </si>
  <si>
    <t>इंद्र बाबा मार्ग बिजली के पोल में आग</t>
  </si>
  <si>
    <t>सुविधा मार्केट,कार मे ंआग</t>
  </si>
  <si>
    <t>सेलाकुई क्षेत्र</t>
  </si>
  <si>
    <t>कैनाल रोड बिजली के पेाल में आग</t>
  </si>
  <si>
    <t>मोथरोवाला, बिजली के पोल में आग</t>
  </si>
  <si>
    <t>सर्वे चौक के पास बिजली के पोल में आग</t>
  </si>
  <si>
    <t>चकराता रोड कम्पयूटर षॉप में आग</t>
  </si>
  <si>
    <t>कम्पयूटर षॉप में आग</t>
  </si>
  <si>
    <t>चंद्र लोक कालोनी राजपुर रोड ट्रांसफार्मर में आग</t>
  </si>
  <si>
    <t>रांझावाला के पास बस मे आग</t>
  </si>
  <si>
    <t xml:space="preserve"> जांच पचलित</t>
  </si>
  <si>
    <t>आकाश इस्टीयूट के बाहर कूडे में आग</t>
  </si>
  <si>
    <t>कंडोली गांव बुलेट में आग</t>
  </si>
  <si>
    <t>कवली रोड़ कुडे में आग</t>
  </si>
  <si>
    <t>जीएमएस रोड आवासीय फ्लैट में आग</t>
  </si>
  <si>
    <t>जांच पचलित</t>
  </si>
  <si>
    <t>राजेश्वरी मंदिर नथुवाला घर में आग</t>
  </si>
  <si>
    <t>मघ्य मार्ग से वापस आये।</t>
  </si>
  <si>
    <t>जे.एम.एस रोड बिजली के पोल में आग</t>
  </si>
  <si>
    <t>बिजली के पोल मे आग</t>
  </si>
  <si>
    <t>क्लेमनटाउन मकान में आग</t>
  </si>
  <si>
    <t>पुराने खण्हर में आग</t>
  </si>
  <si>
    <t>प्रेमनगर घर में आग</t>
  </si>
  <si>
    <t>तिब्ब्ती मार्केट में आग</t>
  </si>
  <si>
    <t>दुकान में</t>
  </si>
  <si>
    <t>केषरवाला प्रेमनगर क्षे.त्र में आग</t>
  </si>
  <si>
    <t>ज्ंगल में आग</t>
  </si>
  <si>
    <t>बिंदाल पुल के पास बिजली के पोल में आग</t>
  </si>
  <si>
    <t>गंगा विहार हरिद्वार रोड बंद घर में आग</t>
  </si>
  <si>
    <t>मीढी बेहडी चौक रांझावाला रोड़, दुकान में आग</t>
  </si>
  <si>
    <t>किषननगर चौक के पास टेलर की दुकान में आग</t>
  </si>
  <si>
    <t>बडोवाला, देहरादून में गौषाला में आग</t>
  </si>
  <si>
    <t>ईसी रोड जनरेटर में आग</t>
  </si>
  <si>
    <t>सरस्वती विहार, अजबपुर कला ट्रंासफार्मर में आग</t>
  </si>
  <si>
    <t>सारा इण्ड्रस्ट्रीज इस्टेट रामनगर</t>
  </si>
  <si>
    <t>फायर स्टेषन सेलाकुई द्वारा विवरण दिया जायेगा</t>
  </si>
  <si>
    <t>आर.सी एम प्लाजा के बेसमेंट में कूडे में आग</t>
  </si>
  <si>
    <t>देवकी काम्पलैक्स कूडे में आग</t>
  </si>
  <si>
    <t>बिंदाल पुल कूडे के ढेर में आग</t>
  </si>
  <si>
    <t>प्रेमनगर टी स्टेट फूड वैन में आग</t>
  </si>
  <si>
    <t>आर्यन स्कूल मालसी डियर पार्क के पास बिजली के पोल में आग</t>
  </si>
  <si>
    <t>वन अनुसंधान संस्थानके पास तेल के टैंकर में आग</t>
  </si>
  <si>
    <t>यू.के.एस.एसएस सी रायपुर के पास पेड में आग</t>
  </si>
  <si>
    <t>बाला संदरी मंिदर, कैनाल रोड के आगे खाली प्लाट में आग</t>
  </si>
  <si>
    <t>क्ेदार पुरम बाईपास चौकी के पास बिजली के पोल में आग</t>
  </si>
  <si>
    <t>डालनवाल में पुराने खण्डहर मकान में आग</t>
  </si>
  <si>
    <t>कुडे के ढेर में आग</t>
  </si>
  <si>
    <t>राजपुर रोड बीएसनल कार्या लय के पास मकान में आग</t>
  </si>
  <si>
    <t>मकान में आग</t>
  </si>
  <si>
    <t>भूतोवाला, आईएस बीटी टांसफार्मर में आग</t>
  </si>
  <si>
    <t>ठेले में आग मोथरोवाला के पास</t>
  </si>
  <si>
    <t>केचिंग इस्टीयूट के स्टोर में आग</t>
  </si>
  <si>
    <t>जी.एम.एस रोड खाली प्लाट में आग</t>
  </si>
  <si>
    <t>राजेन्द्र नगर में होलिका दहन के दौरान नगर निगम के कूडे के वाहन में आग</t>
  </si>
  <si>
    <t>धामावाला, नहर वाली गली कूडे के ढेर में आग</t>
  </si>
  <si>
    <t>अपर तुनवाला चौक बिजली के पोल में आग</t>
  </si>
  <si>
    <t>क्लेमनटाउन पेड में आग</t>
  </si>
  <si>
    <t>साई मंदिर राजपुर रोड पेड में आग</t>
  </si>
  <si>
    <t>सहस्त्रधारा रोड़ के पास निगर निगम के वाहन में आग</t>
  </si>
  <si>
    <t>बाला संुदरी मन्दिर कैनाल रोड कपडो के गौदाम में आग की असत्य कॉल</t>
  </si>
  <si>
    <t>पुरकुल नदी के पास जंगल में आग</t>
  </si>
  <si>
    <t>ज्ंगल में</t>
  </si>
  <si>
    <t>आई टी पार्क जंगल में आग</t>
  </si>
  <si>
    <t>जंगल में आग</t>
  </si>
  <si>
    <t>स्कूटी में आग</t>
  </si>
  <si>
    <t xml:space="preserve">घोसी गली </t>
  </si>
  <si>
    <t>गैस लिकेज</t>
  </si>
  <si>
    <t xml:space="preserve"> गैस सिलेण्डर</t>
  </si>
  <si>
    <t>इन्द्रेषनगर कावली रोड</t>
  </si>
  <si>
    <t>मकान</t>
  </si>
  <si>
    <t xml:space="preserve">पैसिफिक मॉल </t>
  </si>
  <si>
    <t>खाली प्लाट में</t>
  </si>
  <si>
    <t>लाडपूर बिजली के मीटर में</t>
  </si>
  <si>
    <t>ब्राकलीन स्कूल डालनवाला</t>
  </si>
  <si>
    <t>बिजली की तारो में</t>
  </si>
  <si>
    <t>नकरोदा रोड</t>
  </si>
  <si>
    <t>दुकान</t>
  </si>
  <si>
    <t>डतराचल यूनिवरसिटी</t>
  </si>
  <si>
    <t>चुक्खूवाला</t>
  </si>
  <si>
    <t>गोदाम</t>
  </si>
  <si>
    <t>सर्वे आफ इण्डिया</t>
  </si>
  <si>
    <t>कूडे</t>
  </si>
  <si>
    <t>78 दून बिहार जाखन</t>
  </si>
  <si>
    <t>हरवश्वाला अन्नाहजारे चौक के पास</t>
  </si>
  <si>
    <t>मध्य मार्ग से वापस</t>
  </si>
  <si>
    <t>एस0बी0आई ए0अी0एम कावली रोड</t>
  </si>
  <si>
    <t>बल्लीवाला के पास</t>
  </si>
  <si>
    <t>ओवर हीटिंग</t>
  </si>
  <si>
    <t>कार</t>
  </si>
  <si>
    <t>दुर्गा बिहार चन्द्रबनी</t>
  </si>
  <si>
    <t xml:space="preserve">छत में टंकी </t>
  </si>
  <si>
    <t>नेहरुकालोनी के पास</t>
  </si>
  <si>
    <t>ला्रेअर सैनिक कालोनी हरबंष वाला</t>
  </si>
  <si>
    <t>बुद्वाचौक के पास</t>
  </si>
  <si>
    <t>खाली प्लाट</t>
  </si>
  <si>
    <t>कैनाल रोड पुल के नीचे</t>
  </si>
  <si>
    <t>कूडे के ढेर में</t>
  </si>
  <si>
    <t>किदूवाला मध्ूाूर पेट्रोल पम्प के पास</t>
  </si>
  <si>
    <t>कामरा हास्पिटल के पास</t>
  </si>
  <si>
    <t>अमन बिहार  मयूर बिहार चौकी</t>
  </si>
  <si>
    <t>खाली प्लाट/झाडियो</t>
  </si>
  <si>
    <t>सहस्त्रधारा रोड मैक्सवैल रेजीडेन्सी</t>
  </si>
  <si>
    <t>द्रोण होटल के पास</t>
  </si>
  <si>
    <t>मोटर साईकिल</t>
  </si>
  <si>
    <t>जी0आर0डी कालेज के सामने राजपुर रोड</t>
  </si>
  <si>
    <t>घर के पास खडे बांस के पेड</t>
  </si>
  <si>
    <t>पाईनहॉल स्कूल के पास राजपुर रोड</t>
  </si>
  <si>
    <t>कार्यालय</t>
  </si>
  <si>
    <t>षास्त्रीनगर विधान सभा रोड</t>
  </si>
  <si>
    <t>खाली प्लाट में/झाडियों</t>
  </si>
  <si>
    <t>इन्दपुर रोड नवादा</t>
  </si>
  <si>
    <t>लालबहादूर षास्त्री एकेडमी के पास</t>
  </si>
  <si>
    <t>पेड में</t>
  </si>
  <si>
    <t xml:space="preserve">ननूरखेडा खेत </t>
  </si>
  <si>
    <t>अमन बिहार सहस्त्रधारा रोड</t>
  </si>
  <si>
    <t xml:space="preserve">रिस्पना पुल के नीचे बने </t>
  </si>
  <si>
    <t xml:space="preserve">कूडे में </t>
  </si>
  <si>
    <t>नेहरुकोलानी</t>
  </si>
  <si>
    <t>बिजल के पोल</t>
  </si>
  <si>
    <t>वेल्हम गर्ल्स स्कूल के पास</t>
  </si>
  <si>
    <t>ट्रान्सफार्मर</t>
  </si>
  <si>
    <t>द्वारिका स्टोर के पास</t>
  </si>
  <si>
    <t>बिजली के पोल</t>
  </si>
  <si>
    <t>सिनर्जी हास्पिटल के पास</t>
  </si>
  <si>
    <t>कार में</t>
  </si>
  <si>
    <t>बेल चोक भारत फर्नीचर</t>
  </si>
  <si>
    <t>चन्द्र बनी रोड कृष्णा मेडिकल</t>
  </si>
  <si>
    <t>सर्वेचौक के पास</t>
  </si>
  <si>
    <t xml:space="preserve">पैसिफिक मॉल से आगे </t>
  </si>
  <si>
    <t>चूना भटा गोदाम/फेक्ट्री में</t>
  </si>
  <si>
    <t>जांच प्रचलित</t>
  </si>
  <si>
    <t>प्रेमनगर कालरा स्वीटषॉप जीम में</t>
  </si>
  <si>
    <t>दीपक जलने से</t>
  </si>
  <si>
    <t>जिम में</t>
  </si>
  <si>
    <t>मेहूवाला माफी नया नगर</t>
  </si>
  <si>
    <t>लकडी के बुरादे में</t>
  </si>
  <si>
    <t>सइग्रेस एकेडमी के पास</t>
  </si>
  <si>
    <t>राजपुर कैनाल रोड के पास</t>
  </si>
  <si>
    <t>मन्दिर</t>
  </si>
  <si>
    <t>राजपुर रोड किष्नपुर</t>
  </si>
  <si>
    <t>बल्लीवाला चौक के पास</t>
  </si>
  <si>
    <t>तुनवाला चौक के पास बिजली के पोल में आग</t>
  </si>
  <si>
    <t>तारो में आग</t>
  </si>
  <si>
    <t xml:space="preserve">पलटन बाजार मस्जिद के पास </t>
  </si>
  <si>
    <t>अधोईवाला रायपुर</t>
  </si>
  <si>
    <t>जेआरडी स्कूल के पास</t>
  </si>
  <si>
    <t>रिंग रोड बिजेपी ग्राउण्ड</t>
  </si>
  <si>
    <t>बिजली की तारों में</t>
  </si>
  <si>
    <t>द्वारिका स्टोर के पास स्कूटी में आग</t>
  </si>
  <si>
    <t>वहन के टक्कर मारने के कारण</t>
  </si>
  <si>
    <t>प्रिंस चौक के पास भूमिगत वायरिंग से घुॅआ निकल रहा था</t>
  </si>
  <si>
    <t>वसंत विहार के पास मकान में आ</t>
  </si>
  <si>
    <t>म्कान में आग</t>
  </si>
  <si>
    <t>कंवली रोडद्व लक्ष्मण चौक के पास क्षोपडपटटी में आग</t>
  </si>
  <si>
    <t>जंच प्रचलित</t>
  </si>
  <si>
    <t>दा्रण होटल के पीछे पेड में आग</t>
  </si>
  <si>
    <t>पटेलनगर कूडे में आग</t>
  </si>
  <si>
    <t>कूडे में आग</t>
  </si>
  <si>
    <t xml:space="preserve">बदीष कालोनी </t>
  </si>
  <si>
    <t>सहस्त्रधारा रोड तिब्बती कालोनी</t>
  </si>
  <si>
    <t>गढीकेन्ट रोड केब्रिज हॉल स्कूल</t>
  </si>
  <si>
    <t>राजपुर रोड</t>
  </si>
  <si>
    <t>फूलसनी पौधा</t>
  </si>
  <si>
    <t xml:space="preserve">एफआरआई गेट के पास जंगल में </t>
  </si>
  <si>
    <t>प्रेमनगर कोटरा संतूर</t>
  </si>
  <si>
    <t xml:space="preserve">रिंगरोड </t>
  </si>
  <si>
    <t>आमवाला के पास जंगल में</t>
  </si>
  <si>
    <t>ओली  गांव</t>
  </si>
  <si>
    <t>मालदेवता</t>
  </si>
  <si>
    <t>मयूर बिहार पुलिस चौकी</t>
  </si>
  <si>
    <t>दो बच्ची रोड सहस्त्रधारा रोड</t>
  </si>
  <si>
    <t>भकडेती गांव मसूरी रोड</t>
  </si>
  <si>
    <t>तिब्बती कालोनी नालापानी</t>
  </si>
  <si>
    <t>नलापानी चोक</t>
  </si>
  <si>
    <t>लाडपुर</t>
  </si>
  <si>
    <t>कालागांव के पास</t>
  </si>
  <si>
    <t>डी0पी0एस0 स्कूल कालागांव</t>
  </si>
  <si>
    <t>दून पब्लिक स्कूल चकराता रोड</t>
  </si>
  <si>
    <t>साई मन्दिर राजपुर रोड</t>
  </si>
  <si>
    <t>फूलसनी गाांव</t>
  </si>
  <si>
    <t>कण्डोली गांव</t>
  </si>
  <si>
    <t>एकता बिहार लेन न0 15</t>
  </si>
  <si>
    <t>एफआरआई के पीछे</t>
  </si>
  <si>
    <t>खलंगा रोड नालापानी</t>
  </si>
  <si>
    <t>जाखन जोहरी गांव</t>
  </si>
  <si>
    <t>जामून वाला</t>
  </si>
  <si>
    <t>गुजराडा सहस्त्रधारा रोड</t>
  </si>
  <si>
    <t>अस्थल सहस्त्रधारा रोड</t>
  </si>
  <si>
    <t>गैस गोदाम  सहस्त्रधारा रोड</t>
  </si>
  <si>
    <t>जोहडी जाखन</t>
  </si>
  <si>
    <t>डी0पी0एस0 स्कूल कालागाव</t>
  </si>
  <si>
    <t>टी स्टेट</t>
  </si>
  <si>
    <t>बिश्ट गांव जाखन</t>
  </si>
  <si>
    <t>एफआरआई के पास</t>
  </si>
  <si>
    <t>कोठाल गेट के पास</t>
  </si>
  <si>
    <t>बनियावाला गैस गोदाम प्रेमनगर</t>
  </si>
  <si>
    <t>बद्रीष कालोनी</t>
  </si>
  <si>
    <t>तिब्बती कालोनी खलगा</t>
  </si>
  <si>
    <t xml:space="preserve">राजपुर  साई मन्दिर के पास पानी की टंकी </t>
  </si>
  <si>
    <t xml:space="preserve">द्वारा गांव रायपुर </t>
  </si>
  <si>
    <t xml:space="preserve">एचआईटी कालेज काला गांव के पास </t>
  </si>
  <si>
    <t>सिनोला गांव जाखन</t>
  </si>
  <si>
    <t>ओल्ड मसूरी रोड</t>
  </si>
  <si>
    <t>एफ.आर.आई परिसर के अंदर सूखे पे डमें आग</t>
  </si>
  <si>
    <t>राजपुर रोड पर भारतीय नौसेना के कार्यालय के पीछे जंगल में आग</t>
  </si>
  <si>
    <t>म्सूरी रोड पुरकुल गांव जंगल में आ्रग</t>
  </si>
  <si>
    <t xml:space="preserve">मसूरी रोड पुरकुल गावं </t>
  </si>
  <si>
    <t>जोहडी गांव के पास जंगल में आग</t>
  </si>
  <si>
    <t>जाखन के पास जंगल में आग</t>
  </si>
  <si>
    <t xml:space="preserve">जोहडी गांव जाखन </t>
  </si>
  <si>
    <t>किषनपुर</t>
  </si>
  <si>
    <t xml:space="preserve">खुडबुडा मोहल्ला </t>
  </si>
  <si>
    <t>माता मन्दिर रोड</t>
  </si>
  <si>
    <t>खुडबुडा मोहल्ला</t>
  </si>
  <si>
    <t>उत्तराचल यूनिवरसिटी</t>
  </si>
  <si>
    <t>तेल के टैंकर</t>
  </si>
  <si>
    <t>लक्ष्माण चौक के पास</t>
  </si>
  <si>
    <t>गढीकेन्ट</t>
  </si>
  <si>
    <t>त्यागी रोड</t>
  </si>
  <si>
    <t>बडोवाला</t>
  </si>
  <si>
    <t>एमके0पी कालेज के पास</t>
  </si>
  <si>
    <t>ईसी रोड</t>
  </si>
  <si>
    <t>तुनवाला कैनाल रोड</t>
  </si>
  <si>
    <t>पडितवाडी पुलिस चौकी के पास</t>
  </si>
  <si>
    <t>डीएम आवास के पास</t>
  </si>
  <si>
    <t>एम0के0पी0 कालेज के पास</t>
  </si>
  <si>
    <t>किर्साली चौक</t>
  </si>
  <si>
    <t>खाली प्लाट में आग</t>
  </si>
  <si>
    <t>सेलाकुई फैक्ट्ररी में आग</t>
  </si>
  <si>
    <t>फा0स्टे0 सेलाकुई द्वारा दिया जायेगा</t>
  </si>
  <si>
    <t>फेक्ट्ररी में</t>
  </si>
  <si>
    <t xml:space="preserve">कालीदास रोड खाली प्लॉट </t>
  </si>
  <si>
    <t>बिजली के पोल मोथ्रोवाला</t>
  </si>
  <si>
    <t>एू0के0पी0 चौक के पास सकूटी में आग</t>
  </si>
  <si>
    <t xml:space="preserve">स्कूटी में </t>
  </si>
  <si>
    <t>बडा भाडवाला सिलेण्डर में आग</t>
  </si>
  <si>
    <t>निरंजनूर मंडी के पास</t>
  </si>
  <si>
    <t>कूडे में</t>
  </si>
  <si>
    <t xml:space="preserve">सहस़्त्रधारा रोड </t>
  </si>
  <si>
    <t>लापरवही</t>
  </si>
  <si>
    <t>खाली प्लॉट में</t>
  </si>
  <si>
    <t>एम0 के पी चौक के पास</t>
  </si>
  <si>
    <t>खाली प्लॉट</t>
  </si>
  <si>
    <t>आई0एस0बी0टी पावर हाउस</t>
  </si>
  <si>
    <t>पावर हाउस</t>
  </si>
  <si>
    <t>अल्फा टावर कार में आग</t>
  </si>
  <si>
    <t>जॉच प्रचलित</t>
  </si>
  <si>
    <t>जी0एम0एस0 रोेड</t>
  </si>
  <si>
    <t xml:space="preserve">कूडे </t>
  </si>
  <si>
    <t>चूना भटटा रायपुर रोड</t>
  </si>
  <si>
    <t>खाली प्लॉट मे</t>
  </si>
  <si>
    <t>एमडीडीए कार्यालय के सामने पटााखा फैक्टरी</t>
  </si>
  <si>
    <t>फैक्ट्ररी</t>
  </si>
  <si>
    <t>गोरखपुर चौक के पास</t>
  </si>
  <si>
    <t>झाडियो में</t>
  </si>
  <si>
    <t>बंगाली कोठी के पास</t>
  </si>
  <si>
    <t>नेहरू कॉलीनी रेलवे लाईन के पास</t>
  </si>
  <si>
    <t>झााडियो में</t>
  </si>
  <si>
    <t>धर्मपुर एटीएम में आग</t>
  </si>
  <si>
    <t xml:space="preserve">राजपुर रोड </t>
  </si>
  <si>
    <t>बांस के पेडो में</t>
  </si>
  <si>
    <t>डोर्ठवाला मेंन मार्केट</t>
  </si>
  <si>
    <t xml:space="preserve">पटेलभवन के पास </t>
  </si>
  <si>
    <t>ट्रांसफार्मर में</t>
  </si>
  <si>
    <t>धारा चौकी के पास</t>
  </si>
  <si>
    <t>कूडे मेें</t>
  </si>
  <si>
    <t>एू0के0पी0 चौक</t>
  </si>
  <si>
    <t>तहसील चौक के पास</t>
  </si>
  <si>
    <t xml:space="preserve">बसन्त बिहार </t>
  </si>
  <si>
    <t>ष्षर्ट सर्किट</t>
  </si>
  <si>
    <t>धर में</t>
  </si>
  <si>
    <t>पनासवैली रेजिडेन्सी</t>
  </si>
  <si>
    <t>फलैट में</t>
  </si>
  <si>
    <t>प्रेमनगर नन्दा की चौकी</t>
  </si>
  <si>
    <t>जाखन झाड़ियों में आग</t>
  </si>
  <si>
    <t>झााडियों में आग</t>
  </si>
  <si>
    <t>पुडितवाडी पुलिस चौकी के</t>
  </si>
  <si>
    <t>मध्य से वापस</t>
  </si>
  <si>
    <t>पुंडितवाडी गंगोडा</t>
  </si>
  <si>
    <t xml:space="preserve">पराल में </t>
  </si>
  <si>
    <t>गुडडुवाला चौक बिश्ट गांव</t>
  </si>
  <si>
    <t>झोपडी में आग</t>
  </si>
  <si>
    <t xml:space="preserve">मालदेवता </t>
  </si>
  <si>
    <t>ाास फुस में आग</t>
  </si>
  <si>
    <t>आंचल डेरी रायपुर पे डमें आग</t>
  </si>
  <si>
    <t>आईटी पार्क के पास मकान में आग</t>
  </si>
  <si>
    <t>गैस रिसाव</t>
  </si>
  <si>
    <t>सिलेण्डर में</t>
  </si>
  <si>
    <t>बेकरी षाप जीएमएस रोड</t>
  </si>
  <si>
    <t>बेकरी</t>
  </si>
  <si>
    <t>गढीकेण्ट कूडे में आग</t>
  </si>
  <si>
    <t>सहारनपुर रोड पटेलनगर</t>
  </si>
  <si>
    <t>सुभाश रोड बिजली के पोल में आग</t>
  </si>
  <si>
    <t>अनुराग चौक भूतल में बिजली मीटर में आग</t>
  </si>
  <si>
    <t>बिजली मीटर में आग</t>
  </si>
  <si>
    <t>किर्साली चौक बिजली के पोल में आग</t>
  </si>
  <si>
    <t>क्लेमनटाडन बिजली के मीटर मे आग</t>
  </si>
  <si>
    <t>बलवीर रोड खाली प्लाट में आग</t>
  </si>
  <si>
    <t>कोरोनेषन अस्पताल दूसरी मंजिल में आग</t>
  </si>
  <si>
    <t>कांवली रोड गोदाम में आग</t>
  </si>
  <si>
    <t>मघ्य मार्ग से वापस</t>
  </si>
  <si>
    <t>.....</t>
  </si>
  <si>
    <t>दिलाराम चौक पे डमें आग</t>
  </si>
  <si>
    <t>.......</t>
  </si>
  <si>
    <t>बिजली के स्विच बोर्ड में आग</t>
  </si>
  <si>
    <t>स्विच बोर्ड में आग</t>
  </si>
  <si>
    <t>बसंत विहार खााली प्लाट में आग</t>
  </si>
  <si>
    <t>जीएमएस रोड बिजली की लाईन में आग</t>
  </si>
  <si>
    <t>बिजली की तार में</t>
  </si>
  <si>
    <t>पुलिस लाईन के पास जनरेटर में आग</t>
  </si>
  <si>
    <t>हीट होने के कारण</t>
  </si>
  <si>
    <t>जनरेटर में आग</t>
  </si>
  <si>
    <t>नेषविला रोड डालनवाला, टासफार्मर में आग</t>
  </si>
  <si>
    <t>टासफार्मर में आग</t>
  </si>
  <si>
    <t>कैनाल रोड झाडियो में आग</t>
  </si>
  <si>
    <t>झाडियो में आग</t>
  </si>
  <si>
    <t>कलेमनटाउन बिजली के पोल मेआग</t>
  </si>
  <si>
    <t>हिल व्यू कालोनी इंदरा नगर</t>
  </si>
  <si>
    <t>पेडो व सूखे पत्तो ं आग</t>
  </si>
  <si>
    <t>खुडबुडा चौकी के पास दुकान में</t>
  </si>
  <si>
    <t>दुकान में आग</t>
  </si>
  <si>
    <t>होटल स्टारवुड त्यागी रेाड रसोई घर में आग</t>
  </si>
  <si>
    <t>टी स्टेट प्रेमनगर</t>
  </si>
  <si>
    <t>लापवाही</t>
  </si>
  <si>
    <t>जी.आर.डी कालेज बिजली के पोंल में आग</t>
  </si>
  <si>
    <t>एफएस यूनिट के पहचने से पहने ही चुकी थी।</t>
  </si>
  <si>
    <t>नेहरू गा्रम बिजली के पोल में आग</t>
  </si>
  <si>
    <t>बिजली के पेाल में आग</t>
  </si>
  <si>
    <t>पटेलनगर खाली प्लाट में आग</t>
  </si>
  <si>
    <t>खााली प्लाट में आग</t>
  </si>
  <si>
    <t>टी स्टेट , बनियावाला,</t>
  </si>
  <si>
    <t>यूनाईटेड  इडिया इन्ष्योरेंस कम्पनी, रतन पैलेस देहरादून।</t>
  </si>
  <si>
    <t>यूरेडा कार्यालय बिजली के मीटर में आग</t>
  </si>
  <si>
    <t>जाखन खाली प्लाट में आग</t>
  </si>
  <si>
    <t>सहारनपुर रोड नगर निगम बेसमेंट में कूडे में आग</t>
  </si>
  <si>
    <t>कुडंे में आग</t>
  </si>
  <si>
    <t>पटेलनगर अमर उजाला कार्यालय के बाहर कूडे में आग</t>
  </si>
  <si>
    <t>विजय पार्क ट्रंासफार्मर व झााडियो में आग</t>
  </si>
  <si>
    <t>ट्रंासफार्मर व झााडियो में आग</t>
  </si>
  <si>
    <t>दुकान में आग, बल्लूपुर चकराता रोड</t>
  </si>
  <si>
    <t>गुच्चुपानी</t>
  </si>
  <si>
    <t>जैन्तनवाला</t>
  </si>
  <si>
    <t xml:space="preserve"> आर्मी क्षेत्र घंघोडा</t>
  </si>
  <si>
    <t>किमाडी रोड</t>
  </si>
  <si>
    <t>जेएसआर होटल के पास</t>
  </si>
  <si>
    <t>कोठालगेट</t>
  </si>
  <si>
    <t>किमाडी</t>
  </si>
  <si>
    <t>सुभाशनगर</t>
  </si>
  <si>
    <t>धूधली</t>
  </si>
  <si>
    <t>महारणा प्रताप स्पोर्टस कालेज</t>
  </si>
  <si>
    <t>नदा की चौक</t>
  </si>
  <si>
    <t>दून वैली स्कूल सिनोला</t>
  </si>
  <si>
    <t>ओली गांव</t>
  </si>
  <si>
    <t>सहस्त्रधारा जंगल में आग</t>
  </si>
  <si>
    <t>फूलसेनी गांव</t>
  </si>
  <si>
    <t>गोल्फ स्टेट सहस्त्रधारा रोड</t>
  </si>
  <si>
    <t>मचान रेस्टारेन्ट जंगल में</t>
  </si>
  <si>
    <t>औल्ड मसूरी रोड</t>
  </si>
  <si>
    <t>न्यू कैन्ट रोड</t>
  </si>
  <si>
    <t>मालसी डियर पार्क के पास</t>
  </si>
  <si>
    <t>मोथरोवाला के पास</t>
  </si>
  <si>
    <t>गोलास आमवाला</t>
  </si>
  <si>
    <t>बल्लूपर फलाईओवर के</t>
  </si>
  <si>
    <t>ग्राफिक ऐरा के पीछे</t>
  </si>
  <si>
    <t>गढी कैन्ट डाकरा</t>
  </si>
  <si>
    <t>सहस़्त्रधारा रोड</t>
  </si>
  <si>
    <t>बीरपुर गंगांडा</t>
  </si>
  <si>
    <t>बिधोली के पास</t>
  </si>
  <si>
    <t>मयूरविहार चौकी के पास</t>
  </si>
  <si>
    <t>नकरोंदा हर्रावाला जंगल में आग</t>
  </si>
  <si>
    <t>डीआईटी कालेज के पास</t>
  </si>
  <si>
    <t xml:space="preserve">विवेक विहार </t>
  </si>
  <si>
    <t>रिंगरोड</t>
  </si>
  <si>
    <t>एफआरआई जंगल में आग</t>
  </si>
  <si>
    <t>धौलास गढीकेण्ट</t>
  </si>
  <si>
    <t>माण्डुवाला</t>
  </si>
  <si>
    <t>रायपुर जंगल में  आग</t>
  </si>
  <si>
    <t xml:space="preserve">रायपुर </t>
  </si>
  <si>
    <t xml:space="preserve">ए.टी कालोनी, सहस्त्रधारा </t>
  </si>
  <si>
    <t xml:space="preserve">मोहब्बेवाला </t>
  </si>
  <si>
    <t xml:space="preserve">किमाडी रोड </t>
  </si>
  <si>
    <t>यू.के.एस.एस.सी रायपुर</t>
  </si>
  <si>
    <t>रायपुर जगंल में आग</t>
  </si>
  <si>
    <t>्रेसठ पार्क रोड देहरादून</t>
  </si>
  <si>
    <t>मध्य मार्ग</t>
  </si>
  <si>
    <t xml:space="preserve">बंगाली काठी </t>
  </si>
  <si>
    <t>रेस्टोरेन्ट</t>
  </si>
  <si>
    <t>मसूरी रोड फ्रैंड कैफे</t>
  </si>
  <si>
    <t>रेस्टारेन्ट</t>
  </si>
  <si>
    <t>वैीभव चौक बसन्त विहार</t>
  </si>
  <si>
    <t>र्षाअ सर्किट</t>
  </si>
  <si>
    <t xml:space="preserve">मोती बाजार </t>
  </si>
  <si>
    <t>सुभाश रोड देहरादून</t>
  </si>
  <si>
    <t>त्यागी रोड खाली प्लॉट</t>
  </si>
  <si>
    <t>खाली प्लॅाट</t>
  </si>
  <si>
    <t>अन्नपूर्णा चाट भण्डार</t>
  </si>
  <si>
    <t>बन्नू सकूल के पास</t>
  </si>
  <si>
    <t>डी0एल0रोड देहरादून</t>
  </si>
  <si>
    <t xml:space="preserve">एस्लेहॉल के पास </t>
  </si>
  <si>
    <t xml:space="preserve">मोहकमपुर घर में </t>
  </si>
  <si>
    <t>मक्का मसजिद चौक</t>
  </si>
  <si>
    <t>सुभाषनगर मकान मे</t>
  </si>
  <si>
    <t>मकान में</t>
  </si>
  <si>
    <t xml:space="preserve">अमन विहार </t>
  </si>
  <si>
    <t xml:space="preserve">मोहकमपु फलाईओवर के </t>
  </si>
  <si>
    <t>बिजली के मीटर में</t>
  </si>
  <si>
    <t>अषोक विहार बाईपास</t>
  </si>
  <si>
    <t>दून यूनिवर्सिटी रोड</t>
  </si>
  <si>
    <t xml:space="preserve">जाखन </t>
  </si>
  <si>
    <t xml:space="preserve">नवादा </t>
  </si>
  <si>
    <t xml:space="preserve">क्लेमनटाडन </t>
  </si>
  <si>
    <t>षाट्र सर्किट</t>
  </si>
  <si>
    <t xml:space="preserve">चाणैक्यपुरी </t>
  </si>
  <si>
    <t xml:space="preserve">मेहूवाला </t>
  </si>
  <si>
    <t>चन्द्रबनी चौक</t>
  </si>
  <si>
    <t xml:space="preserve">षाट्र सर्किट </t>
  </si>
  <si>
    <t>निकट विधानसभा</t>
  </si>
  <si>
    <t>चायबागन प्रेमनगर</t>
  </si>
  <si>
    <t>चायबागन</t>
  </si>
  <si>
    <t xml:space="preserve">निरंजनपुर </t>
  </si>
  <si>
    <t>लीची केबाग</t>
  </si>
  <si>
    <t xml:space="preserve">ओल्ड मसूरी रोड </t>
  </si>
  <si>
    <t>आर्युवेदिक कालेज</t>
  </si>
  <si>
    <t>सैटथोमस स्क्ूल</t>
  </si>
  <si>
    <t>लापीवाही</t>
  </si>
  <si>
    <t>सरस्वती विहार</t>
  </si>
  <si>
    <t>ट्रासंफार्मर</t>
  </si>
  <si>
    <t>भगीरथपुरम</t>
  </si>
  <si>
    <t>खाली प्लॉअ</t>
  </si>
  <si>
    <t>काठगंगला राजपुर रोड</t>
  </si>
  <si>
    <t>सर्वे ऑ इएिडया</t>
  </si>
  <si>
    <t>लापरवाही मध्य मार्ग</t>
  </si>
  <si>
    <t xml:space="preserve">42 धर्मपुर </t>
  </si>
  <si>
    <t>दर्षनी गेट रेलवे स्टेषन</t>
  </si>
  <si>
    <t>होटल</t>
  </si>
  <si>
    <t>सुभाशनगर क्लेमनटाउन</t>
  </si>
  <si>
    <t>चमन विहार फेस टू</t>
  </si>
  <si>
    <t>बिजली के पोल मे</t>
  </si>
  <si>
    <t xml:space="preserve">डिफेन्स कालेनी </t>
  </si>
  <si>
    <t>एम0डी0डी0 ए0 कालेनी ए0सी में</t>
  </si>
  <si>
    <t>र्षााअ सर्किट</t>
  </si>
  <si>
    <t xml:space="preserve">आई0टी पार्क </t>
  </si>
  <si>
    <t>गुच्चुपानी नअी के पार</t>
  </si>
  <si>
    <t xml:space="preserve">सहस्त्रधारा रोड </t>
  </si>
  <si>
    <t>षाट्र सर्किट मध्य मर्ग</t>
  </si>
  <si>
    <t>सहस्त्रधारा हेलीपैड के पास</t>
  </si>
  <si>
    <t>विभूति हास्पिटल</t>
  </si>
  <si>
    <t>अजबपुर कला</t>
  </si>
  <si>
    <t>झााडियो मे</t>
  </si>
  <si>
    <t>प्रेमनगर</t>
  </si>
  <si>
    <t>चायबगान</t>
  </si>
  <si>
    <t>चायबागान</t>
  </si>
  <si>
    <t xml:space="preserve">नानकसर गरूद्वारा </t>
  </si>
  <si>
    <t>बिजलही के पोल</t>
  </si>
  <si>
    <t>षाट्र सर्किट मध्य मार्ग</t>
  </si>
  <si>
    <t xml:space="preserve">ट्रांसफार्मर </t>
  </si>
  <si>
    <t>पटेलनगर कम्पनी में</t>
  </si>
  <si>
    <t>मध्य ार्ग से वापस</t>
  </si>
  <si>
    <t>कम्पनी</t>
  </si>
  <si>
    <t xml:space="preserve">बंजाराचाला </t>
  </si>
  <si>
    <t>एसल्े हाल</t>
  </si>
  <si>
    <t>वि0 उप संसथान मियावाला</t>
  </si>
  <si>
    <t>वि0 उप संस्थान</t>
  </si>
  <si>
    <t xml:space="preserve">चन्दननगर </t>
  </si>
  <si>
    <t>ट्रांसफार्मर</t>
  </si>
  <si>
    <t>प्रीतम रोड</t>
  </si>
  <si>
    <t>कूडे मेे</t>
  </si>
  <si>
    <t>मसूरी डार्यवजन</t>
  </si>
  <si>
    <t>परवल प्रेमनगर</t>
  </si>
  <si>
    <t>एस0जी0आर0आर0 पटेलगर</t>
  </si>
  <si>
    <t>स्कूल सटोर</t>
  </si>
  <si>
    <t>कूडे मे</t>
  </si>
  <si>
    <t xml:space="preserve">रेलवे सटेशन </t>
  </si>
  <si>
    <t>देहराखास बिजली के पोल मे</t>
  </si>
  <si>
    <t>अजन्ता होटल के पास</t>
  </si>
  <si>
    <t>आईएम0ए0 बल्ड बैंक</t>
  </si>
  <si>
    <t>निरजनपुर मण्डी</t>
  </si>
  <si>
    <t>मोथरोवाला</t>
  </si>
  <si>
    <t>सुमन नगर सहस्त्रधारा रोड</t>
  </si>
  <si>
    <t>आईडीपीएल ऋषिकेष</t>
  </si>
  <si>
    <t>इन्द्र लोक कालोनी खाली प्लाट में आग</t>
  </si>
  <si>
    <t>एमडीडीए कालोनी ट्रान्सपोट्र नगर</t>
  </si>
  <si>
    <t xml:space="preserve">किद्दूवाला </t>
  </si>
  <si>
    <t xml:space="preserve"> गैस लिकेज </t>
  </si>
  <si>
    <t>गोल्डन मेनर अपाट्रमेन्ट</t>
  </si>
  <si>
    <t>नेहरु कालोनी</t>
  </si>
  <si>
    <t>अग्रवाल हार्डवेयर प्रिसं चौक</t>
  </si>
  <si>
    <t>धर्मपुर फव्वारा चौक</t>
  </si>
  <si>
    <t>कार मे</t>
  </si>
  <si>
    <t>महाराण स्पोर्ट चौक के पास</t>
  </si>
  <si>
    <t>गढीकेन्ट एस0बी0आइ0 ए0टी0एम0</t>
  </si>
  <si>
    <t>लीकेज</t>
  </si>
  <si>
    <t>ओल्ड मसूरी रोड होटल हाईट</t>
  </si>
  <si>
    <t>मालसी</t>
  </si>
  <si>
    <t>चूना भटटा के पास</t>
  </si>
  <si>
    <t>दून स्कोलर स्कूल राजपूर रोड</t>
  </si>
  <si>
    <t>ट्रांसफार्मश्र की ट्राली में</t>
  </si>
  <si>
    <t>लक्खीबाग चौकी के पास</t>
  </si>
  <si>
    <t>विघुत वायर</t>
  </si>
  <si>
    <t xml:space="preserve">उशा कालोनी के पास </t>
  </si>
  <si>
    <t>लापीवही</t>
  </si>
  <si>
    <t>सुभाषनगर के पास ए0टी0एम0</t>
  </si>
  <si>
    <t>ए0टी0एम0</t>
  </si>
  <si>
    <t xml:space="preserve">क्लेमनटाडन भारूवाला </t>
  </si>
  <si>
    <t>मीठीबेरी प्रेमनगर</t>
  </si>
  <si>
    <t>कैनाल रोड षिप्रा रोड</t>
  </si>
  <si>
    <t>चन्द्ररोटी गाूव के पास</t>
  </si>
  <si>
    <t>गुनियाल गॉव</t>
  </si>
  <si>
    <t>कैनाल रोड</t>
  </si>
  <si>
    <t>स्थल रोड देहरादून</t>
  </si>
  <si>
    <t>सिनौला गॉव के पास</t>
  </si>
  <si>
    <t xml:space="preserve">मोहन्ड </t>
  </si>
  <si>
    <t>राजेष्वर नगर सहस्त्रधारा रोड</t>
  </si>
  <si>
    <t xml:space="preserve">जाखन कांटे </t>
  </si>
  <si>
    <t>गुजराडा</t>
  </si>
  <si>
    <t>जाखन</t>
  </si>
  <si>
    <t>प्रमनगर</t>
  </si>
  <si>
    <t>किमाडी गॉव</t>
  </si>
  <si>
    <t>नन्दा की चौकी</t>
  </si>
  <si>
    <t>जाने का रास्ता नही था</t>
  </si>
  <si>
    <t>जंगल में</t>
  </si>
  <si>
    <t xml:space="preserve">कएडोली गॉव </t>
  </si>
  <si>
    <t>जगल में</t>
  </si>
  <si>
    <t xml:space="preserve">सलान गॉव </t>
  </si>
  <si>
    <t>नापरवाही</t>
  </si>
  <si>
    <t>जंगल</t>
  </si>
  <si>
    <t>एफ0आर0आई</t>
  </si>
  <si>
    <t>जंगल मे</t>
  </si>
  <si>
    <t>मैकस अस्पताल के पास</t>
  </si>
  <si>
    <t>बडोवाला के पास</t>
  </si>
  <si>
    <t>एफआरआई से आगे</t>
  </si>
  <si>
    <t xml:space="preserve">बाझावाला </t>
  </si>
  <si>
    <t>जी.एमस रोड बिजली के पोल में आग</t>
  </si>
  <si>
    <t>होजरील की सहायता से आग को पूर्ण रूप् से बुझाया गया।</t>
  </si>
  <si>
    <t>डिस्पेन्सरी रोड़ के पास बिजली की तारो में आग</t>
  </si>
  <si>
    <t>मघ्य मार्ग से वापस आर्ये</t>
  </si>
  <si>
    <t>विद्या विहार फेस 2 निकट इंद्रष अस्पताल टांसफार्मर में आग</t>
  </si>
  <si>
    <t>अमरीक हॉल रेसकोर्स मकान में आग</t>
  </si>
  <si>
    <t>आग को पूर्ण रूप से बुझाया गया।</t>
  </si>
  <si>
    <t>बंसत विहार फेस 2 बंगला न0 184 के पास बिजली के पोल में आग</t>
  </si>
  <si>
    <t>आग बुझ जाने के कारण मघ्य मार्ग से वापस आये</t>
  </si>
  <si>
    <t>आशारोडी पुलिस चौकी के पास कार में आग</t>
  </si>
  <si>
    <t>बालासंदरी मंदिर कैनाल रोड के पास बिजली के पोल में आग</t>
  </si>
  <si>
    <t>कालर द्वारा बताया गया किय आग बुझ चकी है एफएस यूनिट कैनाल रोड से वापस एफएस पर उपस्थित् हुई।</t>
  </si>
  <si>
    <t>सीमाद्वार ऋशि विहार बिजली के पोल में आग</t>
  </si>
  <si>
    <t>कालर द्वारा बताया गया किय आग बुझ चकी है एफएस यूनिट जीएमएसम रोड से वापस एफएस पर उपस्थित् हुई।</t>
  </si>
  <si>
    <t>कावली रोड के मकान में आग</t>
  </si>
  <si>
    <t>खुडबुडा मोहल्ला में मकान की तीसरी मजिल में बने स्टोर में लगी थी, जिसे एफएस यूनिट द्वारा मार्ग संकरा होने के कारण  बाल्यिो से आग पर पानी डालकर पूर्ण रूप् से बुझाया गया।</t>
  </si>
  <si>
    <t>महिन्द्रा षोरूम के पास बिजली की तारो में आग</t>
  </si>
  <si>
    <t>महिन्द्रा षोरूम के पस बिजली की तारो में आग लगी थी, जिसे एफएस यून्टि के पहुचने से पहले ही बिजली विभाग के कर्मचारियों द्वारा बुझा दिया गया था।</t>
  </si>
  <si>
    <t>चकराता रोड,बिल्डिग में आग</t>
  </si>
  <si>
    <t>घटनास्थल घटाघर चकराता रोड के पास पहुचकर एफएस यूनिट द्वारा आग को काफी तलाष करने पर लगी नही पाया गया,जिसकी सूनना एफएस यूनिट द्वारा फायर स्टेषन वाचरूम डयूटी को देकर वापास फायर स्टेषन पर उपस्थित हुये।</t>
  </si>
  <si>
    <t>सचिवालय के पास वाहन में आग</t>
  </si>
  <si>
    <t>सचिवालय के पास वाहन में आग लगी थी,मघ्य मार्ग पर पहुचकर कॉलर द्वारा बताया गया कि आग बुझ गयी है।</t>
  </si>
  <si>
    <t>दून अस्पताल में आक्सीजन लीकेज</t>
  </si>
  <si>
    <t>आक्सीजन गैस लीकेज</t>
  </si>
  <si>
    <t>दून अस्पताल में आक्सीजन प्लाट में आक्सीजन लीकेज हो रही थी, जिसे फायर सर्विस यूनिट द्वारा बहाव बंद कर लीकेज को रोका गया।</t>
  </si>
  <si>
    <t>ईसी रो़ड मंे घर के मीटर बाक्स में आग</t>
  </si>
  <si>
    <t>ईसी रोड पर घर के मीटर बाक्स में आग लगी थी, जो एफएस यूनिट के पहुचन से पहले ही बुझ चुकी थी।</t>
  </si>
  <si>
    <t>दून वर्ल्ड स्कूल, रायपुर में मीटर बाक्स में आग</t>
  </si>
  <si>
    <t>दून वर्ल्ड स्कूल में लकडी के मीटर बाक्स में आग लगी थी, जिसे एस यूनिट द्वारा होजरील की सहरायता से पणर््ूा रूप् से बूझाया गया।</t>
  </si>
  <si>
    <t>जाखन ट्रंासफार्मर में आग</t>
  </si>
  <si>
    <t>जाखन के पास टांसफार्मर में जो आग लगी थी वह एफएस यूनिट के पहुचने से पूर्व ही बुझ चुकी थी।</t>
  </si>
  <si>
    <t>त्यागी रोड घर में आग</t>
  </si>
  <si>
    <t>पंडितवाडी षहीद गुरूद्वारा के पास बिजली के पोल मे</t>
  </si>
  <si>
    <t>बिन्दाल पुल के पास गाडी मे आग</t>
  </si>
  <si>
    <t>मोहकमपुर माजरी बिजली के पोल मे</t>
  </si>
  <si>
    <t>चक्खूवाला नियर कबाडी की दुकान</t>
  </si>
  <si>
    <t>दून अस्पताल के स्ओर रूम में</t>
  </si>
  <si>
    <t>छबील बाग लक्ष्मण चौक बिजली के पोल में</t>
  </si>
  <si>
    <t>कालर द्वारा बताया गया किय आग बुझ चकी है एफएस यूनिट मध्य मार्ग से वापस एफएस पर उपस्थित् हुई।</t>
  </si>
  <si>
    <t>लक्ष्मण चौकी महन्त रोड के पास मकान में</t>
  </si>
  <si>
    <t xml:space="preserve">      -</t>
  </si>
  <si>
    <t>हरबजवाला निशान्त इन्क्लेव तेलपुर चौक एक मकान मे</t>
  </si>
  <si>
    <t>दशमेष विहार आमवाला रायपुर सिलेण्डर में</t>
  </si>
  <si>
    <t xml:space="preserve">आग को होजरील की सहायता से पूर्ण रूप से बुझाया गया। </t>
  </si>
  <si>
    <t>तुनवाला अपर रायपुर धरेलू सिलेण्डर मे</t>
  </si>
  <si>
    <t>कालर द्वारा बताया गया किय आग बुझ चकी है एफएस यूनिट मध्य मार्ग से वापस एफएस पर उपस्थित् हुई। लगी थी, जिसे एफएस यून्टि के पहुचने से पहले ही बिजली विभाग के कर्मचारियों द्वारा बुझा दिया गया था।</t>
  </si>
  <si>
    <t>मच्छी बाजार</t>
  </si>
  <si>
    <t xml:space="preserve">लापरवाही </t>
  </si>
  <si>
    <t>पुरानी तहसील पार्किंग</t>
  </si>
  <si>
    <t>कूडे से</t>
  </si>
  <si>
    <t>गाडी में</t>
  </si>
  <si>
    <t>षान्ति बिहार नेहरु कालोनी</t>
  </si>
  <si>
    <t>230 चन्दर रोड डालनवाला</t>
  </si>
  <si>
    <t>06 नम्बर पुलिया लेन न0 15</t>
  </si>
  <si>
    <t>मध्यमार्ग से वापस</t>
  </si>
  <si>
    <t>जीएमएस रोड व्योमप्रस्थ</t>
  </si>
  <si>
    <t xml:space="preserve">बिजली के पोल में </t>
  </si>
  <si>
    <t>रेलवे स्टेषन के पास</t>
  </si>
  <si>
    <t>इजिनियर इन्कलेव मिठी बेरी</t>
  </si>
  <si>
    <t>लक्ष्मण चौक 13/11 महन्त रोड</t>
  </si>
  <si>
    <t>साईलोक कालोनी जी0एमएस रोड</t>
  </si>
  <si>
    <t>जीएम0एस रोड कमला पैलेस के निकट</t>
  </si>
  <si>
    <t>ट्रान्सपोट्र नगर लक्ष्मी धर्म काटां</t>
  </si>
  <si>
    <t>871 पीपल मण्डी धामाावाला</t>
  </si>
  <si>
    <t xml:space="preserve">वर्तन के दुकान </t>
  </si>
  <si>
    <t>थाना राजपुर</t>
  </si>
  <si>
    <t>मध्यमार्ग से वापास</t>
  </si>
  <si>
    <t xml:space="preserve">गांधी पार्क के सामने </t>
  </si>
  <si>
    <t>बिजली के खम्बे में</t>
  </si>
  <si>
    <t>महाराण प्रताप स्पोर्टस किालेज</t>
  </si>
  <si>
    <t>दून स्कूल से आगे काली दास रोड</t>
  </si>
  <si>
    <t xml:space="preserve">सर्वेचौक के पास </t>
  </si>
  <si>
    <t>कैनाल रोड आई टी पार्क चौकी के पास</t>
  </si>
  <si>
    <t>कूडा</t>
  </si>
  <si>
    <t>गांधी ग्राम गुरुद्वारे के पास</t>
  </si>
  <si>
    <t>प्रेमनगर कार में</t>
  </si>
  <si>
    <t xml:space="preserve">निरजनपुर सब्जी मण्डी </t>
  </si>
  <si>
    <t>पल्टन बाजार बर्गर के पेड</t>
  </si>
  <si>
    <t xml:space="preserve">बरगद के पेड में </t>
  </si>
  <si>
    <t>कैनाल रोड दून हरनाल</t>
  </si>
  <si>
    <t>आतिष बाजी</t>
  </si>
  <si>
    <t xml:space="preserve">नगर कोतवाली </t>
  </si>
  <si>
    <t>गाडियों में</t>
  </si>
  <si>
    <t xml:space="preserve">चन्दर नगर </t>
  </si>
  <si>
    <t>संस्कृति लोक कालोनी लेन न0 05</t>
  </si>
  <si>
    <t>द नाईन होटल षेरवुड होटल</t>
  </si>
  <si>
    <t>आतिषबाजी</t>
  </si>
  <si>
    <t>रजाई गददे की दुकान</t>
  </si>
  <si>
    <t xml:space="preserve">पल्टन बाजार पीपल के पे डमें </t>
  </si>
  <si>
    <t>टी0एच0डीसी कालोनी</t>
  </si>
  <si>
    <t>शॉर्टसर्किट</t>
  </si>
  <si>
    <t>शॉर्ट सििर्कट</t>
  </si>
  <si>
    <t>शॉर्ट- सर्किट</t>
  </si>
  <si>
    <t>शॉर्ट-सर्किट</t>
  </si>
  <si>
    <t>शॉर्टःसर्किट</t>
  </si>
  <si>
    <t>सम्भ्वतः शॉर्ट सर्किट</t>
  </si>
  <si>
    <t>शॉर्ट सर्किट .</t>
  </si>
  <si>
    <t>शॉर्ट सर्किट मध्य मार्ग</t>
  </si>
  <si>
    <t>कस्बा मंगलौर निकट पुरवा पुल लिब्बरहेड़ी थाना क्षेत्र कोतवाली मंगलौर हरिद्वार</t>
  </si>
  <si>
    <t>सम्भवतः लापरवाही धूम्रपान ।</t>
  </si>
  <si>
    <t>झाड़ियों में।</t>
  </si>
  <si>
    <t>बेडपुर चौक थाना क्षेत्र, पिरान कलियर रूड़की जनपद हरिद्वार।</t>
  </si>
  <si>
    <t>रेस्टोरेन्ट व हट में।</t>
  </si>
  <si>
    <t>ग्राम-बेलड़ी थाना क्षेत्र कोतवाली विविल लाईन रूड़की जनपद हरिद्वार।</t>
  </si>
  <si>
    <t>सम्भवतः लापरवाही धूम्रपान</t>
  </si>
  <si>
    <t>उपलों के ढेर में।</t>
  </si>
  <si>
    <t>झबरेड़ी कला थाना क्षेत्र झबरेड़ा जनपद हरिद्वार।</t>
  </si>
  <si>
    <t>गेहूँ के खेत में।</t>
  </si>
  <si>
    <t xml:space="preserve">मकान नं0-01, गलीनं0-13 कृष्णा नगर थाना क्षेत्र कोतवाली गंगनहर रूड़की जनपद हरिद्वार। </t>
  </si>
  <si>
    <t>सम्भवतः गैस लीक होने के कारण।</t>
  </si>
  <si>
    <t>रसोई गैस सिलेण्डर में।</t>
  </si>
  <si>
    <t>म0नं0-644 गली नं0-14 रामनगर थाना क्षेत्र कोतवाली गंनहर रूड़की जनपद हरिद्वार।</t>
  </si>
  <si>
    <t>षार्ट सर्किट से</t>
  </si>
  <si>
    <t>विद्युत मीटर बाक्स में।</t>
  </si>
  <si>
    <t>खण्ड विकास अधिकारी कार्यालय लक्सर</t>
  </si>
  <si>
    <t>सम्भवत विद्युत शार्ट सर्किट के कारण</t>
  </si>
  <si>
    <t>ए0सी0, इन्वेटर में</t>
  </si>
  <si>
    <t>खेडीकलां लक्सर हरिद्वार</t>
  </si>
  <si>
    <t>सम्भवत चूल्हे की गरम राख डालने के कारण</t>
  </si>
  <si>
    <t>उपलो की ढेर मे</t>
  </si>
  <si>
    <t>ग्राम ऐथल लक्सर हरिद्वार</t>
  </si>
  <si>
    <t>पटाखो में</t>
  </si>
  <si>
    <t>ग्राम हिरनाखेडी लक्सर</t>
  </si>
  <si>
    <t>सम्भवत बीडी सिगरेट पीने के कारण</t>
  </si>
  <si>
    <t>गेहूँ के फसल मे</t>
  </si>
  <si>
    <t xml:space="preserve"> ग्राम कुआँखेडा लक्सर</t>
  </si>
  <si>
    <t>असत्य पुकार</t>
  </si>
  <si>
    <t>कुन्हारी सुल्तानपुर</t>
  </si>
  <si>
    <t>भूसा/राब में</t>
  </si>
  <si>
    <t>ग्राम तिलकपुरी भोगपुर लक्सर</t>
  </si>
  <si>
    <t>सम्भवत भोजन बनाते समय चूल्हे से उडी चिंगारी के कारण</t>
  </si>
  <si>
    <t>झोपडियों मे</t>
  </si>
  <si>
    <t>ग्राम बाहमावाला खानपुर</t>
  </si>
  <si>
    <t>सरकण्डों/गेहॅू</t>
  </si>
  <si>
    <t>सामु0 स्वास्थ्य केन्द्र खानपुर</t>
  </si>
  <si>
    <t>कण्डम एंबुलेंस में</t>
  </si>
  <si>
    <t>ग्राम गोविन्द गढ लक्सर</t>
  </si>
  <si>
    <t>सम्भवत बीडी सिगरेट पीने के</t>
  </si>
  <si>
    <t>गोबर के बिटोडो में</t>
  </si>
  <si>
    <t>मै0 सेठी बैकर्स एस-285 शिवालिक नगर हरिद्वार।</t>
  </si>
  <si>
    <t>जाचॉधीन</t>
  </si>
  <si>
    <t>हाथीपुल, रोडी वेलवाला हरिद्वार।</t>
  </si>
  <si>
    <t>आग भूमिगत विद्युत वायर में लगी थी, आग ई श्रेणी की थी।</t>
  </si>
  <si>
    <t>शुभम प्लास्टिक, गोदाम, सलेमपुर महदूद, हरिद्वार।</t>
  </si>
  <si>
    <t>विद्युत शार्ट सर्किट के कारण</t>
  </si>
  <si>
    <t>आग प्लास्टिक स्क्रेप गोदाम में लगी थी, आग ए श्रेणी की थी।</t>
  </si>
  <si>
    <t>चण्डी देवी, रोपवें, के निकट नजीवाबाद रोड़, हरिद्वार।</t>
  </si>
  <si>
    <t>इंजन के वायरिंग में शार्ट सर्किट के कारण</t>
  </si>
  <si>
    <t>आग वाहन संख्या न्ज्ञ 07।ॅ.1499 (डस्टर) में लगी थी, आग ए श्रेणी की थी।</t>
  </si>
  <si>
    <t>वी.आईपी. घाट, रोडी बेलावाला, हरिद्वार।</t>
  </si>
  <si>
    <t>आग सूखे पीपल पेड़ के खोखले तने में लगी थी जो जलने से  पेड गिर गया था आग ए श्रेणी की थी।</t>
  </si>
  <si>
    <t>सन्यास रोड़ हरिभारती, आश्रम, कनखल, हरिद्वार।</t>
  </si>
  <si>
    <t>अगरबत्ती जलने के कारण</t>
  </si>
  <si>
    <t>आग छात्रावास के कक्ष-1, रखे रजाई एवं गद्दो में लगी थी आग ए श्रेणी की थी।</t>
  </si>
  <si>
    <t>तुलसी चौक, मायापुर, हरिद्वार।</t>
  </si>
  <si>
    <t>सम्भवतः राहगीर  द्वारा ध्रुमपान कर फेक देने से।</t>
  </si>
  <si>
    <t>आग कूडे के गोदाम में लगी थी, आग ए श्रेणी की थी।</t>
  </si>
  <si>
    <t>ए-12, मन रोड़, सुभाश नगर हरिद्वार।</t>
  </si>
  <si>
    <t xml:space="preserve"> सम्भवतः शार्ट सर्किट के कारण्</t>
  </si>
  <si>
    <t>आग विद्युत पोल में लगे विद्युत मीटर में लगी थी, आग ई श्रेणी की थी।</t>
  </si>
  <si>
    <t xml:space="preserve"> यादव पेट्रेाल, डम्पिंग जोन सराय पम्म  हरिद्वार।</t>
  </si>
  <si>
    <t>आग ट्रासफार्मर की सूचना श्री  आधे रास्ते में आग बुझा जाने की  सूचना मिली।</t>
  </si>
  <si>
    <t>सुपर कॉप्लैक्स के पास चन्द्राचार्य हरिद्वार।</t>
  </si>
  <si>
    <t>आग विद्युत पोल में लगे बॉक्स में लगी थी, आग ई श्रेणी की थी।</t>
  </si>
  <si>
    <t>गोपाल कलैक्शन, निकट-सुखी नदी खड़खड़ी, हरिद्वार।</t>
  </si>
  <si>
    <t>विद्युत वायरिंग में शार्ट सर्किट के कारण</t>
  </si>
  <si>
    <t>श्रव्ल् म्.ठप्ज्ञम् शोरूम चन्द्रा कॉम्पलैक्स आर्यनगर चौक, ज्वालापुर, हरिद्वार</t>
  </si>
  <si>
    <t>बैट्री में शार्ट सर्किट के कारण</t>
  </si>
  <si>
    <t>आग श्रव्ल् म्.ठप्ज्ञम् शोरूम में रखी  एक स्कूटी में लगी थी, आग ई श्रेणी की थी।</t>
  </si>
  <si>
    <t xml:space="preserve"> अंशुल टेªडर्स, पुरानी अनाज मण्डी, ज्वालापुर, हरिद्वार</t>
  </si>
  <si>
    <t>शार्ट सर्किट के कारण</t>
  </si>
  <si>
    <t>आग दुकान एवं दुकन में रखे खाद्य सामा्री आदि में लगी थी, आग ए श्रेणी की थी।</t>
  </si>
  <si>
    <t xml:space="preserve"> खस्ता बस्ती चण्डी घाट, हरिद्वार</t>
  </si>
  <si>
    <t>मन्दिर के दिये के कारण</t>
  </si>
  <si>
    <t>आग घर एवं घर में रखें घरेलू सामान आदि में लगी थी, आग ए श्रेणी की थी।</t>
  </si>
  <si>
    <t>हरिद्वार-देहरादून फ्लाई ओवर, निकट गोडिवन होटल के सामने</t>
  </si>
  <si>
    <t xml:space="preserve"> सम्भवतः शार्ट सर्किट के कारण</t>
  </si>
  <si>
    <t>आग वाहन संख्या न्ज्ञ04ग्.4444 (औडी)कार के बोनट में लगी थी, आग ए श्रेणी की थी।</t>
  </si>
  <si>
    <t>होटल ग्राण्ड ओरचिड़ पुराना, आर.टी.ओ. चौक खड़खड़ी, हरिद्वार</t>
  </si>
  <si>
    <t xml:space="preserve"> शार्ट सर्किट के कारण</t>
  </si>
  <si>
    <t>आग होटल के कीचन की चिमनी में लगी थी, आग ए श्रेणी की थी।</t>
  </si>
  <si>
    <t>ग्राम-दहियाकी थाना क्षेत्र मंगलौर जनपद हरिद्वार।</t>
  </si>
  <si>
    <t>ऊपलों के ढेर में।</t>
  </si>
  <si>
    <t xml:space="preserve">ग्राम-हदीदपुर थाना क्षेत्र पिरान कलियर </t>
  </si>
  <si>
    <t>आक्रोश मंे अज्ञात ग्रामीणों द्वारा</t>
  </si>
  <si>
    <t>ट्रैक्टर/ट्राली में।</t>
  </si>
  <si>
    <t xml:space="preserve">एफएच-4-हाईड्रिल कॉलोनी नियर टेलीफोन एक्सचेन्ज पटानपुरा थाना क्षेत्र कोतवाली सिविल लाईन रूड़की </t>
  </si>
  <si>
    <t>सम्भतः विद्युत शार्ट सर्किट</t>
  </si>
  <si>
    <t>रसोई घर में।</t>
  </si>
  <si>
    <t>सैनी मेडिकोज ग्राम-मांजरी गुम्मावाला थाना क्षेत्र पिरान कलियर रूडकी हरिद्वार।</t>
  </si>
  <si>
    <t>जंाच प्रचलित है।</t>
  </si>
  <si>
    <t>मेडिकल स्टोर में।</t>
  </si>
  <si>
    <t xml:space="preserve">नगला इमरती राष्ट्रीय राजमार्ग थाना क्षेत्र  कोतवाली सिविल लाईन रूड़की जनपद हरिद्वार। </t>
  </si>
  <si>
    <t>गैस लीकेज के कारण।</t>
  </si>
  <si>
    <t>स्चह सिलेण्डर में।</t>
  </si>
  <si>
    <t>मकान नं0-1190, 29 थाना क्षेत्र कोतवाली सिविल लाईन रूड़की जनपद हरिद्वार।</t>
  </si>
  <si>
    <t>सम्भवतः विद्युत शार्ट सर्किट से</t>
  </si>
  <si>
    <t>मकान/स्कूटी नं0-न्ज्ञ06।स्0661 में।</t>
  </si>
  <si>
    <t>मलकपुर खंजरपुर निकट रविदास मंदिर थाना क्षेत्र कोतवाली सिविल रूड़की जनपद हरिद्वार।</t>
  </si>
  <si>
    <t xml:space="preserve">घर स्वामी द्वारा स्वयं नशे की हालात में </t>
  </si>
  <si>
    <t>घर में रखे कपड़ों आदि में</t>
  </si>
  <si>
    <t>थाना भगवानपुर के सामन</t>
  </si>
  <si>
    <t xml:space="preserve">सम्भवतः शार्ट शर्किट से </t>
  </si>
  <si>
    <t>खन्नानगर, ज्वालापुर, हरिद्वार।</t>
  </si>
  <si>
    <t>सम्भवतः ज्यादा लोड़ पड़ने से इन्वेटर में आग लगी।</t>
  </si>
  <si>
    <t>आग घर के एक कमरे रखे इन्वेटर में लगी थी आग ई श्रेणी की थी।</t>
  </si>
  <si>
    <t>बी.एच.ई.एल, से0-04, आवास में, हरिद्वार।</t>
  </si>
  <si>
    <t>आग कही नही मिल फायर सर्विस टीम घटनास्थल से वापस आयी।</t>
  </si>
  <si>
    <t>.</t>
  </si>
  <si>
    <t>जमालपुर, कनखल, हरिद्वार।</t>
  </si>
  <si>
    <t>सम्भवतः इलैक्ट्रिक शार्ट सर्किट के कारण</t>
  </si>
  <si>
    <t>आग घर में लगे ए.सी, गीजर. पखें. पर्दे. कपड़ें, फर्नीचर, आदि में लगी थी आग ए श्रेणी की थी।</t>
  </si>
  <si>
    <t>निकट-बंगाली अस्पताल, कनखल, हरिद्वार।</t>
  </si>
  <si>
    <t>सम्भवतः किसी व्यक्ति द्वारा जलती बीडी सिगरेट फेकने के कारण</t>
  </si>
  <si>
    <t>आग झाडियों एवं कूडे आदि में लगी थी आग ए श्रेणी की थी।</t>
  </si>
  <si>
    <t>सप्तऋषि आश्रम, भूपतवाला, हरिद्वार।</t>
  </si>
  <si>
    <t>सम्भवतः किसी व्यक्ति द्वारा ध्रुमपान के कारण</t>
  </si>
  <si>
    <t>आग खाली प्लाट में पडें  कूडे एवं झाडियों आदि में लगी थी आग ए श्रेणी की थी।</t>
  </si>
  <si>
    <t>फान्ड्री गेट के सामाने सौर उर्जा प्लाट के पास बी.एल.ई,एल, हरिद्वार।</t>
  </si>
  <si>
    <t>सम्भवतः किसी राह  चलते व्यक्ति द्वारा बीडी/सिगरेट फेकने के कारण</t>
  </si>
  <si>
    <t>आग सौर उर्जा प्लाट के पास खाली प्लाट में घास एवं झाडियों आदि में लगी थी आग ए श्रेणी की थी।</t>
  </si>
  <si>
    <t>ज्ञानलोक कॉलोनी कलखल, हरिद्वार।</t>
  </si>
  <si>
    <t>सम्भवतः किसी राहगीर  व्यक्ति द्वारा ध्रुमपान कर फेक देने के कारण</t>
  </si>
  <si>
    <t>आग खाली प्लाट के घास एवं झाडियों आदि में लगी थी आग ए श्रेणी की थी।</t>
  </si>
  <si>
    <t>पतंजलि फेस-1 के पीछे बहादराबाद, हरिद्वार।</t>
  </si>
  <si>
    <t xml:space="preserve">सम्भवतः किसी राहगीर  व्यक्ति द्वारा ध्रुमपान कर फेक देना </t>
  </si>
  <si>
    <t>आग कूडे के ढेर एवं घास आदि में लगी थी आग ए श्रेणी की थी।</t>
  </si>
  <si>
    <t>द्वारिका बिहारी निकट गुरूकुल कांगडी, हरिद्वार।</t>
  </si>
  <si>
    <t xml:space="preserve">सम्भवतः प्लॉट में आग लगने के कारण चिंगारी </t>
  </si>
  <si>
    <t>खाली प्लाट व घर के बाहर बने बैठक में आग लगी थी, आग ए श्रेणी की थी।</t>
  </si>
  <si>
    <t xml:space="preserve">मातृसदन पुल के पास सनी चौक बाबा पायलेट कनखल हरिद्वार। </t>
  </si>
  <si>
    <t>आग प्लाट के पास खाली प्लाट में घास एवं झाडियों आदि में लगी थी आग ए श्रेणी की थी।</t>
  </si>
  <si>
    <t>महिला हॉस्टल सेक्टर-3, बीएचईएल हरिद्वार।</t>
  </si>
  <si>
    <t>आग महिला हॉस्टल परिसर में गिरे पेड में लगी थी, आग ए श्रेणी की थी।</t>
  </si>
  <si>
    <t>क्रिस्टल वर्ड के सामने, शान्तरशाह, हरिद्वार।</t>
  </si>
  <si>
    <t>गैस सिलेण्डर लिकेज होने  के कारण</t>
  </si>
  <si>
    <t>आग फायर यूनिट पहुॅचने से पूर्व ही बुझ चुकी थी, आधे रास्ते से वापस आये।</t>
  </si>
  <si>
    <t>पथरी रेलवें स्टेशन के सामने, हरिद्वार।</t>
  </si>
  <si>
    <t>ग्राम-मगोलपुरा मिट्ठीबेरी, लालढांग हरिद्वार।</t>
  </si>
  <si>
    <t xml:space="preserve">सम्भवतः किसी व्यक्ति द्वारा ध्रुमपान करने से </t>
  </si>
  <si>
    <t xml:space="preserve">आग झोपडी, गौशाला, भूसे ढेर, एवं घरेलू सामान, आदि में लगी थी आग ए श्रेणी की थी। </t>
  </si>
  <si>
    <t>ड्रीम कॉलोनी रानीपुर झाल, हरिद्वार।</t>
  </si>
  <si>
    <t xml:space="preserve">सम्भवतः चुल्हे की आग की चिंगारी के करने से </t>
  </si>
  <si>
    <t>आग झाडियों एवं घास आदि में लगी थी आग ए श्रेणी की थी।</t>
  </si>
  <si>
    <t>गुरूकुल कांगडी विश्वविद्यालय के पास, फ्लाई ओवर पर, हरिद्वार।</t>
  </si>
  <si>
    <t>सम्भवतः किसी अज्ञात व्यक्ति द्वारा ध्रुमपान करने से</t>
  </si>
  <si>
    <t>आग झाडियों एवं गन्ने के छिल्के कूडे आदि में लगी थी आग ए श्रेणी की थी।</t>
  </si>
  <si>
    <t>गोल गुरूद्वार ज्वालापुर, के पीछे बस्ती में हरिद्वार।</t>
  </si>
  <si>
    <t>सम्भवतः सोते समय अगरवती जलाने पर से</t>
  </si>
  <si>
    <t>आग टिन शैड झोपडी एवं झोपडी में रखा घरेलू सामान कूलर, पंखा, टिबी, बर्तन, कपडे, बैड, विस्तर, आदि में लगी थी आग ए श्रेणी की थी।</t>
  </si>
  <si>
    <t>शारदा नगर, ज्वालापुर, हरिद्वार।</t>
  </si>
  <si>
    <t>सम्भवतः किसी व्यक्ति द्वारा ध्रुमपान करने से</t>
  </si>
  <si>
    <t>आग कब्रस्थान में झाडियों एवं पेड-पौधै आदि में लगी थी आग ए श्रेणी की थी।</t>
  </si>
  <si>
    <t>पुरानी कचहरी, पी.ए.सी. रानीपुर झाल, हरिद्वार।</t>
  </si>
  <si>
    <t>सम्भवतः किसी राहगीर  व्यक्ति द्वारा ध्रुमपान कर फेक देना।</t>
  </si>
  <si>
    <t>आग झाडियों में लगी थी आग ए श्रेणी की थी।</t>
  </si>
  <si>
    <t>जियापोता जगजीतपुर, (मिस्सपुरा) हरिद्वार।</t>
  </si>
  <si>
    <t>सम्भवतः किसी राहगीर  द्वारा ध्रुमपान कर फेकना।</t>
  </si>
  <si>
    <t>गुजर बस्ती, दारोवाली, बाहर पीली, श्यामपुर, हरिद्वार।</t>
  </si>
  <si>
    <t>जॉचोपरान्त</t>
  </si>
  <si>
    <t>शिवालिक नगर, हरिद्वार।</t>
  </si>
  <si>
    <t>आग कूडे के ढेर में लगी थी आग ए श्रेणी की थी।</t>
  </si>
  <si>
    <t>पुरानी आग पुनः सुलकने से</t>
  </si>
  <si>
    <t>आग भूसे के ढेर, सूखे उपलों के ढेर में लगी थी आग ए श्रेणी की थी।</t>
  </si>
  <si>
    <t>फेरूपुर लक्सर रोड़ हरिद्वार।</t>
  </si>
  <si>
    <t>सम्भवतः किसी व्यक्ति द्वारा ध्रुमपान कर फेक देना</t>
  </si>
  <si>
    <t>आग सूखे उपलों के ढेर में लगी थी आग ए श्रेणी की थी।</t>
  </si>
  <si>
    <t>डोगीवाला लक्सर रोड़ हरिद्वार।</t>
  </si>
  <si>
    <t>सड़क चलते किसी व्यक्ति द्वारा ध्रुमपान कर फेक देना</t>
  </si>
  <si>
    <t>शारदा विहार, ज्वालापुर, हरिद्वार।</t>
  </si>
  <si>
    <t>सम्भवतः ध्रुमपान कर फेक देना</t>
  </si>
  <si>
    <t>जगत गुरू आश्रम, कनखल, हरिद्वार।</t>
  </si>
  <si>
    <t>ट्रासफार्मर के ऊपर शार्ट सर्किट के कारण</t>
  </si>
  <si>
    <t>आग विद्युत ट्रासफार्मर में लगी थी आग ई श्रेणी की थी।</t>
  </si>
  <si>
    <t>राजा गार्डन जगजीतपुर, कनखल, हरिद्वार।</t>
  </si>
  <si>
    <t>आग विद्युत पोल के केविल एवं बाक्स में लगी थी आग ई श्रेणी की थी।</t>
  </si>
  <si>
    <t>खड़खडी पुलिस चौकी के सामने, हरिद्वार।</t>
  </si>
  <si>
    <t>डाम्पिंग जोन सराय ज्वालापुर, हरिद्वार।</t>
  </si>
  <si>
    <t>आग डाम्पिंग जोन के कूडे के ढेर में लगी थी आग ए श्रेणी की थी।</t>
  </si>
  <si>
    <t>फाउण्ड्री गेट बी.एच.ई.एल, हरिद्वार।</t>
  </si>
  <si>
    <t xml:space="preserve"> सम्भवतः किसी व्यक्ति द्वारा ध्रुमपान कर फेक देना</t>
  </si>
  <si>
    <t>आग झाडियों एवं घास-फूस आदि में लगी थी आग ए श्रेणी की थी।</t>
  </si>
  <si>
    <t>विष्णुलोक कॉलोनी, रानीपुर, हरिद्वार।</t>
  </si>
  <si>
    <t>आग खाली प्लाट के कूडे एवं उपलो तथा झाडियों आदि में लगी थी आग ए श्रेणी की थी।</t>
  </si>
  <si>
    <t>रानीपुर झाल, ज्वालापुर, हरिद्वार।</t>
  </si>
  <si>
    <t>सम्भवतः राहगीर  द्वारा ध्रुमपान कर फेक देना।</t>
  </si>
  <si>
    <t>ध्रुब हॉस्पिटल  श्यामपुर, हरिद्वार।</t>
  </si>
  <si>
    <t xml:space="preserve">सम्भवतः आकाशीय बिजली गिरने से </t>
  </si>
  <si>
    <t>आग एक विशालकाय सूखे पेड़ में लगी थी आग ए श्रेणी की थी।</t>
  </si>
  <si>
    <t>शमशान घाट रोड़ खड़खडी, हरिद्वार।</t>
  </si>
  <si>
    <t>आर्य नगर चौक, ज्वालापुर, हरिद्वार।</t>
  </si>
  <si>
    <t>आग ओकेनावा शोरूम के सर्विस सेन्टर में रखे, सामान आदि में लगी थी आग ए श्रेणी की थी।</t>
  </si>
  <si>
    <t xml:space="preserve">सुनहरा रोड़ निकट ईदगाह चौक थाना क्ष्ेात्र गंगनहर रूड़की </t>
  </si>
  <si>
    <t>विद्युत षार्ट सर्किट</t>
  </si>
  <si>
    <t>विद्युत ट्रांन्सफार्मर में।</t>
  </si>
  <si>
    <t xml:space="preserve">मैसर्स अरोमा क्राफ्ट एण्ड टिषूस ग्राम-नूरपुर बुढ़पुर थाना क्षेत्र झबरेड़ा </t>
  </si>
  <si>
    <t>जांच प्रचलित है।</t>
  </si>
  <si>
    <t>डंपिंग जोन ग्राम-सालियर  थाना क्ष्ेात्र गंगनहर रूड़की</t>
  </si>
  <si>
    <t>छपस</t>
  </si>
  <si>
    <t xml:space="preserve">मैसर्स होटल दीप रेजीडेन्सी रामनगर चौराहा  थाना क्ष्ेात्र गंगनहर रूड़की </t>
  </si>
  <si>
    <t>विद्युत पैनल बोर्ड में।</t>
  </si>
  <si>
    <t>कलियर ईमली रोड़ कब्रिस्तान  थाना क्ष्ेात्र  पिरान कलियर हरिद्वार।</t>
  </si>
  <si>
    <t>झाड़ियों में</t>
  </si>
  <si>
    <t>सिंचाई विश्राम भवन नहर किनारे थाना कोतवाली रूड़की</t>
  </si>
  <si>
    <t>कुड़े व झाड़ियों में।</t>
  </si>
  <si>
    <t xml:space="preserve">नहर किनारे निकट वोल्ट क्लब  कोतवाली रूड़की </t>
  </si>
  <si>
    <t>झाड़ियों व पेड़ो की सूखी पत्तियों में ।</t>
  </si>
  <si>
    <t xml:space="preserve">गुरूकुल रोड़ थाना क्षेत्र झबरेड़ा </t>
  </si>
  <si>
    <t>गन्ने की खोई में।</t>
  </si>
  <si>
    <t xml:space="preserve">हाईवे रोड़ निकट ग्राम-बेलड़ी  कोतवाली रूड़की </t>
  </si>
  <si>
    <t>हरे पेड़ कूड़े तथा गोबर के ढेरों में।</t>
  </si>
  <si>
    <t>ग्राम-पुहाना थाना क्षेत्र भगवानपुर जनपद हरिद्वार।</t>
  </si>
  <si>
    <t>मकान नं0-74 राजपुतान नियर सोत ए पुलिस चौकी थाना क्षेत्र गंगनहर हरिद्वार।</t>
  </si>
  <si>
    <t xml:space="preserve">सम्भवतः विद्युत षार्ट सर्किट  </t>
  </si>
  <si>
    <t>मकान, घेरेलू सामान, खिड़की, दरवाजे, 01 बाईक व 01 स्कूटी।</t>
  </si>
  <si>
    <t>ग्राम-लिब्बरहेड़ी थाना क्षेत्र मंगलौर रूड़की  हरिद्वार।</t>
  </si>
  <si>
    <t xml:space="preserve">त्यागी डेरी निकट आई.आई.टी.गेट के पास थाना क्षेत्र कोतवाली रूड़की </t>
  </si>
  <si>
    <t>खाली प्लाट झाड़ियों में।</t>
  </si>
  <si>
    <t>पंचवटी फार्मा के निकट खाली प्लाट करोंदी थाना क्षेत्र भगवानपुर रूड़की जनपद हरिद्वार।</t>
  </si>
  <si>
    <t xml:space="preserve">खाली प्लाट झाड़ियों में। </t>
  </si>
  <si>
    <t xml:space="preserve">रजवाड़ा के निकट हरिद्वार रोड़ थाना क्षेत्र कोतवाली रूड़की </t>
  </si>
  <si>
    <t>सड़क किनारे झाड़ियों मंे।</t>
  </si>
  <si>
    <t xml:space="preserve">नजीमपुर हरचन्दपुर ग्राम, थाना क्षेत्र मंगलौर रूड़की </t>
  </si>
  <si>
    <t xml:space="preserve">सम्भवतः लापरवाही धूम्रपान </t>
  </si>
  <si>
    <t>ऊपलों के ढेर व कूड़े में।</t>
  </si>
  <si>
    <t>सैनिक कॉलोनी गली नं0-2, थाना क्षेत्र कोतवाली गंगनहर रूड़की</t>
  </si>
  <si>
    <t>सम्भवतः विद्युत षार्ट सर्किट।</t>
  </si>
  <si>
    <t>नारसन चैक पोस्ट के पास थाना क्षेत्र मंगलौर हरिद्वार।</t>
  </si>
  <si>
    <t>वेस्ट वाषिंग सेन्टर निकट भगवाती अस्पताल थाना क्षेत्र गंगनहर रूड़की हरिद्वार।</t>
  </si>
  <si>
    <t>वैक्यूम क्लीनर, मोटर,कम्प्रेषर, कोलर सिंघल बैण्ड आदि में।</t>
  </si>
  <si>
    <t xml:space="preserve">सोनाली पुरम निकट प्प्ज् रूड़की </t>
  </si>
  <si>
    <t>बिजली के पोल में।</t>
  </si>
  <si>
    <t>क्च्ै स्कूल दौलतपुर थाना क्षे कलियर रूड़की</t>
  </si>
  <si>
    <t xml:space="preserve">थाना क्षेत्र कोतवाली रूड़की के पीछे नहर किनारे हरिद्वार </t>
  </si>
  <si>
    <t>लकड़ी से बने ठेलियों में।</t>
  </si>
  <si>
    <t>पुल लण्ढौरा जौरासी रोड़ रूड़की थाना क्षेत्र कोतवाली सिविल लाईनरूड़की हरिद्वार</t>
  </si>
  <si>
    <t>गेट नं0-10 सोनालीपुरम थाना क्षेत्र कोतवाली सिविल लाईन रूड़की हरिद्वार</t>
  </si>
  <si>
    <t>बिजली के पाल में।</t>
  </si>
  <si>
    <t>ग्राम रायसी</t>
  </si>
  <si>
    <t>गन्ने की खोई में</t>
  </si>
  <si>
    <t xml:space="preserve">लक्सर जंक्शन </t>
  </si>
  <si>
    <t>कोयले की बोगी में</t>
  </si>
  <si>
    <t>रेलवे स्टेशन के पास</t>
  </si>
  <si>
    <t>प्लास्टिंक पाईपों में</t>
  </si>
  <si>
    <t>बसेडी फाटक लक्सर</t>
  </si>
  <si>
    <t xml:space="preserve">झाडियों में </t>
  </si>
  <si>
    <t>ग्राम भारूवाला लक्सर</t>
  </si>
  <si>
    <t xml:space="preserve"> गोबर के बिटोडों में</t>
  </si>
  <si>
    <t>ग्राम ब्राहमणवाला खानपुर</t>
  </si>
  <si>
    <t>जंगली सरकण्डों में</t>
  </si>
  <si>
    <t>ग्राम दुर्गाागढ पथरी</t>
  </si>
  <si>
    <t>गोबर के बिटोडों</t>
  </si>
  <si>
    <t>हनुमान चौक सुल्तानपुर</t>
  </si>
  <si>
    <t xml:space="preserve"> बिजली का ट्रासफार्मर</t>
  </si>
  <si>
    <t xml:space="preserve"> बी0एच0ई0एल0, सेक्टर-03, हरिद्वार। </t>
  </si>
  <si>
    <t>हनुमंत विहार सलेमपुर,              हरिद्वार।</t>
  </si>
  <si>
    <t xml:space="preserve"> मीरपुर मुवाजिरपुर थाना रानीपुर हरिद्वार ।</t>
  </si>
  <si>
    <t>क्यू 173 शिवालिक नगर हरिद्वार।</t>
  </si>
  <si>
    <t>ग्राम बंदरजूड बुग्गावाला</t>
  </si>
  <si>
    <t>भूसे केढेर में</t>
  </si>
  <si>
    <t xml:space="preserve">ग्राम मख्खनपुर भगवानपुर पेैट्रोल पम्प के पीछे झाडियों में </t>
  </si>
  <si>
    <t>ग्राम आरसीएम फैक्ट्री के पास रायपुर  भगवानपुर</t>
  </si>
  <si>
    <t>खुले प्लाट में</t>
  </si>
  <si>
    <t>ग्राम मोहितपुर थाना बुग्गावाला</t>
  </si>
  <si>
    <t>उपलों के ढेर में</t>
  </si>
  <si>
    <t>ग्राम गोकुलवाला थाना बुग्गावाला</t>
  </si>
  <si>
    <t xml:space="preserve">सम्भवतः किसी अज्ञात व्यक्ति द्वारा धुम्रपान करने से </t>
  </si>
  <si>
    <t>भूसे के ढेर/घास फूस के मकान में</t>
  </si>
  <si>
    <t xml:space="preserve">मैसर्स आरो सुन्दरम् प्लाई एण्ड डूर प्रा0 लि0 रायपुर </t>
  </si>
  <si>
    <t>ईदगाह कालोनी थाना भगवानपुर</t>
  </si>
  <si>
    <t xml:space="preserve">संभ्भवतः गैस का पाईप लीकेज होने से </t>
  </si>
  <si>
    <t>गैस सिलेण्डर में</t>
  </si>
  <si>
    <t>दलेल इंटरप्राइजेज इण्डस्ट्रियल एरिया हरिद्वार के सामने</t>
  </si>
  <si>
    <t xml:space="preserve">विघुत लाइन टुटने के कारण </t>
  </si>
  <si>
    <t>वाहन संख्या भ्त्58ब्.8077 (ट्रक कंटेनर) मे आग लगी थी आग ए/बी श्रेणी की थी</t>
  </si>
  <si>
    <t>चमगादड टापू पार्किंग निकट हरकी पैडी, हरिद्वार</t>
  </si>
  <si>
    <t>गैस सिलेण्डर लीकेज होने के कारण</t>
  </si>
  <si>
    <t>आग टैक्ट्रर ट्रॉली एवं टैक्ट्रर ट्रॉली में खडी मोटरसाइकिल, लकडी आदि में  लगी थी, आग ए0 क्लास की थी।</t>
  </si>
  <si>
    <t>पुरानी कचहरी के पास हरिद्वार</t>
  </si>
  <si>
    <t xml:space="preserve"> विधुत शार्ट सर्किट से</t>
  </si>
  <si>
    <t>आग विघुत मीटर व केविल में  लगी थी आग ई0 क्लास श्रेणी की थी।</t>
  </si>
  <si>
    <t>विष्णु गार्डन कनखल हरिद्वार</t>
  </si>
  <si>
    <t>आग बुझ जाने के कारण एफ0एस0 यूनिट आधे रास्ते से वापस आयी।</t>
  </si>
  <si>
    <t>सेक्टर 02, भेल हजारीबाग, ज्वालापुर, हरिद्वार</t>
  </si>
  <si>
    <t>आग कबाड के गोदाम में  रखे प्लास्टिक सामान आदि में लगी थी। आग ए श्रेणी की थी</t>
  </si>
  <si>
    <t>सत्कार होटलए रानीपुर मोडए हरिद्वार</t>
  </si>
  <si>
    <t>विधुत शार्ट सर्किट से</t>
  </si>
  <si>
    <t>आग इलेक्ट्रिक पैनल में लगी थी आग से विधुत तार आदि को  क्षती हुई है आग ई0 क्लास श्रेणी की थी।</t>
  </si>
  <si>
    <t>33ध्11ज्ञट विधुत   पावर हाउस बहादराबाद</t>
  </si>
  <si>
    <t>जलते बीड़ी सिगरेट: फेकने के कारण</t>
  </si>
  <si>
    <t>आग झाड़ियो में लगी थी आग ए श्रेणी की थी</t>
  </si>
  <si>
    <t>प्रोजेक्ट कॉलोनी निकट आवास हरिद्वार</t>
  </si>
  <si>
    <t>आग ट्रांसफार्मर के नीचे कूडे के ढेर  में लगी थी इससे भूमिगत केबल लाइन जल गई आग ए श्रेणी की थी</t>
  </si>
  <si>
    <t>गौशाला निकट फुटबॉल ग्राउंड कनखल हरिद्वार</t>
  </si>
  <si>
    <t>जलती मोमबत्ती कपड़ो पर गिरने से</t>
  </si>
  <si>
    <t>आग झोपडी कपड़ो बिस्तार पर लगी थी आग ए श्रेणी की थी</t>
  </si>
  <si>
    <t>खाली प्लॉट में उगी झाड़ियो में आग ए श्रेणी की थी</t>
  </si>
  <si>
    <t>बिजली के पोल व इलैक्ट्रिक पैनल में आग लगी थी ई श्रेणी की आग थी</t>
  </si>
  <si>
    <t>मौ0 आर्यन निकट थाना कनखल हरिद्वार</t>
  </si>
  <si>
    <t>भगत सिंह चौक के पास हरिद्वार</t>
  </si>
  <si>
    <t>सम्भवतः कूड़े के आग के चपेट में आने के कारण</t>
  </si>
  <si>
    <t>आग गाडी न0-न्ज्ञ08।ट.1561 व छप्पर एवं कूडे के ढ़ेर आदि मे लगी थी आग ए. बी. श्रेणी की थी</t>
  </si>
  <si>
    <t>कूड़ा डम्पिंग जोन (नगर निगम) सालियर थाना क्षेत्र गंगनहर रूड़की हरिद्वार</t>
  </si>
  <si>
    <t>सम्भवतः लापरवाही धूम्रपान।</t>
  </si>
  <si>
    <t>नई बस्ती रामनगर थाना क्षेत्र गंगनहर रूड़की हरिद्वार</t>
  </si>
  <si>
    <t>मोटर साईकिल नं0-न्च्11।फ1556 में।</t>
  </si>
  <si>
    <t>मौहल्ला मंगलौर किला थाना क्षेत्र मंगलौर जनपद हरिद्वार</t>
  </si>
  <si>
    <t>इलैक्ट्रिक शार्ट सर्किट।</t>
  </si>
  <si>
    <t>घरेलू सामान व इलैक्ट्रिक सामानों में।</t>
  </si>
  <si>
    <t>कलियर रोड़ रहमतपुर थाना क्षेत्र पिरान कलियर जनपद हरिद्वार।</t>
  </si>
  <si>
    <t>षार्ट सर्किट।</t>
  </si>
  <si>
    <t>लकड़ियों में।</t>
  </si>
  <si>
    <t>ग्राम डोसनी रेलवे फाटक लक्सर हरिद्वार</t>
  </si>
  <si>
    <t>सम्भवतः बीड़ी सिगरेट पीने के कारण</t>
  </si>
  <si>
    <t>मै0 रिसिवेदा हर्बल प्रा0 लि0, प्लाट नं0-09, सेक्टर-08ए, सिडकुल हरिद्वार।</t>
  </si>
  <si>
    <t>विद्युत शार्ट   सर्किट</t>
  </si>
  <si>
    <t>ट्रांसफार्मर में(बी, ई क्लास श्रेणी)</t>
  </si>
  <si>
    <t>मै0 जे.बी.सी. इन्जीनियरिंग,  सेक्टर-03ए,सिडकुल हरिद्वार।</t>
  </si>
  <si>
    <t>सम्भवतः शार्ट सर्किट</t>
  </si>
  <si>
    <t>प्लास्टिक मेटरियल में (ए, क्लास श्रेणी)</t>
  </si>
  <si>
    <t>नवोदय नगर रोशनाबाद हरिद्वार।</t>
  </si>
  <si>
    <t>एल.पी.जी. गैस लिकेज</t>
  </si>
  <si>
    <t xml:space="preserve">एल.पी.जी. गैस सिलेण्डर मे (सी क्लास फायर) </t>
  </si>
  <si>
    <t xml:space="preserve"> मै0 हेमा इंजीनियरिग कम्पनी आईपी 2, सलेमपुर   रोशनाबाद हरिद्वार।</t>
  </si>
  <si>
    <t>वैल्डिंग की चिगारी सें</t>
  </si>
  <si>
    <t xml:space="preserve"> यूनियन बैक शिवालिक नगर हरिद्वार।</t>
  </si>
  <si>
    <t xml:space="preserve"> टोल प्लाजा बहादराबाद हरिद्वार।</t>
  </si>
  <si>
    <t>खालसा कालोनी रोशनाबाद हरिद्वार।</t>
  </si>
  <si>
    <t>इमली रोड सैनी ढाबे के पास ग्राम झांग्गा माजरा हरिद्वार।</t>
  </si>
  <si>
    <t>सम्भवतः लापरवाही बीडी या सिगरेट पीने से</t>
  </si>
  <si>
    <t>झोपडी मेें</t>
  </si>
  <si>
    <t>सत्यम विहार कॉलोनी, भूपतवाला, हरिद्वार।</t>
  </si>
  <si>
    <t>आग गाडी न0-न्ज्ञ08।ड.7890 (रिनोल्ड ऐलोजी) कार में लगी थी आग से समपूर्ण कार जल गयी है आग ए श्रेणी की थी।</t>
  </si>
  <si>
    <t>टिबडी फाटक पुराना रानीपुर मोड, हरिद्वार।</t>
  </si>
  <si>
    <t>सम्भवतः राहगीर द्वारा जलती बीडी सिगरेट फेकने के कारण</t>
  </si>
  <si>
    <t>आग ट्राफार्मर के पास कूडे के ढेर  में लगी थी आग ए श्रेणी की थी।</t>
  </si>
  <si>
    <t>कांगडी श्यामपुर गली न0-1, हरिद्वार।</t>
  </si>
  <si>
    <t>तेज हवा के कारण अखण्ड जोत से</t>
  </si>
  <si>
    <t>आग गुरू की कुटीय के मन्दिर में  रखे मूर्तियो एवं मन्दिर की लकडीयों आदि में लगी थी आग ए श्रेणी की थी।</t>
  </si>
  <si>
    <t>घुघाल मन्दिर ज्वालापुर के पास हरिद्वार।</t>
  </si>
  <si>
    <t>आग विशाकाय पापडी के पेड में लगी थी आग ए श्रेणी की थी।</t>
  </si>
  <si>
    <t>पंचायती बडा फिराहेडिन आश्रम, ज्वालापुर के पास हरिद्वार।</t>
  </si>
  <si>
    <t>आग खोखला पापडी के पेड में लगी थी आग ए श्रेणी की थी।</t>
  </si>
  <si>
    <t>हैड वकर्स आवास गंगा कैनाल मायापुर, हरिद्वार।</t>
  </si>
  <si>
    <t>बूढी माता मन्दिर के पास लक्सर रोड, हरिद्वार।</t>
  </si>
  <si>
    <t>गाडी के चलते-चलते टायर गरम होने के कारण</t>
  </si>
  <si>
    <t>आग वाहन संख्या न्ज्ञ14ब्।.8586 (18 टायर) के एक टायर में  लगी थी आग ए श्रेणी की थी।</t>
  </si>
  <si>
    <t>कटिंग मशीन की वायर कटने पर स्पार्क होने के कारण</t>
  </si>
  <si>
    <t>आग इण्डस्ट्री में कण्डम टायर, (रौ मटिलियर) आदि में लगी थी आग ए श्रेणी की थी।</t>
  </si>
  <si>
    <t>द गोल्डन फार्म लॉन, निकट-संस्कृत विश्व विद्यालय बहादराबाद, हरिद्वार।</t>
  </si>
  <si>
    <t>सम्भवतः आतिशबाजी के कारण</t>
  </si>
  <si>
    <t>आग  बैकट हाल के मुख्य द्वार में रखे सोेफा, टेबिल, पर्दे आदि में लगी थी आग ए श्रेणी की थी।</t>
  </si>
  <si>
    <t>हरिपुर कला, भूपतवाला, हरिद्वार।</t>
  </si>
  <si>
    <t>सम्भवतः किसी रास्ते चलते व्यक्ति द्वारा जलती बीडी सिगरेट फेकने के कारण</t>
  </si>
  <si>
    <t>आग  रेलवें लाईन के आस-पास सुखी झाडियों पत्तो आदि में लगी थी आग ए श्रेणी की थी।</t>
  </si>
  <si>
    <t>चिन्मय डिग्री कॉलेज के सामने हरिद्वार।</t>
  </si>
  <si>
    <t>आग एफ.एस. यूनिट के पहुॅचने से पूर्व ही सी.आई.एस.एफ. एवं एफ.एस. सिडकुल की फायर यूनिट द्वारा बुझा दी गयी थीे।</t>
  </si>
  <si>
    <t>होटल शिवालिक, बाल्मिकी चौक ललतारौ पुल हरिद्वार।</t>
  </si>
  <si>
    <t>आग  होटल के एक कमरे लगे ए.सी.  एल.ई.डी, कुर्सी. पर्दे. आलमारी आदि में लगी थी आग ए श्रेणी की थी।</t>
  </si>
  <si>
    <t>शिवालिक, रेस्टोरेन्ट ललतारौ पुल हरिद्वार।</t>
  </si>
  <si>
    <t>आग  रेस्टोरेन्ट के कमर नं0-101, लगे डबल बैड, गद्दे, पादर, कुर्सियों आदि में लगी थी आग ए श्रेणी की थी।</t>
  </si>
  <si>
    <t>डिप्टी नन्द किशोर, श्री धर्मशाला, हरकी पैडी, हरिद्वार।</t>
  </si>
  <si>
    <t>एल.पी.जी. गैस सिलेण्डर के रेगुलेटर से लिकेज होने के कारण</t>
  </si>
  <si>
    <t>आग श्री धर्मशाला के बगल में स्थित खाने के ढाबे एवं दुकान में रखे फ्रीज, फर्नीचर, पंखे, कूलर, कुर्सियों आदि में लगी थी आग ए श्रेणी की थी।</t>
  </si>
  <si>
    <t>मौ0 चौहानन, ज्वालापुर हरिद्वार।</t>
  </si>
  <si>
    <t>सम्भवतः विद्युत शार्ट सर्किट के कारण</t>
  </si>
  <si>
    <t>आग घर में रखे टी.बी, फ्रीज. कूलर. विद्युत वायर आदि में लगी थी आग ए श्रेणी की थी।</t>
  </si>
  <si>
    <t>सरीफ नगर, मौ0 तेलियन ज्वालापुर, हरिद्वार।</t>
  </si>
  <si>
    <t>एल.पी.जी. गैस रेगुलेटर से लिकेज होने के कारण</t>
  </si>
  <si>
    <t>आग घर में रखे गैस रेगुलेटर, पाइप, बर्तन, खाने के सामान आदि में लगी थी आग ए श्रेणी की थी।</t>
  </si>
  <si>
    <t>निकट रेलचौकी, ज्वालापुर, हरिद्वार।</t>
  </si>
  <si>
    <t>आग कूडे एवं झाडियों आदि में लगी थी आग ए श्रेणी की थी।</t>
  </si>
  <si>
    <t>आनन्द विहार, रानीपुर झाल, बहादराबाद, हरिद्वार।</t>
  </si>
  <si>
    <t>मारूति वाटिका जगजीतपुर हरिद्वार।</t>
  </si>
  <si>
    <t>जर्स कन्ट्री के निकट हाईवे के किनारे, ज्वालापुर, हरिद्वार।</t>
  </si>
  <si>
    <t>आग झाडियों एवं खरपतवार घास आदि में लगी थी आग ए श्रेणी की थी।</t>
  </si>
  <si>
    <t>सराय रोड़, ज्वालापुर, हरिद्वार।</t>
  </si>
  <si>
    <t>सीतापुर बाईपास के पास ज्वालापुर, हरिद्वार।</t>
  </si>
  <si>
    <t>आग एक खोखे एवं खोखे मे डेन्टर के सामान आदि  में लगी थी आग ए श्रेणी की थी।</t>
  </si>
  <si>
    <t>पंतद्वीप पार्किग बिजली घर के पास हरिद्वार।</t>
  </si>
  <si>
    <t>सम्भवतः ध्रुमपान के कारण</t>
  </si>
  <si>
    <t>आग  झोपडी एवं झोपडी रखा घरेलू सामान बर्तन, विस्तर, राशन, कपडें आदि सामान में लगी थी आग ए श्रेणी की थी।</t>
  </si>
  <si>
    <t>जूर्स कन्ट्री के पीछे आम के बगीचें/प्लाट, हरिद्वार।</t>
  </si>
  <si>
    <t>आग खाली प्लाट एवं आम कंे बगीचें में लगी थी आग ए श्रेणी की थी।</t>
  </si>
  <si>
    <t>दादूपुर गोबिन्दपुर, सलेमपुर, हरिद्वार।</t>
  </si>
  <si>
    <t>सम्भवतः ध्रुमपान फेकने के कारण</t>
  </si>
  <si>
    <t>आग कबाड के गोदाम में रखे कबाड़ आदि में लगी थी आग ए श्रेणी की थी।</t>
  </si>
  <si>
    <t>विवेक विहार, कनखल,, हरिद्वार।</t>
  </si>
  <si>
    <t xml:space="preserve">सम्भवतः ज्याद लोड़ पड़ने पर प्लास्टिक तार व बाक्स में आग </t>
  </si>
  <si>
    <t>आग विद्युत प्लास्टिक तार व बॉक्स आदि में लगी थी आग ई श्रेणी की थी।</t>
  </si>
  <si>
    <t>सुभाष नगर,गली न0-04, ज्वालापुर, हरिद्वार।</t>
  </si>
  <si>
    <t xml:space="preserve">आग एफ.एस. यूनिट के पहुॅने ये पूर्व ही बुझ चुकी थ। </t>
  </si>
  <si>
    <t>हरिगिरी आश्रम दक्ष मन्दिर,के सामाने, कनखल, हरिद्वार।</t>
  </si>
  <si>
    <t>आग गंगा के पार झाड़ियों एवं घास आदि में लगी थी जहॉ तक अग्निशमन का वाहन जाने का रास्ता नही था।</t>
  </si>
  <si>
    <t>उमराऊ इन्कलेव, जगजीपुर, कनखल, हरिद्वार।</t>
  </si>
  <si>
    <t xml:space="preserve">आग गंगा किनारे झाड़ियों में लगी थी जहॉ तक अग्निशमन का वाहन जाने का रास्ता नही था । </t>
  </si>
  <si>
    <t>बहादुरगिरी हवेली अपर रोड़, हरिद्वार।</t>
  </si>
  <si>
    <t>चाय बनाते समय गैस सिलेण्डर लीक होने के कारण।</t>
  </si>
  <si>
    <t>आग एक कमरें में रखा सामान, गैस चूल्हा, बर्तन, कपडे, दरी विद्युत वायरिंग आदि में लगी थी आग ए श्रेणी की थी।</t>
  </si>
  <si>
    <t>डम्पिंग यार्ड-04,, सराय ज्वालापुर, हरिद्वार।</t>
  </si>
  <si>
    <t>सम्भवतः रास्ते चलते किसी व्यक्ति द्वारा जलती बीडी सिगरेट फेकने के कारण</t>
  </si>
  <si>
    <t>आग डम्पिंग जोन एरिया में लगी  थी आग ए श्रेणी की थी।</t>
  </si>
  <si>
    <t>मधुवन होटल के पास, रानीपुर मोड, हरिद्वार।</t>
  </si>
  <si>
    <t>सम्भवतः राहगीर द्वारा ध्रुमपान करके फेकने के कारण</t>
  </si>
  <si>
    <t>आग कूडें के ढेर एवं पास में खडी 05 छोटी गाडियों में लगी  थी आग ए श्रेणी की थी।</t>
  </si>
  <si>
    <t>नारायण शील मन्दिर के पास, मायापुर, हरिद्वार।</t>
  </si>
  <si>
    <t>स्वयं बीडी पीते समय साड़ी का आग पकडना।</t>
  </si>
  <si>
    <t>आग से एक महिला का उपरी बदन के कपडे जलने से उपरी भगा झूलास गया था।</t>
  </si>
  <si>
    <t>मोहन एनक्लेव जगजीतपुर, कनखल, हरिद्वार।</t>
  </si>
  <si>
    <t xml:space="preserve"> इलैक्ट्रिक शार्ट सर्किट के कारण</t>
  </si>
  <si>
    <t>आग बिजली के खम्भे में लगे प्लास्टिक मोटे केबल के बाक्स आदि में लगी थी आग ए श्रेणी की थी।</t>
  </si>
  <si>
    <t>मै0 आर.एन.एस. इण्डस्ट्रीज, बहादराबाद, हरिद्वार।</t>
  </si>
  <si>
    <t>बहादराबाद नहर पटरी के पास।</t>
  </si>
  <si>
    <t>,खड़खड़ी चौकी के पास, हरिद्वार</t>
  </si>
  <si>
    <t>विद्युत ओवर हीट के कारण</t>
  </si>
  <si>
    <t>आग ट्रासफार्ममर में लगी थी थी आग ई श्रेणी की थी।</t>
  </si>
  <si>
    <t>संदेश नगर कनखल, हरिद्वार।</t>
  </si>
  <si>
    <t>सिलेण्डर में गैस लीकेज होने के कारण।</t>
  </si>
  <si>
    <t>आग घर में रखे घरेलू सिलेण्डर एवं रेगुलेटर, पाइप आदि में लगी  थी आग ए श्रेणी की थी।</t>
  </si>
  <si>
    <t>श्यामपुर, चण्डीघाट नजीवाबाद, रोड, हरिद्वार।</t>
  </si>
  <si>
    <t>गाडी का ब्रेक लगने पर ओवर हीट होने के कारण।</t>
  </si>
  <si>
    <t xml:space="preserve">आग गाडी न0-न्च् 12ठै.2117 (क्विड) में लगी थी,, आग ए श्रेणी की थी। </t>
  </si>
  <si>
    <t>बूढी माता मन्दिर से आगे, कनखल, हरिद्वार।</t>
  </si>
  <si>
    <t>आग कूडें के ढेर में लगी  थी आग ए श्रेणी की थी।</t>
  </si>
  <si>
    <t>ग्राम-विशनपुर कुण्डी, हरिद्वार।</t>
  </si>
  <si>
    <t>आग खेत में रखे उपलों के ढेर में  लगी थी आग ए श्रेणी की थी।</t>
  </si>
  <si>
    <t>शिव मूर्ति गली, हरिद्वार।</t>
  </si>
  <si>
    <t>विद्युत शार्ट सर्किट के कारण।</t>
  </si>
  <si>
    <t>आग दुकान के फ्लैक्स बोर्ड एवं तार आदि में लगी थी आग ए श्रेणी की थी।</t>
  </si>
  <si>
    <t>मौ0 कडच्छ ज्वालापुर, हरिद्वार।</t>
  </si>
  <si>
    <t>ध्रुमपान करके फेकने के कारण</t>
  </si>
  <si>
    <t>टोल प्लाजा के निकट, बहादराबाद, हरिद्वार।</t>
  </si>
  <si>
    <t>शार्ट सर्किट होने कराण</t>
  </si>
  <si>
    <t>आग डीजी सैट (बडे वाला जनरेटर) उवं केविल आदि में लगी  थी आग ए श्रेणी की थी।</t>
  </si>
  <si>
    <t>आईरिश पुल नेशनल हाईवें, हरिद्वार।</t>
  </si>
  <si>
    <t>सम्भवतः इंजन में शार्टसर्किट होने कराण</t>
  </si>
  <si>
    <t>आग गाडी न0-न्ज्ञ 8ज्।.5979 (इंडिगो) लगी थी,, आग ए श्रेणी की थी।</t>
  </si>
  <si>
    <t>विवेकान्नद, इक्कलेव, नीलकंठ हॉस्पिटल, जगजीतपुर, हरिद्वार।</t>
  </si>
  <si>
    <t>सम्भवतः राहगीर द्वारा ध्रुमपान करके फेकने के कारण्</t>
  </si>
  <si>
    <t>ब्हादूरपुर सैनी, बहादराबाद, हरिद्वार।</t>
  </si>
  <si>
    <t>आग खाली प्लाट में रखे उपलों  के ढेर में लगी थी आग ए श्रेणी की थी।</t>
  </si>
  <si>
    <t>लालकुर्ती बाजार रूड़की थाना क्षेत्र कोतवाली रूड़की जनपद हरिद्वार।</t>
  </si>
  <si>
    <t>सम्भवतः विद्युत षार्ट सर्किट से</t>
  </si>
  <si>
    <t>सब्जी के दुकान में।</t>
  </si>
  <si>
    <t>खाली प्लाट निकट पूर्व विधायक मा0 सुरेष चन्द्र जैन के आवास के पास थाना क्षेत्र कोतवाली सिविल लाईन रूड़की हरिद्वार।</t>
  </si>
  <si>
    <t>मण्डावली गुरूकुल नारसन थाना क्षेत्र कोतवाली मंगलौर जनपद हरिद्वार।</t>
  </si>
  <si>
    <t xml:space="preserve">ग्राम-सुल्तानुपर षाबतवाली थाना क्षेत्र झबरेड़ा </t>
  </si>
  <si>
    <t>गन्ने की खोई/कोल्हू में</t>
  </si>
  <si>
    <t>हरिद्वार रोड़ षंकरपुरी रूड़की थाना क्षेत्र कोतवाली सिविल लाईन रूड़की हरिद्वार</t>
  </si>
  <si>
    <t>लिब्बरहेड़ी थाना क्षेत्र मंगलौर जनपद हरिद्वार।</t>
  </si>
  <si>
    <t>न्यू आदर्ष नगर निकट माही पैलेस थाना क्षेत्र कोतवाली सिविल लाईन हरिद्वार।</t>
  </si>
  <si>
    <t>विद्युत पोल /वायरों में।</t>
  </si>
  <si>
    <t>मैसर्स कोटेक कम्पनी करौंदी पुहाना रूड़की हरिद्वार।</t>
  </si>
  <si>
    <t xml:space="preserve">षार्ट सर्किट से </t>
  </si>
  <si>
    <t>मिक्चर मषीन की मोटर में।</t>
  </si>
  <si>
    <t>धनौरी थाना क्षेत्र पिरान कलियर रूड़की हरिद्वार</t>
  </si>
  <si>
    <t>खेत में भूसे के ढेर में।</t>
  </si>
  <si>
    <t>मखदूमपुर भूमि खेड़ा थाना क्षेत्र मंगलौर जनपद हरिद्वार</t>
  </si>
  <si>
    <t>गन्ने के खेत में।</t>
  </si>
  <si>
    <t>भारत नगर रूड़की जनपद हरिद्वार।</t>
  </si>
  <si>
    <t>स्चह गैस पाईप लीकेज होने केकारण।</t>
  </si>
  <si>
    <t>स्चह गैस सिलेण्डर में।</t>
  </si>
  <si>
    <t>सेन्चुरी गेट के पास प्प्ज् रूड़की जनपद हरिद्वार।</t>
  </si>
  <si>
    <t xml:space="preserve">पुरानी तहसील लालवाली गली रामपुर रूड़की </t>
  </si>
  <si>
    <t xml:space="preserve">सम्भवतः विद्युत षार्ट सर्किट से </t>
  </si>
  <si>
    <t>घर व घरेलू सामानों में।</t>
  </si>
  <si>
    <t>निकट पोलिरिस होटल बस स्टेण्ड रूड़की हरिद्वार।</t>
  </si>
  <si>
    <t>कूडा व पेड़ में।</t>
  </si>
  <si>
    <t>गणपति विहार रूड़की जनपद हरिद्वार।</t>
  </si>
  <si>
    <t>विद्युत षार्ट सर्किट ।</t>
  </si>
  <si>
    <t>विद्युत ट्रान्सफार्मर</t>
  </si>
  <si>
    <t>मालवीय चौक, रूड़की जनपद हरिद्वार।</t>
  </si>
  <si>
    <t>बिजली के तारों में।</t>
  </si>
  <si>
    <t>गन्ना सोसाईटी थाना क्षेत्र मंगलौर जनपद हरिद्वार।</t>
  </si>
  <si>
    <t>निकट लखनौता रोड़ झबरेड़ा जनपद हरिद्वार।</t>
  </si>
  <si>
    <t>सींचाई विभाग कॉलोनी, धनौरी रूड़की जनपद हरिद्वार।</t>
  </si>
  <si>
    <t>थाना गंगनहर रूड़की जनपद-हरिद्वार।</t>
  </si>
  <si>
    <t xml:space="preserve">विद्युत षार्ट सर्किट । </t>
  </si>
  <si>
    <t>कण्डम गाड़ियों में।</t>
  </si>
  <si>
    <t xml:space="preserve">ईदगाह चौक के पास थाना क्षेत्र गंगनहर रूड़की जनपद हरिद्वर। </t>
  </si>
  <si>
    <t>खाली प्लाट में।</t>
  </si>
  <si>
    <t>कैमिस्ट्री डिपार्टमेन्ट प्प्ज् रूड़की जनपद हरिद्वार।</t>
  </si>
  <si>
    <t xml:space="preserve">विद्युत षार्ट सर्किट </t>
  </si>
  <si>
    <t>गत्ते के सामानों में।</t>
  </si>
  <si>
    <t xml:space="preserve">गंगा ब्रिज थाना क्षेत्र कोतवाली सिविल लाईन रूड़की जनपद हरिद्वार। </t>
  </si>
  <si>
    <t>विद्युत षार्ट सर्किट।</t>
  </si>
  <si>
    <t>बिजली के पोल/वायरों में।</t>
  </si>
  <si>
    <t>सत्य नारायण मंदिर वाली गली थाना क्षेत्र कोतवाली गंगनहर रूड़की हरिद्वार।</t>
  </si>
  <si>
    <t>विजली के पोल/वायरों में।</t>
  </si>
  <si>
    <t>तेलीवाला थाना क्षेत्र कलियर रूड़की जनपद हरिद्वार।</t>
  </si>
  <si>
    <t>भूसे के ढेर मे।</t>
  </si>
  <si>
    <t xml:space="preserve">रामनगर थाना क्षेत्र गंगनहर रूड़की जनपद हरिद्वार। </t>
  </si>
  <si>
    <t xml:space="preserve">विद्युत षार्ट सर्किट। </t>
  </si>
  <si>
    <t>लिथोप्रेस थाना क्षेत्र गंगनहर रूड़की जनपद हरिद्वार।</t>
  </si>
  <si>
    <t>घास फूस में।</t>
  </si>
  <si>
    <t>ग्राम-रहमतपुर थाना क्षेत्र पिरान कलियर हरिद्वार।</t>
  </si>
  <si>
    <t xml:space="preserve">बांस के जंगल झाड़ियों में </t>
  </si>
  <si>
    <t>नगला छीना थाना क्षेत्र मंगलौर रूड़की हरिद्वार।</t>
  </si>
  <si>
    <t>बीएसएम पोलीटेक्निक कॉलेज नगला इमरती रोड़ रूड़की जनपद हरिद्वार।</t>
  </si>
  <si>
    <t>दुर्गा मन्दिर लक्सर के पास</t>
  </si>
  <si>
    <t>ग्राम-पीपली लक्सर</t>
  </si>
  <si>
    <t xml:space="preserve">शिसम के पे डमें </t>
  </si>
  <si>
    <t>ग्राम- बालचन्दवाला खानपुर</t>
  </si>
  <si>
    <t>सरकण्डो में</t>
  </si>
  <si>
    <t>सिमली रेलवे फाटक के पास</t>
  </si>
  <si>
    <t>मै0 ज्वालापुर हरिद्वार नहर पटरी के किनारे।</t>
  </si>
  <si>
    <t>पुरानी हेमा इन्जीनियरिंग कम्पनी आई.पी.-02, हरिद्वार।</t>
  </si>
  <si>
    <t>वैल्डिंग की चिंगारी से</t>
  </si>
  <si>
    <t xml:space="preserve"> चिन्मय डिग्री कॉलेज शिवालिक नगर हरिद्वार के पास।</t>
  </si>
  <si>
    <t>मैक्सवेल हास्पिटल बहादराबाद हरिद्वार के पास</t>
  </si>
  <si>
    <t>टोल प्लाजा बहादराबाद हरिद्वार के पास</t>
  </si>
  <si>
    <t>टायर भ्रष्ट होने के कारण</t>
  </si>
  <si>
    <t>बॉयलर के ढक्कन खोलने से उठी चिगारी के कारण</t>
  </si>
  <si>
    <t>पुलिस लाईन फिलिंग स्टेशन रोशनाबाद हरिद्वार के पास</t>
  </si>
  <si>
    <t xml:space="preserve">मै0 ए0एल0एफ0 इंजीनियरिंग, प्लाट नं0-227-231,सेक्टर-07 आई.आई.ई.सिडकुल हरिद्वार </t>
  </si>
  <si>
    <t xml:space="preserve">पथरी पावर हाऊस बाहदराबाद हरिद्वार के पास </t>
  </si>
  <si>
    <t>ओवर लोड होने के कारण</t>
  </si>
  <si>
    <t xml:space="preserve">नवोदय नगर रोशनाबाद हरिद्वार पारस डेरी के पास </t>
  </si>
  <si>
    <t>मकान में रखे घरेलू सामान में</t>
  </si>
  <si>
    <t>मै0 के0के0जी0 इण्डस्ट्रीज, प्लाट नं0-31,सेक्टर-03ए, आई.आई.ई. सिडकुल हरिद्वार ।</t>
  </si>
  <si>
    <t>मै0 अंशिका इन्टरप्राईजेज, प्लाट नं0-14, सेक्टर-प्प्क्ब्, आई.आई.ई. सिडकुल हरिद्वार ।</t>
  </si>
  <si>
    <t xml:space="preserve">मै0 कृष्णा इन्टरप्राईजेज, प्लाट नं0-46, सेक्टर-02, आई.आई.ई. सिडकुल हरिद्वार </t>
  </si>
  <si>
    <t>दुगैस नगर छोटी अन्नेकी रोशनाबाद हरिद्वार।</t>
  </si>
  <si>
    <t>गौबर में (ए क्लास फायर)</t>
  </si>
  <si>
    <t>ग्राम बंजारावाला बुग्गावाला</t>
  </si>
  <si>
    <t xml:space="preserve">किसी अज्ञात व्यक्ति द्वारा धुमंपान करने से </t>
  </si>
  <si>
    <t>उपलो क ढेर में</t>
  </si>
  <si>
    <t>ग्राम कुंजा बहादरपुर भगवानपुर</t>
  </si>
  <si>
    <t xml:space="preserve">सम्भवतः शर्किट से </t>
  </si>
  <si>
    <t>ग्राम चानचक गागलहेडी रोड भगवानपुर</t>
  </si>
  <si>
    <t>सम्भवतः किसी व्यक्ति द्वारा जलती बीडी सिगरेड का टुकडा फेकने से</t>
  </si>
  <si>
    <t>कबाड के गोदाम में</t>
  </si>
  <si>
    <t>ग्राम बन्दरजूड बुग्गावाला</t>
  </si>
  <si>
    <t>गौशाला में</t>
  </si>
  <si>
    <t>कलीराम गेट के पास भगवानपुर</t>
  </si>
  <si>
    <t xml:space="preserve">सम्भवतः शार्ट सर्किट से </t>
  </si>
  <si>
    <t xml:space="preserve">ट्रान्सर्फामर में </t>
  </si>
  <si>
    <t>थाना बुग्गावाला के सामने</t>
  </si>
  <si>
    <t>तेज्जुपुर थाना भगवानपुर</t>
  </si>
  <si>
    <t>कोल्हू /खोई के ढेर में</t>
  </si>
  <si>
    <t>ग्राम मसाई कला भ0पु0</t>
  </si>
  <si>
    <t>कुरडी के ढेरों में</t>
  </si>
  <si>
    <t>सम्भवतः रास्ते चलते किसी व्यक्ति द्वारा जलती बीडी सिगरेट फेकने के कारण आग ज्वालापुर वीट, के रानीपुर झाला के निकट पुरानी नहर के पास जंगल में</t>
  </si>
  <si>
    <t>परमार्थ होटल,  भारत माता मन्दिर, भूपतवाला, हरिद्वार।</t>
  </si>
  <si>
    <t>सम्भवतः विद्युत वायरिंग में शॉर्ट सर्किट के कारण।</t>
  </si>
  <si>
    <t>आग विद्युत पोल पर लगे विद्युत केविल  एवं मीटर में लगी थी, आग ई श्रेणी की थी।</t>
  </si>
  <si>
    <t>निकट रविदास मन्दिर, जमालपुर कला, हरिद्वार।</t>
  </si>
  <si>
    <t>आग घर के एक कमरें में रखे घरेलू सामान बैड,चारपाई, विस्तर, कपड़े में लगी थी, आग ए श्रेणी की थी।</t>
  </si>
  <si>
    <t>राजपूत धर्मशाला के सामने कनखल, हरिद्वार।</t>
  </si>
  <si>
    <t>सम्भवतः शॉर्ट सर्किट से इंजन में आग लगने  के कारण।</t>
  </si>
  <si>
    <t>आग रोड़ पर खड़ी कार न्ज्ञ08।च्.8410 (इस्कोडा) के आगे इंजन में लगी थी, आग ए एवं बी श्रेणी की थी।</t>
  </si>
  <si>
    <t>झुग्गी बस्ती, चण्डीघाट चौकी, हरिद्वार।</t>
  </si>
  <si>
    <t>जॉचोंपरान्त</t>
  </si>
  <si>
    <t>गली-04, सीतापुर,ज्वालापुर हरिद्वार।</t>
  </si>
  <si>
    <t xml:space="preserve">सिलेण्डर बदलते समय गैस लिकेज होने के कारण </t>
  </si>
  <si>
    <t>आग घर के रसोई में घरेलू सामान को आदि में लगी थी, आग ए श्रेणी की थी।</t>
  </si>
  <si>
    <t>गोविन्दपुरी एस0एम0जेन डिग्री कॉलेज के पास</t>
  </si>
  <si>
    <t>पटाखों की चिंगारी से</t>
  </si>
  <si>
    <t>आग खाली प्लाट में कूडे के ढेर में लगी थी आग ए श्रेणी की थी।</t>
  </si>
  <si>
    <t>आई.सी. इलैक्ट्रिकल्स प्रा0लि0 हरिद्वार।</t>
  </si>
  <si>
    <t>सम्भवतः राहगीर द्वारा धुम्रपान फेंकने के कारण</t>
  </si>
  <si>
    <t>आई.सी. इलैक्ट्रिकल्स प्रा0लि0 के बगल में स्थित खाली प्लाट में पडे कूडे के ढेर में लगी थी, आग ए श्रेणी की थी।</t>
  </si>
  <si>
    <t>दुर्गा फकीरी धाम आश्रम शिवनगर दूधाधरी चौक भूपतवाला, हरिद्वार।</t>
  </si>
  <si>
    <t>सम्भवतः विद्युत वायरिंग में शॉर्ट सर्किट होने के कारण।</t>
  </si>
  <si>
    <t>आग धर्मशाला के बेंसमेन्ट रखे सिंगल बैड, गद्दे, रजाई, सीलिंग फैन आदि में लगी थी, आग ए श्रेणी की थी।</t>
  </si>
  <si>
    <t>ब्रहम सिंह इन्केलेव होली गंगेज स्कूल ज्वालापुर, हरिद्वार</t>
  </si>
  <si>
    <t>आग मिट्टी के बर्तनों के गोदाम  में रखे गोबर के उपलों में में लगी थी, आग ए श्रेणी की थी।</t>
  </si>
  <si>
    <t>श्री गणेश फिलिंग स्टेशन देशरक्षक चौराहा कनखल।</t>
  </si>
  <si>
    <t>सम्भवतः विद्युत शॉर्ट सर्किट ।</t>
  </si>
  <si>
    <t>आग मिट्टी के बर्तनों के गोदाम  में रखे गोबर के उपलों में लगी थी, आग ए श्रेणी की थी।</t>
  </si>
  <si>
    <t>चण्डीघाट चण्डी चौकी के नीचे झोपडी में</t>
  </si>
  <si>
    <t>आग झोपडी एवं झोपडी में रखे घरेलू सामान आदि में लगी थी, आग ए श्रेणी की थी।</t>
  </si>
  <si>
    <t>मौहल्ला पांवधोई ज्वालापुर ।</t>
  </si>
  <si>
    <t>जलती आतिशबाजी की चिंगारी गिरने के कारण</t>
  </si>
  <si>
    <t xml:space="preserve">आग आतिशबाजी की दुकान में लगी थी। </t>
  </si>
  <si>
    <t xml:space="preserve">शक्ति सदन सिंहद्वार कनखल </t>
  </si>
  <si>
    <t>शक्ति सदन सिंहद्वार कनखल के परिसर में स्थित पंजाब नेशनल बैंक की गुरूकुल कांगड़ी शाखा के विद्युत पैनल व परिसर में मौजूद कूड़े में।</t>
  </si>
  <si>
    <t xml:space="preserve">लक्ष्मी अपार्टमेन्ट, पुरूषोत्तम विहार कनखल </t>
  </si>
  <si>
    <t>आग लक्ष्मी अपार्टमेन्ट के छत पर रखे घास फूस व प्लास्टिक वॉटर टैंक में लगी थी।</t>
  </si>
  <si>
    <t xml:space="preserve">निकट दक्ष मन्दिर कनखल </t>
  </si>
  <si>
    <t>आग घर के एक कमरे में रखे घरेलू सामान जैसे विस्तर, कपडे, फ्रिज, वाशिंग मशीन आदि।</t>
  </si>
  <si>
    <t xml:space="preserve">पन्ना लाल भल्ला भवन, निकट कोतवाली नगर  </t>
  </si>
  <si>
    <t>आग भवन के छत में रखे पुताई के सामान पेन्ट इत्यादि के डिब्बों में लगी थी।</t>
  </si>
  <si>
    <t>निकट धर्मकॉटा लण्ढोरा रोड़ मंगलौर जनपद हरिद्वार</t>
  </si>
  <si>
    <t>कबाड़ के ढेर में।</t>
  </si>
  <si>
    <t>मुकरपुर निकट राजमहल होटल पीएस गंगनहर रूड़की</t>
  </si>
  <si>
    <t>षार्ट सर्किट के कारण</t>
  </si>
  <si>
    <t>विद्युत पैनल में</t>
  </si>
  <si>
    <t>निकट स्काई वर्ल्ड स्कूल आवास विकास पीएस गंगनहर रूड़की</t>
  </si>
  <si>
    <t>पोल में लगे वायरों में</t>
  </si>
  <si>
    <t>निकट कुकरेजा</t>
  </si>
  <si>
    <t>विद्युत पोल के रबर तारों में</t>
  </si>
  <si>
    <t>रामनगर रूड़की</t>
  </si>
  <si>
    <t>विद्युत तारों में</t>
  </si>
  <si>
    <t>मै0 मोनटेज इण्टरप्राईजेज प्रा0 लि0,प्लाट नं0-13,सेक्टर-11, सिडकुल हरिद्वार।</t>
  </si>
  <si>
    <t>संभवतः विधुत शॉर्ट सर्किट के कारण</t>
  </si>
  <si>
    <t>रिसायकिलिंग मशीन में (ए क्लास फायर)</t>
  </si>
  <si>
    <t>मै0 विप्रो कम्पनी दवा चौक के पास विधुत लाईन में</t>
  </si>
  <si>
    <t>विधुत तार (ए क्लास फायर)</t>
  </si>
  <si>
    <t>रामधाम कॉलोनी दर्शन नगर निकट तक्षशिला स्कूल</t>
  </si>
  <si>
    <t xml:space="preserve">घरेलू सामान </t>
  </si>
  <si>
    <t>प्ीपली</t>
  </si>
  <si>
    <t>बीड़ि सिगरेट पीने से।</t>
  </si>
  <si>
    <t xml:space="preserve">डपलों में </t>
  </si>
  <si>
    <t>शेखपुरी वार्डनम्बर 11</t>
  </si>
  <si>
    <t>पराल में</t>
  </si>
  <si>
    <t>पुलिस चौकी मण्डावर के पास हाईवे पर झोपडी में</t>
  </si>
  <si>
    <t>सम्भवतः शार्ट सर्किट से</t>
  </si>
  <si>
    <t>झाोपडी में</t>
  </si>
  <si>
    <t>सब्जी मण्डी के पास भगवानपुर</t>
  </si>
  <si>
    <t xml:space="preserve">सम्भवतः पटाखे जलाने से </t>
  </si>
  <si>
    <t>वृत विहार कॉलानी फुटबॉल ग्राउण्ड से आगे जगजीतपुर, हरिद्वार।</t>
  </si>
  <si>
    <t>जलती  अतिशबाजी की चिगांरी के कारण।</t>
  </si>
  <si>
    <t>आग घर के वेन्टीलेशन के ऊपर लगी फाईबर, एवं घर के अन्दर इन्वाटर चारपाई आदि में लगी थी, आग ए श्रेणी की थी।</t>
  </si>
  <si>
    <t>शरदा विहार, निकट-अवधूत मण्डल आश्रम, हरिद्वार।</t>
  </si>
  <si>
    <t>आग खाली प्लाट में पड़े कूड़े के ढेरी एवं घास-फूस आदि में लगी थी, आग ए श्रेणी की थी।</t>
  </si>
  <si>
    <t>एस.एम.जे.एन. डिग्री कॉलेज रोड गोविन्दपुरी, हरिद्वार।</t>
  </si>
  <si>
    <t xml:space="preserve"> शार्ट सर्किट होने के कारण</t>
  </si>
  <si>
    <t>आग विद्युत पोल में लगे विद्युत स्टेट लाईट में लगे केविल आदि में लगी थी, आग ई श्रेणी की थी।</t>
  </si>
  <si>
    <t>चोर गली, मक्का मस्जिद रोड़ ज्वालापुर, हरिद्वार।</t>
  </si>
  <si>
    <t>जलती  अतिशबाजी एवं पटाखों की चिगांरी के कारण</t>
  </si>
  <si>
    <t>आग लकड़ी के गोदाम एवं सोफा, ए.सी. आदि में लगी थी, आग ए श्रेणी की थी।</t>
  </si>
  <si>
    <t>फ्रेडस कॉलोनी 40 वी, पी.ए.सी. सुभाष नगर, ज्वालापुर, हरिद्वार।</t>
  </si>
  <si>
    <t>सम्भवतः विद्युत बोर्ड एवं पैनल वायरिंग में शार्ट सर्किट होने के कारण</t>
  </si>
  <si>
    <t>आग घर में रखे मोटर साईकिल, स्कूटी, साईकिल, वाशिंग मशीन, घरेतू सामान, बॉक्स, बर्तन, ख्ड़िकी, दरवाजे आदि में लगी थी, आग ए श्रेणी की थी।</t>
  </si>
  <si>
    <t>विष्णु गार्डन, हरिद्वार।</t>
  </si>
  <si>
    <t>सम्भवतः शार्ट सर्किट होने के कारण</t>
  </si>
  <si>
    <t>आग विद्युत पोल में लगे विद्युत मीटर एवं केविल आदि में लगी थी, आग ई श्रेणी की थी।</t>
  </si>
  <si>
    <t>फूडहब कैफे, गोविन्दपुरी, रोड़, हरिद्वार।</t>
  </si>
  <si>
    <t>खाना बनाते समय कढ़ाई में आग लगने के कारण।</t>
  </si>
  <si>
    <t>आग कैफे के कीचन के फाइबर की छत, एग्जास्ट फैन, व फ्रीज आदि में आग लगी थी, आग ए श्रेणी की थी।</t>
  </si>
  <si>
    <t>थाना-श्यामपुर के समीप हाईवें पर हरिद्वार।</t>
  </si>
  <si>
    <t>केविन क सीट के नीचेे वायरिंग में  शार्ट सर्किट होने के कारण</t>
  </si>
  <si>
    <t>आग ट्रक संख्या न्च् 15।ज्.7059 के केविन, सीट, स्टेरिंग, बानट, एवं ट्रक में लदे हुये गन्ने आदि में लगी थी, आग ए श्रेणी की थी।</t>
  </si>
  <si>
    <t>इन्द्र बस्ती, बाईपास, हरिद्वार।</t>
  </si>
  <si>
    <t xml:space="preserve">घर के मन्दिर में रखे जलते दीये की लौ से </t>
  </si>
  <si>
    <t>आग घर में बने मन्दिर एवं मन्दिर में रखे पूजा के सामान आदि लगी थी, आग ए श्रेणी की थी।</t>
  </si>
  <si>
    <t>राजकीय आश्रम पद्वति, बालिका विद्यालय, लालढ़ंाग, हरिद्वार।</t>
  </si>
  <si>
    <t>सभ्भवतः एल.पी.जी. गैस लिकेज होने के कारण</t>
  </si>
  <si>
    <t>आग विद्यालय के कीचन में लगे रेगुलेटर, पाईप आदि में लगी थी, आग ए श्रेणी की थी।</t>
  </si>
  <si>
    <t>सन्देश नगर कनखल, हरिद्वार।</t>
  </si>
  <si>
    <t>आग घर के कीचन में लगी चिमनी एवं आलमारी तथा कीचन में रखे सामाने आदि में लगी थी, आग ए श्रेणी की थी।</t>
  </si>
  <si>
    <t>बैरागी कैम्प पार्किग कनखल, हरिद्वार।</t>
  </si>
  <si>
    <t>सभ्भवतः सिलेण्डर जलाते समय आग लगना।</t>
  </si>
  <si>
    <t>आग बैरागी कैम्प पार्किग में छोटे पेट्रोमैक्स सिलेण्डर में लगी थी, आग सी श्रेणी की थी।</t>
  </si>
  <si>
    <t>ललतारौ पुल के पास हरिद्वार।</t>
  </si>
  <si>
    <t>सभ्भवतः  राहगीर द्वारा धुम्रपान कर फेक देना</t>
  </si>
  <si>
    <t>आग सड़क के किनारे कूड़े के ढ़ेर एवं विद्युत केबिल आदि में लगी थी, आग ए श्रेणी की थी।</t>
  </si>
  <si>
    <t>ऋषिकुल पुल के किनारे हरिद्वार।</t>
  </si>
  <si>
    <t>आग सड़क के किनारे बनी झोपड़ी में एवं झोपड़ी में रखे छोटे जनरेटर आदि में लगी थी, आग ए श्रेणी की थी।</t>
  </si>
  <si>
    <t>शमशान घाट बैरागी कैम्प, कनखल, हरिद्वार।</t>
  </si>
  <si>
    <t>आग गंगा के किनारे बने चेजिंग रूम में रखे सामान में लगी थी जिसमें 01 व्यक्ति की जलकर मृत्यु हो गयी थी।</t>
  </si>
  <si>
    <t>बैट्री चार्ज होते समय शार्ट सर्किट होने के कारण।</t>
  </si>
  <si>
    <t>आग ई रिक्शा संख्या न्ज्ञ 08म्त्.3803  बैट्री एवं सीट आदि में लगी थी, आग ए श्रेणी की थी।</t>
  </si>
  <si>
    <t>मधुवन होटल रानीपुर मोड़, हरिद्वार।</t>
  </si>
  <si>
    <t>आग कूढे के ढेर एवं कूढे के ढेर के पास खडी कण्डम वाहन महिन्द्रा आदि में लगी थी, आग ए श्रेणी की थी।</t>
  </si>
  <si>
    <t>कालीमन्दिर शिवमूर्ति, हरिद्वार।</t>
  </si>
  <si>
    <t>आग विद्युत पोल में लगे बॉक्स एवं विद्युत केबिल आदि में लगी थी आग ई श्रेणी की थी।</t>
  </si>
  <si>
    <t>शमशान घाट, सूखीनदी खडखडी हरिद्वार।</t>
  </si>
  <si>
    <t>आग घर में बने स्टोररूम एवं स्टोर रूम में रखे घरेलू सामान आदि में लगी थी आग ए श्रेणी की थी।</t>
  </si>
  <si>
    <t>निकट सिन्धी स्वीट्स चन्द्रपुरी</t>
  </si>
  <si>
    <t>आतिशबाजी</t>
  </si>
  <si>
    <t xml:space="preserve">बिल्डिंग की छत के कूड़े में </t>
  </si>
  <si>
    <t>इंडियन ट्रेडिंग कम्पनी, सॉलियर सलाहपुर</t>
  </si>
  <si>
    <t>जॉचाधीन</t>
  </si>
  <si>
    <t xml:space="preserve">    स्क्रैप</t>
  </si>
  <si>
    <t xml:space="preserve">लखनौता चौक च्ै झबरेड़ा </t>
  </si>
  <si>
    <t>श्री पंकज पुत्र श्री ओमपाल सिंह की दुकान में</t>
  </si>
  <si>
    <t>वर्ल्ड बैंक कॉलोनी निकट कलियर बस अड्डा  च्ै सिविल लाईन रूड़की</t>
  </si>
  <si>
    <t>एल0पी0जंी0 गैस सिलेण्डर लीकेज</t>
  </si>
  <si>
    <t>एल0पीजी0 गैस सिलेण्डर में</t>
  </si>
  <si>
    <t>मेन माकेर्ट लण्ढौरा  च्ै मंगलौर</t>
  </si>
  <si>
    <t>पुराना रेलवे रोड़</t>
  </si>
  <si>
    <t>ष्षार्ट सर्किट के कारण</t>
  </si>
  <si>
    <t>मनीष सिंह पुत्र श्री नरेन्द्र सिंह के घर पर</t>
  </si>
  <si>
    <t>धनौरी कलियर</t>
  </si>
  <si>
    <t>वाहन संख्या न्ज्ञ07 0550 में</t>
  </si>
  <si>
    <t>अब्दुल कलाम चौक मंगलौर</t>
  </si>
  <si>
    <t>ट्रक संख्या  न्ज्ञ14ब्। 4664 में</t>
  </si>
  <si>
    <t>मकतुलपुरी,  च्ै गंगनहर</t>
  </si>
  <si>
    <t>लापरवाही से धूम्रपान प्रतीत होता है।</t>
  </si>
  <si>
    <t xml:space="preserve">मुण्डेर कोतवाली मंगलौर </t>
  </si>
  <si>
    <t>विद्युत हाईटेंशन लाईन से निकली चिंगारी से</t>
  </si>
  <si>
    <t>गन्ने के खेत में</t>
  </si>
  <si>
    <t>राठौर प्लाजा के सामने राजा बिस्कुट चौकी के सामने</t>
  </si>
  <si>
    <t>जांचाधीन</t>
  </si>
  <si>
    <t>हाईड्रोलिक क्रैन में (ए, बी क्लास फायर)</t>
  </si>
  <si>
    <t>राजकीय पॉलीटेकनिक एंव बिजलीघर के पीछे ट्रंचिंग ग्राउन्ड में ं</t>
  </si>
  <si>
    <t>संभवतः अज्ञात व्यक्ति द्वारा आग लगाने के कारण</t>
  </si>
  <si>
    <t>कूड़ा कबाड़ (ए क्लास फायर)</t>
  </si>
  <si>
    <t xml:space="preserve">राजा बिस्कुट चौकी के पीछे कूड़े के ढेर में </t>
  </si>
  <si>
    <t>संभवतः राहगीर द्वारा जलती बीड़ी/ सिगरेट फेंकने के कारण</t>
  </si>
  <si>
    <t xml:space="preserve">विधुत लाईन (ई क्लास फायर) एंव कूड़ा कबाड़ (ए क्लास फायर) </t>
  </si>
  <si>
    <t>ग्राम कुन्हारी</t>
  </si>
  <si>
    <t xml:space="preserve">शार्ट सार्किट के कारण </t>
  </si>
  <si>
    <t>बिजली का ट्रासफार्मर</t>
  </si>
  <si>
    <t>ग्राम अलावलपुर में पराल में</t>
  </si>
  <si>
    <t>सम्भवतः किसी अज्ञात व्यक्ति के द्वारा धुम्रपान करने से</t>
  </si>
  <si>
    <t>गली नं0 वी-9, सुभाष नगर ज्वालापुर, हरिद्वार।</t>
  </si>
  <si>
    <t>सम्भवतः विद्युत ओवर लोड़िग के कारण।</t>
  </si>
  <si>
    <t>आग विद्युत पोल पर लगी विद्युत केविल में लगी थी आग ई श्रेणी की थी।</t>
  </si>
  <si>
    <t>प्रेमनगर आश्रम चौक हरिद्वार।</t>
  </si>
  <si>
    <t>सम्भवतः शार्ट सर्किट के कारण।</t>
  </si>
  <si>
    <t>आग वाहन संख्या न्ज्ञ 08।ज्ञ.6050 के बोनट के अन्दर विद्युत वायर में लगी थी आग ए श्रेणी की थी।</t>
  </si>
  <si>
    <t>ग्रीनएनर्जी आई.पी-02, सलेमपुर, महदूद् हरिद्वार</t>
  </si>
  <si>
    <t>आग फैक्ट्री में रखे गैस बैलून एवं बिड़िग ऑयल आदि में लगी थी आग ए व बी श्रेणी की थी।</t>
  </si>
  <si>
    <t>इन्द्र बस्ती, ज्वालापुर, हरिद्वार।</t>
  </si>
  <si>
    <t>सम्भवतः विद्युत शार्ट सर्किट के कारण।</t>
  </si>
  <si>
    <t>आग घर के एक कमरें में रखे घरेलू सामान (विस्तर कपड़े बर्तन राशन आलमारी सन्दूक सिलाई मशीन आदि में लगी थी आग ए श्रेणी की थी।</t>
  </si>
  <si>
    <t>शिवगंगा विहार कॉलोनी, दादूपुर गोबिन्दपुर, हरिद्वार</t>
  </si>
  <si>
    <t>आग ट्रक संख्या न्ज्ञ 08ब्ठ.5747 एवं उसमें लदे स्क्रैप आदि में लगी थी आग ए व बी श्रेणी की थी।</t>
  </si>
  <si>
    <t>इन्द्र बस्ती, कनखल, हरिद्वार।</t>
  </si>
  <si>
    <t>आग घर के एक कमरें में लगी ए.सी सीलिंग फैन आदि में लगी थी आग ए श्रेणी की थी।</t>
  </si>
  <si>
    <t>निकट-भगत सिंह चौक, रानीपुर, हरिद्वार</t>
  </si>
  <si>
    <t>आग हीरो इलैक्ट्रिकल्स शोरूम में रखी बैट्रियों कम्प्यूटर फर्नीचर फैन लैपटॉप ए.सी आदि में लगी थी आग ए श्रेणी की थी।</t>
  </si>
  <si>
    <t>हरिजन बस्ती रामपुर गाँव थाना क्षेत्र गंगनहर रूड़की जनपद हरिद्वार।</t>
  </si>
  <si>
    <t>गैस लीकेज के कारण</t>
  </si>
  <si>
    <t xml:space="preserve">निकट लिब्बरहेड़ी देवबन्द तिराहा के आगे थाना क्षेत्र मंगलौर जनपद हरिद्वार। </t>
  </si>
  <si>
    <t xml:space="preserve">वायरिंग षार्ट होने के कारण </t>
  </si>
  <si>
    <t>निकट राम भवन सोत मौहल्ला थाना क्षेत्र सिविल लाईन रूड़की जनपदहरिद्वार</t>
  </si>
  <si>
    <t>वायरों में षार्ट सर्किट होने से निकली चिन्गारी से।</t>
  </si>
  <si>
    <t>घर में।</t>
  </si>
  <si>
    <t>मैसर्स बैक्सी लि0, काई इण्डस्ट्रीयल एरिया मुण्डयाकी थाना क्षेत्र मंगलौर जनपद हरिद्वार।</t>
  </si>
  <si>
    <t>पेन्ट षॉप डक्ट</t>
  </si>
  <si>
    <t>मै0 विक्टोरा ऑटो प्रा0 लि0,प्लाट नं0-03,सेक्टर-02, सिडकुल हरिद्वार।</t>
  </si>
  <si>
    <t>बॉयलर हीट होने के कारण</t>
  </si>
  <si>
    <t>फरनेस ऑयल में(बी क्लास फायर))</t>
  </si>
  <si>
    <t>होली क्रांस स्कूल लक्सर के सामने</t>
  </si>
  <si>
    <t>मुखिया गली भूपतवाला, हरिद्वार।</t>
  </si>
  <si>
    <t xml:space="preserve">विघुत शार्ट सर्किट होने के कारण </t>
  </si>
  <si>
    <t xml:space="preserve">आग होटल रूद्रेश्वर के एक कमरे में रखे बैड, गद्द चादर, तकिया, फर्नीचर, ए.सी. सीलिंग फैन आदि सामान में लगी थी </t>
  </si>
  <si>
    <t>धनपुर पथरी, हरिद्वार।</t>
  </si>
  <si>
    <t>सम्भवतः किसी राहगीर द्वारा जलती बीडी सिगरेट फेकने के कारण</t>
  </si>
  <si>
    <t>आग खाली प्लाट में पडे कूड़ें के ढ़ेर में लगी थी। आग ए श्रेणी की थी।</t>
  </si>
  <si>
    <t>पंचवटी अपार्टमेन्ट, शिवमूर्ति, हरिद्वार</t>
  </si>
  <si>
    <t>सम्भवतः जलते दीपक के कारण</t>
  </si>
  <si>
    <t>आग अपार्टमेन्ट के एक कमरें रखे बेड़, फर्नीचर, कपड़ा घरेलू सामान में लगी थी। आग ए श्रेणी की थी।</t>
  </si>
  <si>
    <t>मौ0 कस्सावान ज्वालापुर, हरिद्वार</t>
  </si>
  <si>
    <t>सम्भवतः इलैक्ट्रीक शार्ट सर्किट होने के कारण</t>
  </si>
  <si>
    <t>आग मेडिकल स्टोर में रखे दवाईयॉ, आउटर, फर्नीचर, इन्वर्टर सामान में लगी थी। आग ए श्रेणी की थी।</t>
  </si>
  <si>
    <t>बजरीवाला, बैरागी कैम्प, हरिद्वार</t>
  </si>
  <si>
    <t>मन्दिर की जोत (दीपक) के कारण</t>
  </si>
  <si>
    <t>आग झोपड़ी एवं झोपड़ी में रखे घरेलू सामान, फर्नीचर, कपड़े आदि में लगी थी। आग ए श्रेणी की थी।</t>
  </si>
  <si>
    <t>आग टीनसैट मकान एवं मकान में  में रखे घरेलू सामान, टेबुल फैन, गैस चूल्हा, सिलेण्डर, विस्तर, बैड, कपड़े आदि में लगी थी। आग ए श्रेणी की थी।</t>
  </si>
  <si>
    <t>होली चौक, पावधोई, ज्वालापुर, हरिद्वार</t>
  </si>
  <si>
    <t>सम्भवतः इलैक्ट्रीक  शार्ट सर्किट होने के कारण</t>
  </si>
  <si>
    <t>आग टेलीफोन एक्सचैन्ज एम.सी.बी. वाक्सा में लगी थी। आग ई श्रेणी की थी।</t>
  </si>
  <si>
    <t>शंकर आश्रम, ज्वालापुर, हरिद्वार</t>
  </si>
  <si>
    <t>आग चारी दीवारी में बन्द खाली प्लाट में पडे कूड़ें एवं झाड़ियों में लगी थी। आग ए श्रेणी की थी।</t>
  </si>
  <si>
    <t>दीनदयाल पंतद्वीप पार्किग के निकास द्वार के सामने हरिद्वार</t>
  </si>
  <si>
    <t>सम्भवतः राहगीर द्वारा धु्रमपान फेकने के कारण</t>
  </si>
  <si>
    <t>आग पार्किंग के निकास द्वार के सामन कूड़ें ढेर में लगी थी। आग ए श्रेणी की थी।</t>
  </si>
  <si>
    <t>ज्ूडियो शोरूम रानीपुर मोड़ के सामने हरिद्वार</t>
  </si>
  <si>
    <t>सम्भवतः बैल्डिंग करते समय  चिंगारी रजाई/गद्दे में गिरने के कारण</t>
  </si>
  <si>
    <t>आग दुकान में रखे रजाई/गद्दो में लगी थी। आग ए श्रेणी की थी।</t>
  </si>
  <si>
    <t>लालजीवाला वी.आई.पी. घाट, हरकी पैडी, हरिद्वार</t>
  </si>
  <si>
    <t>आग कूडे के ढेर एवं झाड़ियों में लगी थी। आग ए श्रेणी की थी।</t>
  </si>
  <si>
    <t>शीतला माता मन्दिर, कटरा बाजार, ज्वालापुर हरिद्वार</t>
  </si>
  <si>
    <t>आग खाली प्लाट में पडे कूडे के ढेर में लगी थी। आग ए श्रेणी की थी।</t>
  </si>
  <si>
    <t>सब्जी मन्डी, ज्वालापुर हरिद्वार</t>
  </si>
  <si>
    <t>एल.पी.जी. गैस लीकेज होने के कारण</t>
  </si>
  <si>
    <t>आग केले के कोल्ड स्टोर, ए.सी.घरेलू सामान, केले आदि में लगी थी। आग ए श्रेणी की थी।</t>
  </si>
  <si>
    <t>पुरूषोतम विहार, कनखल, हरिद्वार</t>
  </si>
  <si>
    <t>आग खाली प्लाट में पडे कूडे के ढेर एवं झाड़ियों में लगी थी। आग ए श्रेणी की थी।</t>
  </si>
  <si>
    <t>ग्राम-धनपुरा चौकी फेरूपुर, हरिद्वार</t>
  </si>
  <si>
    <t>सम्भवतः किसी अज्ञात राहगीर द्वारा जलती बीडी सिगरेट फेकने के कारण</t>
  </si>
  <si>
    <t>आग गेहॅू के खेत में लगी थी। आग ए श्रेणी की थी।</t>
  </si>
  <si>
    <t>सराय रोड़ ज्वालापुर, हरिद्वार</t>
  </si>
  <si>
    <t>सम्भवतः उड़ती चिगारी खेत में गिर जाने  के कारण</t>
  </si>
  <si>
    <t>आग खाली प्लाट में पडे कूडे के ढेर एवं झाड़ियों तथा प्लाट के किनारे रखे मोटरर्स लोडर पार्ट में लगी थी। आग ए श्रेणी की थी।</t>
  </si>
  <si>
    <t>लाल मन्दिऱ ज्वालापुर, हरिद्वार</t>
  </si>
  <si>
    <t>सम्भवतः विघुत वायरिंग शार्ट सर्किट होने के कारण</t>
  </si>
  <si>
    <t>आग विद्युत पोल में लगे विद्युत केविल में लगी थी। आग ई श्रेणी की थी।</t>
  </si>
  <si>
    <t>टिहरी विस्थापित शान्ति कॉलोनी, भट्टीपुर, पथरी, हरिद्वार</t>
  </si>
  <si>
    <t>सम्भवतः प्लाट के ऊपर से हाईटेशन लाईन शार्ट सर्किट होने के कारण</t>
  </si>
  <si>
    <t>आग खाली प्लाट में सूखी झाडियॉ एवं कूडे आदि में लगी थी। आग ए श्रेणी की थी।</t>
  </si>
  <si>
    <t>ठोकर न0-6, बैरागी कैम्प, कनखल, हरिद्वार</t>
  </si>
  <si>
    <t>आग कूडे़ एवं सूखी झाडियांे घास-फूस आदि में लगी थी। आग ए श्रेणी की थी।</t>
  </si>
  <si>
    <t>निकट रानीपुर झाल, ज्वालापुर, हरिद्वार</t>
  </si>
  <si>
    <t>सम्भवतः किसी अज्ञात व्यक्ति द्वारा जलती बीडी सिगरेट फेकने के कारण</t>
  </si>
  <si>
    <t>आग सूखी झाडियॉ एवं घास-फूस तथा छोटे पेड पौधौ आदि में लगी थी। आग ए श्रेणी की थी।</t>
  </si>
  <si>
    <t>आनन्दमयी मार्ग, दक्ष मन्दिर, कनखल, हरिद्वार</t>
  </si>
  <si>
    <t>सम्भवतः जनते कूडे से चिंगारी उडने के कारण</t>
  </si>
  <si>
    <t>आग विद्युत ट्रासफार्मर के नीचे सूखी झाडियों एवं विद्युत केविल आदि में लगी थी। आग ए श्रेणी की थी।</t>
  </si>
  <si>
    <t>निकट रेलवे स्टेषन रूड़की थाना क्षेत्र गंगनहर रूड़की जनपद हरिद्वार।</t>
  </si>
  <si>
    <t>चूल्हे की चिनगारी से।</t>
  </si>
  <si>
    <t>छत पर रखे लकड़ी के सामान में।</t>
  </si>
  <si>
    <t>चन्द्रपुरी थाना क्षेत्र गंगनहर रूड़की जनपद हरिद्वार।</t>
  </si>
  <si>
    <t>घास काटने वाली मषीन/घास में।</t>
  </si>
  <si>
    <t>पनियाला रोड़ आजाद नगर थाना क्षेत्र गंगनहर रूड़की जनपद हरिद्वार।</t>
  </si>
  <si>
    <t>सम्भवतः विद्युत षार्टसर्किट से।</t>
  </si>
  <si>
    <t>भ्क्थ्ब् बैंक के ।ज्ड रूम में</t>
  </si>
  <si>
    <t>ग्राम-जौरासी थाना क्षेत्र कोतवाली सिविल लाईन रूड़की जनपद हरिद्वार।</t>
  </si>
  <si>
    <t>सम्भवतः षार्ट सर्किट से।</t>
  </si>
  <si>
    <t>कार संख्याः न्ज्ञ17त्.6786 (मारूती सुजूकी बलेनो में)</t>
  </si>
  <si>
    <t>जैन धर्मषाला निकट बीटी गंज थाना क्षेत्र कोतवाली गंगनहर रूड़की हरिद्वार।</t>
  </si>
  <si>
    <t>विद्युत षार्ट सर्किट से।</t>
  </si>
  <si>
    <t>आई0आई0टी0रूड़की थाना क्षेत्र कोतवाली रूड़की जनपद हरिद्वार।</t>
  </si>
  <si>
    <t>बिजली के उपकरणों में</t>
  </si>
  <si>
    <t>कमेलपुर इकबालपुर थाना क्षेत्र झबरेड़ा जनपद हरिद्वार</t>
  </si>
  <si>
    <t>सम्भवतः लापरवाही धूम्रपान से।</t>
  </si>
  <si>
    <t>गेहूँ के खेत /भूसे में।</t>
  </si>
  <si>
    <t>कस्बा झबरेड़ा थाना क्षेत्र झबरेड़ा जनपद हरिद्वार</t>
  </si>
  <si>
    <t>विद्युत षार्ट सर्किट से</t>
  </si>
  <si>
    <t xml:space="preserve">निकट कलियर बस अड्डा थाना क्षेत्र कोतवाली रूड़की </t>
  </si>
  <si>
    <t>नमकीन बिस्किट आदि के खोके</t>
  </si>
  <si>
    <t>कौर कॉलेज के पास थाना क्षेत्र कोतवाली सिविल लाईन रूड़की जनपद हरिद्वार।</t>
  </si>
  <si>
    <t>अम्बर तालाब निकट दुर्गा मंदिर थाना क्षेत्र कोतवाली गंगनहर रूड़की हरिद्वार।</t>
  </si>
  <si>
    <t>षाहपुर रहीमपुर निकट सर्वज्ञ पब्लिक स्कूल थाना क्षेत्र कोतवाली गंगनहर रूड़की जनपद हरिद्वार।</t>
  </si>
  <si>
    <t>सम्भवतः हाईटेंषन विद्युत वायर की चिनगारी से।</t>
  </si>
  <si>
    <t>महावीर इन्क्लेव निकट गायत्री अपार्टमेन्ट नहर किनारा थाना क्षेत्र कोतवाली गंगनहर रूड़की हरिद्वार।</t>
  </si>
  <si>
    <t>डीएवी रोड़ मकतूलपुरी थाना क्षेत्र गंगनहर रूड़की हरिद्वार</t>
  </si>
  <si>
    <t>बिजली के बाक्स में।</t>
  </si>
  <si>
    <t>गेहँू के खेत में</t>
  </si>
  <si>
    <t>आनन्द विला हा0नं0-399/</t>
  </si>
  <si>
    <t>घरेलू सामानस्टेपलाईजर/इन्वेटर/फ्रिज आदि में।</t>
  </si>
  <si>
    <t>15ए जादूगर रोड़ थाना क्षेत्र कोतवाली गंगनहर रूड़की जनपद हरिद्वार।</t>
  </si>
  <si>
    <t>दादूपुर गोविंदपुर रानीपुर हरिद्वार।</t>
  </si>
  <si>
    <t xml:space="preserve"> यशहैल (रेडिशन) होटल सिडकुल हरिद्वार।</t>
  </si>
  <si>
    <t>चिन्मय डिग्री कॉलेज शिवालिक नगर हरिद्वार के पास</t>
  </si>
  <si>
    <t>ग्राम गी शहीदपुर भगवानुपर हरिद्वार।</t>
  </si>
  <si>
    <t>सम्भवतः गौशला में मच्छर मख्खी भगाने हेतु अलाव को न बुझाने के कारण</t>
  </si>
  <si>
    <t>ग्राम गोकुलवाला थाना भगवानपुर</t>
  </si>
  <si>
    <t xml:space="preserve">सम्भवतः किसी व्यक्ति द्वारा धुमंपान करने से </t>
  </si>
  <si>
    <t>कुडे के ढेर/उपलो में</t>
  </si>
  <si>
    <t>राजकीय पशु चिकित्सा केन्द्र सिकन्दरपुर भगवानपुर</t>
  </si>
  <si>
    <t xml:space="preserve">शार्ट सर्किट से </t>
  </si>
  <si>
    <t>औषधि के रेपर/खाली डिब्बों मंे</t>
  </si>
  <si>
    <t>ग्राम बंजारावाला थाना बुग्गावाला</t>
  </si>
  <si>
    <t>झोपडी/लकडी/उपलों में</t>
  </si>
  <si>
    <t>सम्भवतः किसी अंजान राहगीर द्वारा जलती बीडी सिगरेट का टुकडा खुला छोड देना</t>
  </si>
  <si>
    <t>झोपडी/भूसे के ढेर/उपलों के ढेर में</t>
  </si>
  <si>
    <t>ग्राम मानक माजरा भगवानपुर</t>
  </si>
  <si>
    <t>रास्ते में जाते समय आग बुझ जाने की सूचना प्राप्त हो गयी थी।</t>
  </si>
  <si>
    <t>वी.आई.पी. घाट के सामने  हरिद्वार।</t>
  </si>
  <si>
    <t xml:space="preserve">आग बुटल मोटर साईकिल </t>
  </si>
  <si>
    <t xml:space="preserve"> में लगी थी, आग ए श्रेणी की थी।</t>
  </si>
  <si>
    <t>दिल्ली-हरिद्वार हाईवें निकट-ऋषिकुल चौक, हरिद्वार।</t>
  </si>
  <si>
    <t xml:space="preserve"> ओवर हीटिंग के कारण</t>
  </si>
  <si>
    <t xml:space="preserve">    आग हीरो स्पेलेण्डर मोटर साईकिल न्ज्ञ17छ.1340 में लगी थी, आग ए श्रेणी की थी।</t>
  </si>
  <si>
    <t>निकट-गगनहर पुल, ऋषिकुल चौक, हरिद्वार।</t>
  </si>
  <si>
    <t xml:space="preserve"> सम्भवतः किसी व्यक्ति द्वारा जलती बीडी सिगरेट फेकने से</t>
  </si>
  <si>
    <t xml:space="preserve"> आग खोखे (दुकान) के ऊपर मौजुद पन्नी में लगी थी, आग ए श्रेणी की थी।</t>
  </si>
  <si>
    <t>निकट-चण्डीदेवी रोपवें मार्ग, नजीवाबाद रोड़ हरिद्वार।</t>
  </si>
  <si>
    <t xml:space="preserve"> सम्भवतः गाडी में रखे चलते जनरेटर में स्पार्क होने के कारण।</t>
  </si>
  <si>
    <t>आग खोखे (दुकान) के ऊपर मौजुद पन्नी में लगी थी, आग ए श्रेणी की थी।</t>
  </si>
  <si>
    <t>निकट-शिव मन्दिर रामलीला मैदान, बहादराबाद, हरिद्वार।</t>
  </si>
  <si>
    <t xml:space="preserve"> सम्भवतः विद्युत वायरिंग में शार्ट सर्किट के कारण</t>
  </si>
  <si>
    <t>आग घर के एक कमरें रखे  फ्रीज, दीवान, बैड, विस्तर, पंखा,  आदि में लगी थी, आग ए श्रेणी की थी।</t>
  </si>
  <si>
    <t xml:space="preserve">फोरेस स्पेस्लिटी कैम, प्रा0लि0, ई-29, इण्डस्ट्रीयल एरिया, </t>
  </si>
  <si>
    <t>निकट बृजवासी प्रोविजन एण्ड कनफैक्शनर्स जगजीतपुर</t>
  </si>
  <si>
    <t>सम्भवत् ओवरलोडिग के कारण ओवरहीट से</t>
  </si>
  <si>
    <t>आग विद्युत ट्रांसफार्मर व उससे जुडे़ केबिल में लगी थी। आग ए0 एवं ई0 श्रेणी की थी।</t>
  </si>
  <si>
    <t>निकट गुघाल मन्दिर पाण्डेवाला, ज्वालापुर हरिद्वार</t>
  </si>
  <si>
    <t>सम्भवत् विद्युत शार्ट सर्किट से।</t>
  </si>
  <si>
    <t>आग विद्युत उपकरणों की दुकान में लगी थी। आग ए0 क्लास की थी।</t>
  </si>
  <si>
    <t>भगत सिंह चौक, रानीपुर मोड, हरिद्वार</t>
  </si>
  <si>
    <t>डिवाईडर से गाडी टकराने से चिंगारी निकले पर आग लग जाना</t>
  </si>
  <si>
    <t>आग वाहन संख्या न्ज्ञ08।ल्.0016 के बोनट में लगी थी। आग ए0 क्लास की थी।</t>
  </si>
  <si>
    <t>ग्राम-नगला इमरती के पास दिल्ली रोड़ हाईवे पर थाना क्षेत्र सिविल लाईन रूड़की जनपद हरिद्वार।</t>
  </si>
  <si>
    <t>साइंलेन्सर गर्म होने के कारण</t>
  </si>
  <si>
    <t>बाईक में।</t>
  </si>
  <si>
    <t>गोल्डन ढाबे के सामने थाना क्षेत्र कोतवाली मंगलौर जनद हरिद्वार।</t>
  </si>
  <si>
    <t>डिवाईडर से रगड़ने के कारण।</t>
  </si>
  <si>
    <t>बाईक।</t>
  </si>
  <si>
    <t>बिझौली के पास थाना क्षेत्र मंगलौर जनपद हरिद्वार।</t>
  </si>
  <si>
    <t xml:space="preserve">गली नं0-7004 अरोड़ कालौनी सोनालीपुरम थाना क्षेत्र कोतवाली सिविल लाईन रूड़की </t>
  </si>
  <si>
    <t>मैसर्स ओमेगा बायोटेक लि0, 07 माईल स्टोन देहरादून रोड़ रूड़की हरिद्वार।</t>
  </si>
  <si>
    <t>सम्भवतः स्पार्किंग</t>
  </si>
  <si>
    <t>कम्प्रेषर रूम में।</t>
  </si>
  <si>
    <t>मलकपुरा थाना क्षेत्र मंगलौर जनपद हरिद्वार।</t>
  </si>
  <si>
    <t>स्कूटी चार्ज के चलते षार्ट सर्किट</t>
  </si>
  <si>
    <t>घर में खड़े टैªक्टर, स्कूटी, व बैट्री वाली स्कूटी में।</t>
  </si>
  <si>
    <t xml:space="preserve">बाजार चौकी क पास थाना क्षेत्र मंगलौर </t>
  </si>
  <si>
    <t>तरों व उस पर चड़ी रबड़ में</t>
  </si>
  <si>
    <t>सम्भवतः गर्म होने के कारण</t>
  </si>
  <si>
    <t>मै0 डी-13 शिवालिक नगर हरिद्वार।</t>
  </si>
  <si>
    <t>विन्डो ए0सी0 में (ई क्लास फायर)</t>
  </si>
  <si>
    <t>बडेडी सैल्पुर भारापुर रोड हरिद्वार।</t>
  </si>
  <si>
    <t>मै0 आर-237 शिवालिक नगर हरिद्वार।</t>
  </si>
  <si>
    <t>दुकान में (ए क्लास फायर))</t>
  </si>
  <si>
    <t xml:space="preserve">महदूद महादेवपुरम  हरिद्वार </t>
  </si>
  <si>
    <t xml:space="preserve"> एल.पी.जी. गैस  रिसाव</t>
  </si>
  <si>
    <t>एल.पी.जी. सिलेण्डर लिकेज होने के कारण घर में (ए क्लास फायर)</t>
  </si>
  <si>
    <t>मैसर्स अटेरो रिसाईकिलिंग प्रा0 लि0 खसरा न0ः- 111 रायपुर इण्डस्ट्रीयल एरिया भगवानपुर</t>
  </si>
  <si>
    <t>जॉच प्रचलित है।</t>
  </si>
  <si>
    <t xml:space="preserve">मैसर्स हनुग्ग टेक्सटाईल अम्बुजा सीमेन्ट फैक्ट्री के सामने </t>
  </si>
  <si>
    <t>बिजली के ट्रान्सफार्मर  में</t>
  </si>
  <si>
    <t>न्यू मार्किट भगवानपुर</t>
  </si>
  <si>
    <t>सम्भवतः शार्ट शर्किट से</t>
  </si>
  <si>
    <t>जूते/चप्पल की दुकान में</t>
  </si>
  <si>
    <t>इण्डेन वॉटलिंग प्लाट बहादराबाद, हरिद्वार।</t>
  </si>
  <si>
    <t>सम्भवतः राहगीर द्वारा धूम्रपान कर फेक देना।</t>
  </si>
  <si>
    <t>आग कूडे के ढेर एवं घास-फूस आदि में लगी थी, आग ए श्रेणी की थी।</t>
  </si>
  <si>
    <t>फ्लाई ओवर शंकाराचार्य चौक के पास हरिद्वार।</t>
  </si>
  <si>
    <t>सम्भवत वायरिंग में शार्ट सर्किट के  कारण।</t>
  </si>
  <si>
    <t>आग मोटर साईकिल न्ज्ञ08 ।त्.6923 में  लगी थी, आग ए श्रेणी की थी।</t>
  </si>
  <si>
    <t>लाल पैथोलाजी हाउस, लक्सर रोड़, हरिद्वार।</t>
  </si>
  <si>
    <t>सम्भवत विद्युत शार्ट सर्किट के  कारण।</t>
  </si>
  <si>
    <t>आग पैथोजी, लैब में रखी मशीन, ए.सी, कम्प्यूटर आदि में लगी थी, आग ए श्रेणी की थी।</t>
  </si>
  <si>
    <t>सूखी नदी़, खडीखडी, हरिद्वार।</t>
  </si>
  <si>
    <t>खाना बनातें समय गैस पाइप लीकेज होने के कारण</t>
  </si>
  <si>
    <t>आग घर में रखे गैस सिलेण्डर के रेगुलेटर एवं पाइप आदि में लगी थी, आग ए श्रेणी की थी।</t>
  </si>
  <si>
    <t>सलेमपुर महदूद् हरिद्वार</t>
  </si>
  <si>
    <t>आग कबाड़ के तीन गोदामों में लगी थी। आग ए श्रेणी की थी।</t>
  </si>
  <si>
    <t>भूमानन्द हॉस्पिटल के पास</t>
  </si>
  <si>
    <t>आग खाली प्लाट में कबाड़ एवं घास-फूस आदि में लगी थी। आग ए श्रेणी की थी।</t>
  </si>
  <si>
    <t>इण्डस्ट्रीयल पार्क बहादराबाद हरिद्वार</t>
  </si>
  <si>
    <t>रोड के किनारे गुजर रही विद्युत लाईन में स्पार्क होने कारण</t>
  </si>
  <si>
    <t>आग ट्रक भ्त् 73.9913 में लदे गत्ता स्क्रेप के ऊपरं लगी थी। आग ए श्रेणी की थी।</t>
  </si>
  <si>
    <t>पूर्व विधायक श्री सुरेष जैन, सिविल लाईन रूड़की के आवास में</t>
  </si>
  <si>
    <t>झाड़ियों एवं कूड़े में</t>
  </si>
  <si>
    <t>धनोरी</t>
  </si>
  <si>
    <t>षार्ट सर्किट</t>
  </si>
  <si>
    <t>मुंडयाकी मंगलौर</t>
  </si>
  <si>
    <t>एअरटेल कम्पनी का टॉवर बेल्डा</t>
  </si>
  <si>
    <t>जनरेटर</t>
  </si>
  <si>
    <t>रामलीला ग्राउण्ड बीटीगंज</t>
  </si>
  <si>
    <t>विद्युत वायर में</t>
  </si>
  <si>
    <t>मुन्डयाकी मंगलौर</t>
  </si>
  <si>
    <t>वायर ष्षार्ट होने से</t>
  </si>
  <si>
    <t>ट्रक के टायर में</t>
  </si>
  <si>
    <t>लक्सर रोड़ नगला इमरती,  ट्रक संख्या यूके 17 सीए 2514 में</t>
  </si>
  <si>
    <t>यज्ञषाला नेहरू स्टेडियम</t>
  </si>
  <si>
    <t>किसी अज्ञात व्यक्ति या आतिषबाजी पटाखा जलाने से</t>
  </si>
  <si>
    <t>यज्ञषाला में बनी घास-फूस की झोपड़ियों में</t>
  </si>
  <si>
    <t>निकट चौहान डेयरी, चाउमण्डी</t>
  </si>
  <si>
    <t>मन्दिर में दीया जलने के कारण</t>
  </si>
  <si>
    <t>घरेलू सामान</t>
  </si>
  <si>
    <t>बागला पोलीफिल्मस लि0, हिन्दुस्तान एडेसिव लि0 मुंडयाकी मंगलौर</t>
  </si>
  <si>
    <t>पत्थरों वाली गली सोत मोहल्ला</t>
  </si>
  <si>
    <t>श्री आयुष चौरसिया के खण्डरनुमा मकान में</t>
  </si>
  <si>
    <t>ग्राम पीरपुरा मंगलौर</t>
  </si>
  <si>
    <t>ग्राम तेलीवाला घनौरी</t>
  </si>
  <si>
    <t>चारे के ढेर में</t>
  </si>
  <si>
    <t>ग्राम षिवदासपुर, तेलीवाला पिरान कलियर</t>
  </si>
  <si>
    <t>लिब्बारेहड़ी मंगलौर</t>
  </si>
  <si>
    <t xml:space="preserve">सिंचाई विभाग गायत्री मन्दिर के पास घर में </t>
  </si>
  <si>
    <t>घरेलू सामान में</t>
  </si>
  <si>
    <t>आवास विकास गंगनहर के पास घर में</t>
  </si>
  <si>
    <t xml:space="preserve">अम्बर तालाब पुरानी तहसील </t>
  </si>
  <si>
    <t xml:space="preserve">आरआर सिनेमा हॉल के पास घर में </t>
  </si>
  <si>
    <t>घरेलू सामान मे</t>
  </si>
  <si>
    <t>पी0144 शिवालिक नगर घर में</t>
  </si>
  <si>
    <t>संभवतः जलता दिया छोड़ देने के कारण</t>
  </si>
  <si>
    <t>घरेलू सामान में(ए, क्लास फायर)</t>
  </si>
  <si>
    <t>विप्रो कम्पनी की सड़क पर</t>
  </si>
  <si>
    <t>संभवतः खाना बनाते हुए गैस लीकेज के कारण</t>
  </si>
  <si>
    <t>छोटे गैस सिलिण्डर में़ (ए क्लास फायर)</t>
  </si>
  <si>
    <t xml:space="preserve">बड़ी आन्नेकी औरंगाबाद में भूसे के ढेर में  </t>
  </si>
  <si>
    <t>भूसे का ढेर (ए क्लास फायर)</t>
  </si>
  <si>
    <t>ग्राम गढमीरपुर पो0ओ0 मीरपुर मेे उपले के ढेर में</t>
  </si>
  <si>
    <t>उपले का ढेर (ए क्लास फायर)</t>
  </si>
  <si>
    <t>नवोदय नगर चौक के पास बिजली के तार में</t>
  </si>
  <si>
    <t>ग्राम शेरपुरवेला</t>
  </si>
  <si>
    <t>सम्भवतः धुम्रपान से</t>
  </si>
  <si>
    <t>सरकण्डों में</t>
  </si>
  <si>
    <t>ग्राम महेश्वरी दाबकी लक्सर</t>
  </si>
  <si>
    <t>सम्भवतः चुल्हे की गरम राख डालने से।</t>
  </si>
  <si>
    <t>उपलों में</t>
  </si>
  <si>
    <t>महाडी चौक भगवानपुर</t>
  </si>
  <si>
    <t>कबाड की दुकान में</t>
  </si>
  <si>
    <t>टिहरी सरिया फैक्ट्री रायपुर भगवानपुर</t>
  </si>
  <si>
    <t xml:space="preserve">सम्भवतः लापरवाही से धुम्रपान से </t>
  </si>
  <si>
    <t>सूखी पत्ती व पुराने टायरों में</t>
  </si>
  <si>
    <t>शकराचार्य चौक, के पास हरिद्वार।</t>
  </si>
  <si>
    <t>विद्युत वायरिंग में शार्ट सर्किट के कारण।</t>
  </si>
  <si>
    <t>आग बिजली के पोल में लगी थी। आग ए0 क्लास की थी।</t>
  </si>
  <si>
    <t>गुरूकुल कांगडी विश्व विद्यालय परिसर, हरिद्वार</t>
  </si>
  <si>
    <t>आग व्यामशाला के गोदाम मे लगी थी, आग ए श्रेणी की थी।</t>
  </si>
  <si>
    <t>होटल संगम रिवर, ऋषिकुल तिराह के पास हरिद्वार</t>
  </si>
  <si>
    <t>संभवत विधुत शार्ट सर्किट से।</t>
  </si>
  <si>
    <t>आग होटल के रिसेपशन,  में रखे कांउटर, सोफा, फर्नीचर, सिलींग लगी थी, आग ए0 क्लास की थी।</t>
  </si>
  <si>
    <t xml:space="preserve">दादूबाग कनखल, हरिद्वार </t>
  </si>
  <si>
    <t>संभवत जलते दीये से लगना सम्भावना जतायी गयी है।</t>
  </si>
  <si>
    <t>आग से घरेलू सामान ,फर्नीचर, विस्तर, कपडें, कुर्सी-मेज, आदि जलने की क्षति हुयी है, आग ए श्रेणी की थी।</t>
  </si>
  <si>
    <t>थाना श्यामपुर कि निकट हाईवें पर</t>
  </si>
  <si>
    <t>टाग रोड पर चलती कार (स्टीम) न0-न्च्15।ब्.6402 में लगी थी आग सी श्रेणी की थी।</t>
  </si>
  <si>
    <t>आर. के. पुरम कॉलोनी, जगजीतपु, कनखल,</t>
  </si>
  <si>
    <t>आग ऑफिस के ए.सी. के पाइप एवं कमरे में रखे सामान आदि में लगी थी, आग ए श्रेणी की थी।</t>
  </si>
  <si>
    <t xml:space="preserve">किसी अज्ञात द्वारा </t>
  </si>
  <si>
    <t>आग परिसर में लकडी के ढेर में लगी थी, आग ए श्रेणी की थी।</t>
  </si>
  <si>
    <t>गायत्री लोक अपार्टमेन्ट कॉलोनी, कनखल</t>
  </si>
  <si>
    <t>आग अपार्टमेन्ट के एक कमरे में रखे घरेलू सामान, फर्नीचर, विरूतर, कपडें, आलमारी, आदि में लगी थी। आग ए क्लास की थी।</t>
  </si>
  <si>
    <t>लिब्बरहेड़ी, ग्राम-थाना क्षेत्र मंगलौर, जनपद</t>
  </si>
  <si>
    <t xml:space="preserve">इमली रोड़ सोत बी चौकी थाना क्षेत्र कोतवाली सिविल लाईन रूड़की हरिद्वार। </t>
  </si>
  <si>
    <t xml:space="preserve">लक्सर रोड़ लण्ढौरा रूड़की </t>
  </si>
  <si>
    <t xml:space="preserve">सम्भवतः विद्युत षार्ट सर्किट </t>
  </si>
  <si>
    <t>फर्नीचर दुकान में।</t>
  </si>
  <si>
    <t>मैसर्स स्टाईल कलैक्षन, सिविल लाईन, निकट टेलीफोन एक्सचेन्ज रूड़की</t>
  </si>
  <si>
    <t>कपड़ों के षोरूम में।</t>
  </si>
  <si>
    <t>ग्राम-बेलड़ी हरिद्वार रोड़ थाना क्षेत्र कोतवाली सिविल लाईन रूड़की हरिद्वार।</t>
  </si>
  <si>
    <t>मैसर्स गंगोत्री पेपर मिल्स प्रा0लि0, गुरूकुल नारसन झबरेड़ा रोड़</t>
  </si>
  <si>
    <t xml:space="preserve">जांच प्रचलित है। </t>
  </si>
  <si>
    <t>पेपर मिल में</t>
  </si>
  <si>
    <t xml:space="preserve">नहर किनारा राणा सरिया के पास थाना क्षेत्र मंगलौर रूड़की </t>
  </si>
  <si>
    <t>हाईटेषन विद्युत लाईन के आपस में टकराने से।</t>
  </si>
  <si>
    <t xml:space="preserve">डिफेन्स कालोनी, थाना क्षेत्र कोतवाली सिविल लाईन रूड़की </t>
  </si>
  <si>
    <t>किचन में।</t>
  </si>
  <si>
    <t>ग्राम ढाढेकी ढाणा लक्सर</t>
  </si>
  <si>
    <t>सीता विहार कलोनी सलेमपुर हरिद्वार।</t>
  </si>
  <si>
    <t>शिवालिक नगर हरिद्वार।</t>
  </si>
  <si>
    <t>परमानन्द विहार शनिदेव मन्दिर के पास रोशनाबाद हरिद्वार।</t>
  </si>
  <si>
    <t>खान मार्केट शनिदेव मन्दिर  रोशनाबाद हरिद्वार।</t>
  </si>
  <si>
    <t>ग्राम हजारा टोंिगंया बुग्गावाला थाना बुग्गावाला हरिद्वार।</t>
  </si>
  <si>
    <t xml:space="preserve">सम्भवतः लापरवाही बीडी या सिगरेट पीने से </t>
  </si>
  <si>
    <t>तेक बहादुर इण्टर कॉलेज के पीछे बुग्गावाला थाना बुग्गावाला हरिद्वार।</t>
  </si>
  <si>
    <t xml:space="preserve">सम्भवतः बच्चो की लापरवाही से </t>
  </si>
  <si>
    <t xml:space="preserve">झोपडी(गोशाला में </t>
  </si>
  <si>
    <t xml:space="preserve">जंगल के झाड़ियों घास-फूस में लगी थी </t>
  </si>
  <si>
    <t>जंगल के झाड़ियों घास-फूस में लगी थी</t>
  </si>
  <si>
    <t>जंगल के पेड पौधे एवंघास-फूस में लगी थी</t>
  </si>
  <si>
    <t>राजा विस्कुट चौक के निकट सलेमपुर रोड हरिद्वार के पास नेचुरल गैस पाईप लाईन भ्छळच्स् से गैस रिसाव हाने के कारण फायर सर्विस यूनिट तथा भ्छळच्स् व गेल गैस कम्पनी के साथ सयुक्त रुप से कार्य करके गैस रिसाव को बन्द किया गया।</t>
  </si>
  <si>
    <t>सी-34, निकट शिव मन्दिर, शिवालिक नगर हरिद्वार।</t>
  </si>
  <si>
    <t xml:space="preserve">सम्भवत् विद्युत वायरिंग में शार्ट सर्किट के कारण। </t>
  </si>
  <si>
    <t>आग कमरे में घरेलू सामान में लगी थी। आग ए0 क्लास की थी।</t>
  </si>
  <si>
    <t xml:space="preserve">निकट एसबीआई कलियर रोड, बहादराबाद। </t>
  </si>
  <si>
    <t>संभवत विधुत शार्ट सर्किट से</t>
  </si>
  <si>
    <t>आग एक सेटरिंग की दुकान मे लगी थी, आग ए श्रेणी की थी।</t>
  </si>
  <si>
    <t xml:space="preserve"> कटहरा बाजार ज्वालापुर।</t>
  </si>
  <si>
    <t>संभवत धुम्रपान कर फेंक देना।</t>
  </si>
  <si>
    <t>आग कूड़े के ढेर मे लगी थी, आग ए0 क्लास की थी।</t>
  </si>
  <si>
    <t>इंदिरा बस्ती ओल्ड इण्डी0 एरिया हरिद्वार।</t>
  </si>
  <si>
    <t>आग घर के एक कमरे में लगी थी, आग ए श्रेणी की थी।</t>
  </si>
  <si>
    <t>48, नन्दपुरी ज्वालापुर हरिद्वार।</t>
  </si>
  <si>
    <t>भाटिया भवन श्रवणनाथ नगर हरिद्वार।</t>
  </si>
  <si>
    <t>रामगढ खड़खड़ी हरिद्वार।</t>
  </si>
  <si>
    <t>मोमबती के कारण।</t>
  </si>
  <si>
    <t>अहबाबनगर कड़च्च मौहल्ला, ज्वाालापुर।</t>
  </si>
  <si>
    <t>आग कबाड़ के गोदाम में लगी थी। आग ए क्लास की थी।</t>
  </si>
  <si>
    <t>शिरड़ी साईं घाट निकट सर्वानन्द घाट हरिद्वार।</t>
  </si>
  <si>
    <t>संभवत अलाव कि चिंगारी के कारण।</t>
  </si>
  <si>
    <t>आग झोपड़ियों में लगी थी। आग ए क्लास की थी।</t>
  </si>
  <si>
    <t>बीएचईएल से0-01 हरिद्वार।</t>
  </si>
  <si>
    <t>संभवत शार्ट सर्किट से</t>
  </si>
  <si>
    <t>आग एक कार में लगी थी। आग ए0 क्लास की थी।</t>
  </si>
  <si>
    <t>कल्सीया हाउस राजघाट नकखल हरिद्वार।</t>
  </si>
  <si>
    <t xml:space="preserve">मैसर्स शिवशक्ति एवं मैसर्स जे.आर इन्टरप्राईजेज,खाता नं0-920, खसरा नं0-24, देवबन्द रोड़ लिब्बरहेड़ी, मंगलौर, </t>
  </si>
  <si>
    <t>श्री सुकरमपाल पुत्र बलजोर सिंह जीटी रोड़ लालबाड़ा थाना क्षेत्र मंगलौर हरिद्वार।</t>
  </si>
  <si>
    <t>गाड़ियों के पुराने टायर व कबाढ़ में।</t>
  </si>
  <si>
    <t xml:space="preserve">ग्राम-बेहड़की-सैदाबाद थाना  क्षेत्र झबरेड़ा </t>
  </si>
  <si>
    <t xml:space="preserve">मैसर्स सेन्टर पॉइन्ट होटल के पास थाना क्षेत्र कोतवाली सिविल लाईन रूड़की </t>
  </si>
  <si>
    <t>सम्भवःतः विद्युत शार्टसर्किट</t>
  </si>
  <si>
    <t xml:space="preserve">ग्राम-बहेड़ी बुजुर्ग(काली नदी चौकी के पास) थाना क्षेत्र भगवानपुर </t>
  </si>
  <si>
    <t>फैक्ट्री के बॉयलर में।</t>
  </si>
  <si>
    <t xml:space="preserve">हरिद्वार हाईवे रोड़ नियर इंजिनियरिंग कोर ग्राम भारापुर थाना क्षेत्र सिविल लाईन रूड़की </t>
  </si>
  <si>
    <t>इन्वेटर बैट्री में।</t>
  </si>
  <si>
    <t xml:space="preserve">नेहरू नगर गली नं0-02 रूड़की </t>
  </si>
  <si>
    <t>विद्युत शार्टसर्किट</t>
  </si>
  <si>
    <t xml:space="preserve">एक मिनार मज्जिद गली नं0-07,गुलाब नगर रामनगर थाना क्षेत्र गंगनहर </t>
  </si>
  <si>
    <t>स्चह गैस लीकेज होने के कारण</t>
  </si>
  <si>
    <t>कूढ़ा डप्पिंग जोन(छावनी परिषद) डिफेन्स कॉलोनी .थाना क्षेत्रसिविल लाईन रूड़की जनपद हरिद्वार।</t>
  </si>
  <si>
    <t>कूढ़े के ढेर में</t>
  </si>
  <si>
    <t>मालवीय चौक हेमन्त अस्पताल के पास थाना गंगनहर रूड़की हरिद्वार।</t>
  </si>
  <si>
    <t>आपस में टकराने से विद्युत शार्टसर्किट</t>
  </si>
  <si>
    <t>विद्युत वायरों में।</t>
  </si>
  <si>
    <t>मेहरवान पुत्र धुमसन लाजबत्ता बन्दरजूट थाना क्षेत्र बुग्गावाला हरिद्वार।</t>
  </si>
  <si>
    <t>पुराल घास में।</t>
  </si>
  <si>
    <t>मै0 सेमिन स्प्रिंग इण्डिया प्रा0 लि0, प्लाट नं0 30ए, सेक्टर-08बी सिडकुल हरिद्वार।</t>
  </si>
  <si>
    <t>ओवर हीट</t>
  </si>
  <si>
    <t>मै0 विनायक फार्मा, प्लाट नं0 47-56,सेक्टर-01बी, सिडकुल हरिद्वार।</t>
  </si>
  <si>
    <t>सम्भवतः यान्त्रिक त्रुटि /वायरिंग में षार्ट सर्किट से</t>
  </si>
  <si>
    <t>झाड़ियो में (ए क्लास फायर)</t>
  </si>
  <si>
    <t>स्टोर व रिकार्ड रुम में (ए क्लास फायर)</t>
  </si>
  <si>
    <t>ट्रांसफार्मर में (बी, ई क्लास श्रेणी)</t>
  </si>
  <si>
    <t>स्क्रैप में (ए क्लास फायर)</t>
  </si>
  <si>
    <t>इनोवा कार नं0 त्श्र07ळ।7660</t>
  </si>
  <si>
    <t>टेम्परिंग फर्नेस ऑयल टैक (बी क्लास श्रेणी)</t>
  </si>
  <si>
    <t xml:space="preserve"> ट्रक नं0 न्च्21ठछ2612 के केविन में (ए, क्लास श्रेणी) </t>
  </si>
  <si>
    <t xml:space="preserve">कर्नल इन्क्लेव कालौनी थाना क्षेत्र कोतवाली सिविल लाईन रूड़की </t>
  </si>
  <si>
    <t xml:space="preserve">मै0 मरसी वुड इन्टरनेशनल, खसरा नं0-328, रायपुर रूड़की </t>
  </si>
  <si>
    <t>एल.पी.जी. गैस सिलेण्डर से घर मे (सी क्लास फायर)</t>
  </si>
  <si>
    <t xml:space="preserve"> बिजली के तार में (ई, क्लास श्रेणी)</t>
  </si>
  <si>
    <t xml:space="preserve">प्रिटिंग प्रेस की दुकान व घर में (ए क्लास श्रेणी) </t>
  </si>
  <si>
    <t>गैस लीकेज (स्चह)</t>
  </si>
  <si>
    <t>गन्ने की खोई के ढेर मे/न्।08ळ। 1781 की त्रिपाल में।</t>
  </si>
  <si>
    <t>कार संख्या न्ज्ञ17क्9450में। (बलीनो)</t>
  </si>
  <si>
    <t>घर के घरेलू सामान में (ए क्लास फायर)</t>
  </si>
  <si>
    <t>झाडिंयों में (ए क्लास फायर)</t>
  </si>
  <si>
    <t xml:space="preserve">बिजली के खम्भे में लगे तार  में (सी क्लास फायर) </t>
  </si>
  <si>
    <t>गोबर के उपलो में (ए क्लास फायर)</t>
  </si>
  <si>
    <t>छोटा हाथी गाडी में (ए क्लास फायर)</t>
  </si>
  <si>
    <t>टोल प्लाजा बूथ के केवल में (ई क्लास फायर)</t>
  </si>
  <si>
    <t>बिजली के बोर्ड में (ई क्लास फायर)</t>
  </si>
  <si>
    <t>फाईबर सीट में (ए क्लास फायर)</t>
  </si>
  <si>
    <t>गणपति इन्टरप्राईजेज/एम आई स्टोर षिव चौक (मोबाईल षॉप/गोदाम) कस्बा झबरेड़ा हरिद्वार।</t>
  </si>
  <si>
    <t>कबाड के गोदाम में (ए क्लास फायर)</t>
  </si>
  <si>
    <t>पार्किंग मे खडी टाटा सफारी गाडी में (ए क्लास फायर))</t>
  </si>
  <si>
    <t>बस के टायर में (ए क्लास फायर)</t>
  </si>
  <si>
    <t>ग्रीन एनर्जी, आई.पी-2, सलेमपुर महदूद्, हरिद्वार।</t>
  </si>
  <si>
    <t>विधुत तार (ई क्लास फायर)</t>
  </si>
  <si>
    <t>ग्रीन एनर्जी शाल्यूशन, खसरा नं0-1491, आई0 पी0 -02, सलेमपुर हरिद्वार</t>
  </si>
  <si>
    <t>रबर डस्ट में (ए क्लास फायर)</t>
  </si>
  <si>
    <t>ग्राम-पैरापुरा सितारगंज</t>
  </si>
  <si>
    <t>सम्भवतः शार्ट सर्किट के कारण</t>
  </si>
  <si>
    <t>झोपडी में लगी आग को फायर यूनिट के द्वारा 01 हौज पाईप की सहायता से पूर्ण रूप से बुझाया गया।</t>
  </si>
  <si>
    <t xml:space="preserve">एस0एम0 कैमटेक सैक्अर-09 के समीप झाड़ियों मे कूडे के ढेर मे </t>
  </si>
  <si>
    <t>अज्ञात कारणांे से</t>
  </si>
  <si>
    <t>झाड़ियों व, कूड़े के ढेर मे</t>
  </si>
  <si>
    <t xml:space="preserve">काशीपुर </t>
  </si>
  <si>
    <t>आवास विकास के गेट के सामाने काशीपुर</t>
  </si>
  <si>
    <t xml:space="preserve">सम्भवतः राहगीरो द्वारा लापरवाही से धुम्रपान के द्वारा।   </t>
  </si>
  <si>
    <t xml:space="preserve">कुडे के ढेर मे  </t>
  </si>
  <si>
    <t>श्री राधे इण्टरप्राइेज जसपुर खुर्द्व काशीपुर</t>
  </si>
  <si>
    <t xml:space="preserve">सम्भवतः विद्युत शॉट सर्किट के द्वारा।   </t>
  </si>
  <si>
    <t xml:space="preserve">हार्डवेयर के गोदाम मे </t>
  </si>
  <si>
    <t xml:space="preserve"> चैती चौराहा नियर मैनोर होटल के पास काशीपुर</t>
  </si>
  <si>
    <t xml:space="preserve">झाडियो मे </t>
  </si>
  <si>
    <t xml:space="preserve">भगवती स्वीट शॉप रामनगर रोड काशीपुर </t>
  </si>
  <si>
    <t>सम्भवतः गैस रिसाव के द्वारा।</t>
  </si>
  <si>
    <t xml:space="preserve">दुकान मे </t>
  </si>
  <si>
    <t>ग्राम अहरपुरा काशीपुर</t>
  </si>
  <si>
    <t xml:space="preserve">सम्भवतः लापरवाही से धुम्रपान के द्वारा।   </t>
  </si>
  <si>
    <t xml:space="preserve">घर  मे </t>
  </si>
  <si>
    <t xml:space="preserve">रूद्रपुर </t>
  </si>
  <si>
    <t xml:space="preserve">महतोश मोड़ के निकट चिकन बिरयानी की दुकान में </t>
  </si>
  <si>
    <t>सम्भवतः गैस रिसवा</t>
  </si>
  <si>
    <t xml:space="preserve">सिलेण्डर में </t>
  </si>
  <si>
    <t xml:space="preserve">एम0टी0 शाखा फायर स्टेशन रूद्रपुर </t>
  </si>
  <si>
    <t>विवेचनााीन</t>
  </si>
  <si>
    <t>दूधिया नगर रूद्रपुर में गैस रिसाव</t>
  </si>
  <si>
    <t>सम्भवतः गैस लीकेज</t>
  </si>
  <si>
    <t>सुभाश कॉलोनी रूद्रपुर(यूनिट आधे रास्ते से वापस आई)</t>
  </si>
  <si>
    <t>कैनरा बैंक रूद्रपुर में(आग नहीं लगी थी केवल बैंक का फायर अलार्म बज रहा था)</t>
  </si>
  <si>
    <t xml:space="preserve">पहाड़गंज में कूड़े के ढेर में </t>
  </si>
  <si>
    <t>सम्भवतः धुम्रपान</t>
  </si>
  <si>
    <t>रम्पुरा वार्ड नं0 22</t>
  </si>
  <si>
    <t>सम्भवतः मंदिर की जोत से</t>
  </si>
  <si>
    <t>राधाकान्तपुर रोड दिनेशपुर</t>
  </si>
  <si>
    <t xml:space="preserve">वाहनों में </t>
  </si>
  <si>
    <t>रूद्रपुर</t>
  </si>
  <si>
    <t>ट्रांजिट कैम्प रूद्रपुर</t>
  </si>
  <si>
    <t>मोबाईल शॉप में</t>
  </si>
  <si>
    <t>ग्राम लम्बाखेड़ा जाफरपुर</t>
  </si>
  <si>
    <t>कबाड़ की दुकान में</t>
  </si>
  <si>
    <t>ट्रांजिट कैम्प शमशान घाट वाली रोड पर(यूनिट आधे रास्ते से वापस आई)</t>
  </si>
  <si>
    <t xml:space="preserve">कॉस्मेटिक शॉप में </t>
  </si>
  <si>
    <t xml:space="preserve">बी0एस0टी0 टेक्सटाईल्स प्रा0लि0 प्लाट नं0-09, सैक्टर-09 सिडकुल पन्तनगर </t>
  </si>
  <si>
    <t>ओपन हैण्ड मशीन, रूई धागों एवं फोर सीलिंग में आग लगी थी।</t>
  </si>
  <si>
    <t xml:space="preserve">ओमैक्स रेसिडेन्स के निकट स्थित चावला रेस्टोरेन्ट में। </t>
  </si>
  <si>
    <t>किचन में लगी चिमनी में शार्ट सर्किट की वजह से</t>
  </si>
  <si>
    <t>किचन में लगी चिमनी में शार्ट सर्किट की वजह से चिमनी के वेन्टिलेशन पाईप में लगी आग।</t>
  </si>
  <si>
    <t xml:space="preserve">ल्यूमिनस कम्पनी सैक्टर- सिटी पार्क के निकट झाड़ियों मे। </t>
  </si>
  <si>
    <t>अज्ञात कारणों से</t>
  </si>
  <si>
    <t>झाड़ियों में लगी आग।</t>
  </si>
  <si>
    <t>01 करोड़</t>
  </si>
  <si>
    <t xml:space="preserve">सैक्टर- सिटी पार्क के निकट झाड़ियों मे। </t>
  </si>
  <si>
    <t>02 करोड़</t>
  </si>
  <si>
    <t>अपेक्स इन्टरनेशनल  प्रा0 लि0 महुआखेडागंज काशीपुर</t>
  </si>
  <si>
    <t xml:space="preserve">सम्भवतः थर्मिक हिटर की पैकिंग लिकेज के कारण।   </t>
  </si>
  <si>
    <t xml:space="preserve">फैक्ट्री के थर्मिक हिटर में  </t>
  </si>
  <si>
    <t>चीमा चौराहा काशीपुर</t>
  </si>
  <si>
    <t xml:space="preserve">लकडी के खोखे व रेडीयो मंे  </t>
  </si>
  <si>
    <t xml:space="preserve"> दौणा सागर के टीला काशीपुर </t>
  </si>
  <si>
    <t>मुस्कान ट्रेडर्स ग्राम सरवरखेडा अधेरी बाग  काशीपुर</t>
  </si>
  <si>
    <t xml:space="preserve">सम्भवतः अज्ञात कारणो के द्वारा।   </t>
  </si>
  <si>
    <t xml:space="preserve">कबाड के गोदाम मे। </t>
  </si>
  <si>
    <t xml:space="preserve">ग्राम बासखेडा कला अलीगंज रोड काशीपुर </t>
  </si>
  <si>
    <t>सम्भवतः विद्युत शॉट सर्किट के कारण।</t>
  </si>
  <si>
    <t>झोपडी मे।</t>
  </si>
  <si>
    <t>नगर निगम डम्पिंग यार्ड कचनाल गाजी काशीपुर</t>
  </si>
  <si>
    <t>कुडे के ढेर मे</t>
  </si>
  <si>
    <t>अलीगंज गंज रोड बहल पेपर मिल काशीपुर</t>
  </si>
  <si>
    <t>सम्भवतः अज्ञात कारण द्वारा।</t>
  </si>
  <si>
    <t xml:space="preserve">ट्रक मय कन्टेनर मे </t>
  </si>
  <si>
    <t>मल्टीवाल पेपर मिल के सामने बाजपुर रोड काशीपुर</t>
  </si>
  <si>
    <t>बाजपुर</t>
  </si>
  <si>
    <t xml:space="preserve">शुगर मिल बाजपुर के परिसर मे </t>
  </si>
  <si>
    <t>सम्भवतः राहगीरो द्वारा लापरवाही से धुम्रपान के द्वारा।</t>
  </si>
  <si>
    <t xml:space="preserve">कुडे के ढेर मे </t>
  </si>
  <si>
    <t>संजोग पैलेस सितारगंज</t>
  </si>
  <si>
    <t>सम्भवतः असावधानी धुम्रपान के कारण</t>
  </si>
  <si>
    <t>झाडियों में लगी आग को फायर यूनिट के द्वारा 01 हौज पाईप की सहायता से पूर्ण रूप से बुझाया गया।</t>
  </si>
  <si>
    <t>एच0पी0सी0एल0 बॉटलिंग प्लांट सिडकुल</t>
  </si>
  <si>
    <t>झाडियों में लगी आग को फायर यूनिट के द्वारा काउटंर फायर व बीटिंग मैथड द्वारा पूर्ण रूप से बुझाया गया।</t>
  </si>
  <si>
    <t>झाडियों में लगी आग को फायर यूनिट के द्वारा मॉनिटर ब्रान्च की सहायता से पूर्ण रूप से बुझाया गया।</t>
  </si>
  <si>
    <t>सम्पूर्णानन्द जेल केम्प सिडकुल</t>
  </si>
  <si>
    <t>झाडियों में लगी आग को फायर यूनिट के द्वारा बीटिंग मैथड से पीट पाट कर  पूर्ण रूप से बुझाया गया।</t>
  </si>
  <si>
    <t>सुरीन ऑटोमोटिव सिडकुल</t>
  </si>
  <si>
    <t>सुरीन ऑटोमोटिव के पेंट बूथ में लगी आग को फायर यूनिट द्वारा 02 हौज पाईपों की सहायता से पूर्णरूप से बुझाया गया।</t>
  </si>
  <si>
    <t>सिरसा मोड के पास जगतपुरा शक्तिफार्म</t>
  </si>
  <si>
    <t>कार संख्या यु0के0.06बी0पी0.2021 में लगी आग को  फायर यूनिट द्वारा 01 हौज पाईप की सहायता से पूर्णरूप से बुझाया गया।</t>
  </si>
  <si>
    <t>झाडियों में लगी आग को फायर यूनिट द्वारा 02 हौज पाईपों की सहायता से पूर्णरूप से बुझाया गया।</t>
  </si>
  <si>
    <t>मण्डी गेट के पास सितारगंज</t>
  </si>
  <si>
    <t>झाडियों में लगी आग को फायर यूनिट मण्डी द्वारा 01 हौज पाईप की सहायता से पूर्णरूप से बुझाया गया।</t>
  </si>
  <si>
    <t>झाडियों में लगी आग को फायर यूनिट के पहुॅचने से पूर्व जेल कर्मचारियों द्वारा पूर्णरूप से बुझाया गया था।</t>
  </si>
  <si>
    <t>20ए000</t>
  </si>
  <si>
    <t>9ए80ए000</t>
  </si>
  <si>
    <t>4ए99ए000</t>
  </si>
  <si>
    <t>चौहान मोहल्लाए ठाकुरद्वारा रोड जसपुर</t>
  </si>
  <si>
    <t>2ए99ए000</t>
  </si>
  <si>
    <t>टी0वी0 ध्घरेलु सामान</t>
  </si>
  <si>
    <t>4ए80ए000</t>
  </si>
  <si>
    <t>आवास विकास वार्ड नं0-09 किच्छा</t>
  </si>
  <si>
    <t>सुभाश कॉलोनी गोविन्द विहार ट्रांजिट कैम्प</t>
  </si>
  <si>
    <t>गोदाम में</t>
  </si>
  <si>
    <t>ग्राम चरणपुर दिनंशपुर</t>
  </si>
  <si>
    <t>सम्भवतः लापरवाहीपूर्वक धूम्रपान</t>
  </si>
  <si>
    <t xml:space="preserve">पुआल में </t>
  </si>
  <si>
    <t>विवेकनगर वार्ड नं0-02 ट्रांजिट कैम्प</t>
  </si>
  <si>
    <t>सम्भवतः गैस रिसाव</t>
  </si>
  <si>
    <t>अवदूत गार्डन वार्ड नं0 03 किच्छा बाईपास</t>
  </si>
  <si>
    <t>झाडू के गोदाम में</t>
  </si>
  <si>
    <t>किच्छा रेलवे स्टेशन के निकट</t>
  </si>
  <si>
    <t>कबाड़ में</t>
  </si>
  <si>
    <t>गली नं0-04 इन्द्रा कॉलोनी रूद्रपुर</t>
  </si>
  <si>
    <t>सम्भवतः पूजा घर में जलते हुए दीपक से</t>
  </si>
  <si>
    <t>श्याम टॉकीज के निकट रूद्रपुर</t>
  </si>
  <si>
    <t>घर में(आग घटनास्थल पर पहुॅचने से पूर्व ही बुझ गयी थी)</t>
  </si>
  <si>
    <t>रूद्रपुर स्टेडियम के पीछे</t>
  </si>
  <si>
    <t>ग्राम अलखदेवी महतोश के निकट</t>
  </si>
  <si>
    <t>सम्भवतः शरारती तत्वों द्वारा</t>
  </si>
  <si>
    <t>वाहन में(पहुॅचने से पूर्व आग बुझ चुकि थी)</t>
  </si>
  <si>
    <t>पहाड़गंज रूद्रपुर</t>
  </si>
  <si>
    <t>ट्रांजिट कैम्प</t>
  </si>
  <si>
    <t>सम्भवतः गैस रिसाव के कारण</t>
  </si>
  <si>
    <t>सिलेण्डर में(आग पूर्व में ही बुझ चुकि थी)</t>
  </si>
  <si>
    <t>गोल मडईया थाना ट्रांजिट कैम्प रूद्रपुर</t>
  </si>
  <si>
    <t>सूर्यनगर कलकत्ता फार्म किच्छा</t>
  </si>
  <si>
    <t xml:space="preserve">पहाडगंज </t>
  </si>
  <si>
    <t>नवीन मण्डी के निकट गदरपुर</t>
  </si>
  <si>
    <t>काशीपुर</t>
  </si>
  <si>
    <t>आनन्द होम सोसाइटी जसपुर खुर्द्व काशीपुर</t>
  </si>
  <si>
    <t>मौ0 खालसा डॉ0 लाईन काशीपुर</t>
  </si>
  <si>
    <t xml:space="preserve">घर मे  </t>
  </si>
  <si>
    <t xml:space="preserve">ग्राम बन्नाखेडा बाजपुर </t>
  </si>
  <si>
    <t>सम्भवत गैस लिकेज होने के कारण।</t>
  </si>
  <si>
    <t xml:space="preserve">घर मंे </t>
  </si>
  <si>
    <t xml:space="preserve">ग्राम विक्रमपुर बाजपुर </t>
  </si>
  <si>
    <t xml:space="preserve">ग्राम धौलपुरी रजपुरा नं0-01 बाजपुर </t>
  </si>
  <si>
    <t>सम्भवतःपडोसी द्वारा आपसी रंजिश के कारण।</t>
  </si>
  <si>
    <t xml:space="preserve">दुकान में </t>
  </si>
  <si>
    <t>आर्दश नगर सरकारी अस्पताल के सामने सुल्तानपुर पट्टी बाजपुर</t>
  </si>
  <si>
    <t>दुकान मंे</t>
  </si>
  <si>
    <t>ग्राम नन्दपुर नरकाटोपा बाजपुर</t>
  </si>
  <si>
    <t>सम्भवत आपसी रंजिश के कारण।</t>
  </si>
  <si>
    <t xml:space="preserve">दुकान मंे </t>
  </si>
  <si>
    <t>महेशपुरा मोड दोराहा बाजपुर</t>
  </si>
  <si>
    <t xml:space="preserve">लकडियो के ढेर में </t>
  </si>
  <si>
    <t>डी0एम0 आवास के निकट झाड़ियों में लगी आग</t>
  </si>
  <si>
    <t>आज्ञात कारणों से</t>
  </si>
  <si>
    <t>झाड़ियों में लगी आग</t>
  </si>
  <si>
    <t>विकास भवन के निकट झाड़ियों में लगी आग</t>
  </si>
  <si>
    <t>मै0 सिडकुल कॉन्कर कम्पनी में खड़ी आ0एस0टी0 मषीन में लगी आग</t>
  </si>
  <si>
    <t>शार्ट सर्किट से लगी आग</t>
  </si>
  <si>
    <t>आ0एस0टी0 मषीन में लगी आग</t>
  </si>
  <si>
    <t>मै0 डाली समीर कम्पनी के निकट झाड़ियों में लगी आग</t>
  </si>
  <si>
    <t>बिद्युत पोल में शार्ट सर्किट से</t>
  </si>
  <si>
    <t>मै0 पायलट कम्पनी के निकट झाड़ियों में लगी आग</t>
  </si>
  <si>
    <t>कल्याणपुर सिसौना सितारगंज</t>
  </si>
  <si>
    <t>मकान में लगी आग को फायर यूनिट के द्वारा 01 हौज पाईप की सहायता से पूर्ण रूप से बुझाया गया।</t>
  </si>
  <si>
    <t>ग्राम खैरना सिसईखेडा सितारगंज</t>
  </si>
  <si>
    <t>घर में लगी आग को फायर यूनिट के द्वारा 01 हौज पाईप की सहायता से पूर्ण रूप से बुझाया गया।</t>
  </si>
  <si>
    <t>सिडकुल सितारगंज</t>
  </si>
  <si>
    <t>बिजली घर के ट्रांसफामर में लगी आग को फायर यूनिट के द्वारा बिजली घर में रखे फायर एक्सटिग्यूशरों की सहायता से पूर्ण रूप से बुझाया गया।</t>
  </si>
  <si>
    <t>ग्राम मगरसडा सिसईखेडा सितारगंज</t>
  </si>
  <si>
    <t>अमरिया चौराह के पास सितारगंज</t>
  </si>
  <si>
    <t>कुडे के ढेर में लगी आग को फायर यूनिट द्वारा 01 हौज पाईप की सहायता से पूर्णरूप से बुझाया गया।</t>
  </si>
  <si>
    <t>बिज्टी चौराह के पास सितारगंज</t>
  </si>
  <si>
    <t xml:space="preserve">गेहूॅ के खेत में लगी आग को फायर यूनिट से पहॅुचने से पूर्व स्थानीय लोगों ने आग को पूर्ण रूप से बुझा दिया गया था। </t>
  </si>
  <si>
    <t>पहाड़गंज कूड़े के ढेर में</t>
  </si>
  <si>
    <t xml:space="preserve">सम्भवतः धूम्रपान </t>
  </si>
  <si>
    <t>सुभाश कॉलोनी सागर होटल के निकट सर्विस सैन्टर में</t>
  </si>
  <si>
    <t>सर्विस सैन्टर में</t>
  </si>
  <si>
    <t xml:space="preserve">किच्छा उत्तमनगर गुरूद्वारे के पास </t>
  </si>
  <si>
    <t xml:space="preserve">आग को यूनिट के पहुॅचने से पूर्व ही बुझा लिया गया था। </t>
  </si>
  <si>
    <t>सुभाश कॉलोनी सिलेण्डर में आग</t>
  </si>
  <si>
    <t>पहाड़गंज कूड़े के ढेर में आग</t>
  </si>
  <si>
    <t>सम्भवतः धूम्रपान</t>
  </si>
  <si>
    <t xml:space="preserve">कूड़़े के ढेर में </t>
  </si>
  <si>
    <t>मेन मार्केट किच्छा में जूते की दुकान में</t>
  </si>
  <si>
    <t>जूते की दुकान में</t>
  </si>
  <si>
    <t>सी0डी0ओ0 आवास के पास खाली प्लाट में</t>
  </si>
  <si>
    <t>श्री बांके बिहारी इलैक्टॉनिक्स वार्ड नं0 16 भदरपुरा दुकान में</t>
  </si>
  <si>
    <t xml:space="preserve">इलैक्ट्रानिक्स की दुकान में </t>
  </si>
  <si>
    <t>सोनिया होटल रामपुर रोड के निकट</t>
  </si>
  <si>
    <t>आग पूर्व में ही बुझ चुकी थी</t>
  </si>
  <si>
    <t xml:space="preserve">गुलरभोज रोड रूद्रपुर आवास विकास स्पेयर पार्टस की दुकान में </t>
  </si>
  <si>
    <t xml:space="preserve">स्पेयर पार्टस की दुकान में </t>
  </si>
  <si>
    <t>1ए00ए000</t>
  </si>
  <si>
    <t>4ए00ए000</t>
  </si>
  <si>
    <t>2ए00ए000</t>
  </si>
  <si>
    <t xml:space="preserve">गौशालाध् भूसा </t>
  </si>
  <si>
    <t>5ए000</t>
  </si>
  <si>
    <t>95ए000</t>
  </si>
  <si>
    <t>10ए000</t>
  </si>
  <si>
    <t>90ए000</t>
  </si>
  <si>
    <t>60ए000</t>
  </si>
  <si>
    <t>1ए40ए000</t>
  </si>
  <si>
    <t>4ए95ए000</t>
  </si>
  <si>
    <t>5ए00ए000</t>
  </si>
  <si>
    <t>1ए000</t>
  </si>
  <si>
    <t>99ए000</t>
  </si>
  <si>
    <t>1ए50ए000</t>
  </si>
  <si>
    <t>13ए35ए000</t>
  </si>
  <si>
    <t>11ए00ए000</t>
  </si>
  <si>
    <t>3ए50ए000</t>
  </si>
  <si>
    <t>25ए000</t>
  </si>
  <si>
    <t>1ए75ए000</t>
  </si>
  <si>
    <t xml:space="preserve">नई बस्ती ए वेयर हाउस के पास जसपुर </t>
  </si>
  <si>
    <t>80ए000</t>
  </si>
  <si>
    <t>1ए20ए000</t>
  </si>
  <si>
    <t>1ए90ए000</t>
  </si>
  <si>
    <t>15ए000</t>
  </si>
  <si>
    <t>85ए000</t>
  </si>
  <si>
    <t xml:space="preserve"> मल्टीवाल पेपर मिल के सामने बाजपरु रोड काशीपुर</t>
  </si>
  <si>
    <t>रॉयल रेजीडेन्सी फायर स्टेशन काशीपुर के सामने काशीपुर</t>
  </si>
  <si>
    <t>सम्मभवतः मन्दिर मे रखे जलते हुये दीपक के कारण।</t>
  </si>
  <si>
    <t xml:space="preserve">घर मे </t>
  </si>
  <si>
    <t>ग्राम गुल्जारपुर नियर जय स्टोन क्रेशर कुडेश्वरी रोड काशीपुर</t>
  </si>
  <si>
    <t>सम्भवतः वाहन का एक्सीडेन्ट होने के कारण</t>
  </si>
  <si>
    <t xml:space="preserve">डमपर मे </t>
  </si>
  <si>
    <t>विवेचनाािन</t>
  </si>
  <si>
    <t>सिंघल स्पिन टैक प्रा0 लि0 के खाली प्लाट मे महुआखेडागंज काशीपुर</t>
  </si>
  <si>
    <t xml:space="preserve">वेस्टेज रूई मे </t>
  </si>
  <si>
    <t>वंसन्त विहार कुडेश्वरी काशीपुर</t>
  </si>
  <si>
    <t>सम्मभवतः मन्दिर मे रखे जलते हुये दीपक के</t>
  </si>
  <si>
    <t>घर मे</t>
  </si>
  <si>
    <t xml:space="preserve">ग्राम बडी बासखेडी काशीपुर </t>
  </si>
  <si>
    <t>गेहुॅ की नाल मे</t>
  </si>
  <si>
    <t>आर0आर0 स्वाक्यार मॉल काशीपुर</t>
  </si>
  <si>
    <t>सम्भवतः विद्युत शॉट सर्किट से।</t>
  </si>
  <si>
    <t xml:space="preserve">जनरेटर मे </t>
  </si>
  <si>
    <t>सरकारी अस्पताल के पास काशीपुर</t>
  </si>
  <si>
    <t>ग्राम धीमरखेडा काशीपुर</t>
  </si>
  <si>
    <t>चौकी कटोराताल के पास डाक्टर लाईन काशीपुर</t>
  </si>
  <si>
    <t>आघे रास्ते से वापस हुये</t>
  </si>
  <si>
    <t xml:space="preserve">   घर</t>
  </si>
  <si>
    <t xml:space="preserve">ढेला पुल के पास हिन्दू शमशान घाट काशीपुर </t>
  </si>
  <si>
    <t>सम्भवतः जली हुई लकडी के सुलगने के कारण।</t>
  </si>
  <si>
    <t xml:space="preserve">लकडियो के ढेर मे </t>
  </si>
  <si>
    <t>ग्राम-ढकिया गॉव बलबन्त फार्म काशीपुर</t>
  </si>
  <si>
    <t xml:space="preserve">  -</t>
  </si>
  <si>
    <t>विजन वैली पब्लिक स्कूल के सामने ग्राम कुआखेडा काशीपुर</t>
  </si>
  <si>
    <t>सम्भवतः विद्युत तारो से चिगांरी गिरने के कारण</t>
  </si>
  <si>
    <t xml:space="preserve"> गेहुॅ के खेत मे </t>
  </si>
  <si>
    <t>ग्राम-धीमरखेडा काशीपुर</t>
  </si>
  <si>
    <t>ग्राम-धीमरखेडा दडियाल रोड काशीपुर</t>
  </si>
  <si>
    <t xml:space="preserve">उपलो के ढेर मे </t>
  </si>
  <si>
    <t>ग्राम खरमासा कुडेश्वरी रोड काशीपुर</t>
  </si>
  <si>
    <t>कटे गेहॅु की नाल मे</t>
  </si>
  <si>
    <t>कुडेश्वरी रोड मल्टीवाल फैक्ट्री के पास काशीपुर</t>
  </si>
  <si>
    <t>झाडियो मे</t>
  </si>
  <si>
    <t>ग्राम- गंज नियर हिमालयन फ्रुड पार्क महुआखेडागंज काशीपुर</t>
  </si>
  <si>
    <t>सम्भवतः कटे गेहॅुकी नाल को जलाने के लिये आग लगाने के कारण</t>
  </si>
  <si>
    <t>गेहुॅ के खेंत मे</t>
  </si>
  <si>
    <t>मैन बाजार पंत पार्क के पास काशीपुर</t>
  </si>
  <si>
    <t>सम्भवतः विद्युत शॉर्ट सर्किट के कारण</t>
  </si>
  <si>
    <t>दुकान मे</t>
  </si>
  <si>
    <t>ग्राम बाजावाला ढकिया-01कुडेश्वरी रोड काशीपुर</t>
  </si>
  <si>
    <t>गेहॅु के खेत मे।</t>
  </si>
  <si>
    <t>आर्यनगर नियर पंत पार्क काशीपुर</t>
  </si>
  <si>
    <t>ग्राम-रम्पुरा राम नगर रोड काशीपुर</t>
  </si>
  <si>
    <t xml:space="preserve">सम्भवतः राहगीरो द्वारा लापरवाही से धुम्रपान के </t>
  </si>
  <si>
    <t xml:space="preserve">गेहॅु के खेत मे </t>
  </si>
  <si>
    <t>बैशाली कॉलोनी काशीपुर</t>
  </si>
  <si>
    <t xml:space="preserve"> झाडियो मे </t>
  </si>
  <si>
    <t>ग्राम सरबरखेडा काशीपुर</t>
  </si>
  <si>
    <t xml:space="preserve">गेहुॅ की नाल मे </t>
  </si>
  <si>
    <t>आई0आई0 एम0 काशीपुर</t>
  </si>
  <si>
    <t>प्रकाश सिटी कॉलोनी काशीपुर</t>
  </si>
  <si>
    <t>ग्राम अजीतपुर बाजपुर रोड काशीपुर</t>
  </si>
  <si>
    <t xml:space="preserve">गेहुॅ के खेत मे </t>
  </si>
  <si>
    <t>श्री राधे हरी कॉलेज के पास बाजपुर रोड काशीपुर</t>
  </si>
  <si>
    <t>ग्राम-गुलजारपुर काशीपुर</t>
  </si>
  <si>
    <t>लक्ष्मीपुर पट्टी मझरा काशीपुर</t>
  </si>
  <si>
    <t>विद्युत शॉर्ट सर्किट के कारण</t>
  </si>
  <si>
    <t xml:space="preserve">ट्रॉफार्मर मे </t>
  </si>
  <si>
    <t>रामपुरम नियर प्रकाश सिटी बाजपुर</t>
  </si>
  <si>
    <t xml:space="preserve"> पेड मे </t>
  </si>
  <si>
    <t>प्रकाश सिटी कॉलोनी की नहर के पास काशीपुर</t>
  </si>
  <si>
    <t xml:space="preserve">आलू फार्म बाजपुर रोड काशीपुर </t>
  </si>
  <si>
    <t>आघे रास्ते से वापस आये।</t>
  </si>
  <si>
    <t>रामपुरम कॉलोनी बाजपुर रोड काशीपुर</t>
  </si>
  <si>
    <t>पेड मे।</t>
  </si>
  <si>
    <t>ग्राम-फतेहगंज घीमर खेडा काशीपुर</t>
  </si>
  <si>
    <t>कॉलर द्वारा फोन नही उठाया गयां</t>
  </si>
  <si>
    <t xml:space="preserve">खेत  मे </t>
  </si>
  <si>
    <t>बैशाली कॉलोनी गली नं0-01 काशीपुर</t>
  </si>
  <si>
    <t>सम्भवतः विद्युत शॉर्ट सर्किट के कारण।</t>
  </si>
  <si>
    <t xml:space="preserve"> घर के विद्युत पेनल मे </t>
  </si>
  <si>
    <t>ग्राम हरियावाला मुरादाबाद रोड काशीपुर</t>
  </si>
  <si>
    <t>आम व बॉस के बगीचे मे</t>
  </si>
  <si>
    <t>जिन्दल वैजिटेगल आहार मसरूम बाजपुर रोड काशीपुर</t>
  </si>
  <si>
    <t xml:space="preserve">भूसे के ढेर मे </t>
  </si>
  <si>
    <t>देवीपुरा खडकपुर वार्ड नं0-8 काशीपुर</t>
  </si>
  <si>
    <t>सम्भवतः लडाई कर स्वयं आग लगाने के कारण।</t>
  </si>
  <si>
    <t xml:space="preserve">पहाडपुर ग्राम नमूना  बाजपुर </t>
  </si>
  <si>
    <t>सम्भवतः विद्युत शॉट सर्किट के द्वारा।   ।</t>
  </si>
  <si>
    <t xml:space="preserve">ग्राम मुण्डिया कला  बाजपुर </t>
  </si>
  <si>
    <t xml:space="preserve">गेहु खेत  मे </t>
  </si>
  <si>
    <t xml:space="preserve">ग्राम नन्दपुर  नरकाटोपा बाजपुर </t>
  </si>
  <si>
    <t>सम्भवतःअज्ञात  कारण।</t>
  </si>
  <si>
    <t xml:space="preserve">कुडे ढेर मे </t>
  </si>
  <si>
    <t xml:space="preserve">ग्राम भौना इस्लामनगर बाजपुर </t>
  </si>
  <si>
    <t>सम्भवतःअज्ञात  कारण</t>
  </si>
  <si>
    <t>भौना रोड बिरहा फार्म  बाजपुर</t>
  </si>
  <si>
    <t xml:space="preserve">सम्भवतः विद्युत शॉर्ट सर्किट </t>
  </si>
  <si>
    <t xml:space="preserve">गेहूॅ की नाल मे </t>
  </si>
  <si>
    <t>कौसी काटा रोड रतनपुरा बाजपुर</t>
  </si>
  <si>
    <t>सम्भवतः चुल्हे की चिगंारी के कारण</t>
  </si>
  <si>
    <t xml:space="preserve">फौजी कॉलोनी हाईडल के पास बाजपुर </t>
  </si>
  <si>
    <t>हल्द्वानी रोड ब्राड फार्म श्मशान घाट के पास बाजपुर</t>
  </si>
  <si>
    <t>गेहुॅ के खेत मे।</t>
  </si>
  <si>
    <t>क्ेशवाला गजरोला इंटर कॉलेज के पास बाजपुर</t>
  </si>
  <si>
    <t>ग्राम-सरकडी विधि का मझरा कैलाखेडा बाजपुर</t>
  </si>
  <si>
    <t xml:space="preserve">सम्भवतः आपसी  रंजीश के कारण लगाई </t>
  </si>
  <si>
    <t>रामजीवनपुर सुल्लतानपुर पट्टी बाजपुर</t>
  </si>
  <si>
    <t xml:space="preserve">झोपडीयो मे </t>
  </si>
  <si>
    <t>पुलिस चौकी बन्नखेडा बाजपुर</t>
  </si>
  <si>
    <t>ग्राम जोगीपुरा सीतापुर कॉलोनी के पास बाजपुर</t>
  </si>
  <si>
    <t>गोशाला झोपडी मे</t>
  </si>
  <si>
    <t>मैन माकेट नियर जोशी मिष्ठान भण्डार के पास बाजपुर</t>
  </si>
  <si>
    <t xml:space="preserve"> दुकानो मे </t>
  </si>
  <si>
    <t>ग्राम . चन्देली</t>
  </si>
  <si>
    <t>ग्राम . गुरूखेडा</t>
  </si>
  <si>
    <t>ग्राम .पहेनिया</t>
  </si>
  <si>
    <t>ग्राम . प्रतापपुर</t>
  </si>
  <si>
    <t>ग्राम . हरदोई</t>
  </si>
  <si>
    <t>ग्राम . उल्धन</t>
  </si>
  <si>
    <t>ग्राम दृ श्रीपुर बिचुवा</t>
  </si>
  <si>
    <t>ग्राम दृ बानूसी</t>
  </si>
  <si>
    <t>ग्राम दृ अमाऊ</t>
  </si>
  <si>
    <t>ग्राम .भूडाई</t>
  </si>
  <si>
    <t>झनकट व मझौला .02</t>
  </si>
  <si>
    <t>ग्राम . सडासडिया</t>
  </si>
  <si>
    <t>ग्राम . गासीकुऑ</t>
  </si>
  <si>
    <t>ग्राम . कुटरा</t>
  </si>
  <si>
    <t>ग्राम दृ गोझर पटिया</t>
  </si>
  <si>
    <t>ग्राम दृ 17 मील मझोला</t>
  </si>
  <si>
    <t>ग्राम दृ सैजना</t>
  </si>
  <si>
    <t>ग्राम दृ ऊची महुवट</t>
  </si>
  <si>
    <t xml:space="preserve">ग्राम दृ कंजाबाग नहर </t>
  </si>
  <si>
    <t>ग्राम दृ कुटरा ।</t>
  </si>
  <si>
    <t xml:space="preserve">ग्राम दृ श्रीपुर बिचुवा </t>
  </si>
  <si>
    <t>ग्राम दृ नदन्ना</t>
  </si>
  <si>
    <t xml:space="preserve">ग्राम दृ शैलजा डेन्टल हास्पिटल </t>
  </si>
  <si>
    <t>ग्राम . सबौरा</t>
  </si>
  <si>
    <t>ग्राम . झनकट</t>
  </si>
  <si>
    <t>ग्राम . ऊमरूखुर्द</t>
  </si>
  <si>
    <t>ग्राम .कुटरा</t>
  </si>
  <si>
    <t>ग्राम .घोसीकुऑ</t>
  </si>
  <si>
    <t>ग्राम दृगौहर पटिया</t>
  </si>
  <si>
    <t>ग्राम दृश्रीपुर बिचुवा</t>
  </si>
  <si>
    <t>ग्राम दृ खेतलसण्डा खाम</t>
  </si>
  <si>
    <t>ग्राम दृ कुमराह ।</t>
  </si>
  <si>
    <t>ग्राम दृ प्रतापपुर नानकमत्ता ।</t>
  </si>
  <si>
    <t>ग्राम दृ गुरूखेडा</t>
  </si>
  <si>
    <t>ग्राम दृ टुकडी बिचुवा</t>
  </si>
  <si>
    <t>ग्राम.अमाऊ रोड</t>
  </si>
  <si>
    <t>ग्राम. नगला तराई</t>
  </si>
  <si>
    <t>ग्राम. श्रीपुर बिचुवा</t>
  </si>
  <si>
    <t xml:space="preserve">ग्राम दृ सत्रह मिल पुलिस चौकी </t>
  </si>
  <si>
    <t xml:space="preserve">ग्राम दृ झनकट रतनपुरा </t>
  </si>
  <si>
    <t>ग्राम दृ नानकमत्ता अमृतसरिया होटल</t>
  </si>
  <si>
    <t>ग्राम दृ नौगॉव ठग्गू</t>
  </si>
  <si>
    <t>ग्रामदृ टिगरी</t>
  </si>
  <si>
    <t xml:space="preserve">पेड़ए झाड़ियों व बगीचे में  </t>
  </si>
  <si>
    <t xml:space="preserve">ग्रामदृ रतनपुर झनकट  </t>
  </si>
  <si>
    <t>ग्रामदृ दयूरी खटीमा</t>
  </si>
  <si>
    <t>भूसे के ढेरए इमारती लकड़ीयों व सिमेंट की चादरों में</t>
  </si>
  <si>
    <t>ग्रामदृ मझरा फार्म</t>
  </si>
  <si>
    <t>ग्रामदृ भुडिया</t>
  </si>
  <si>
    <t>ग्रामदृ बिगराबाग</t>
  </si>
  <si>
    <t>ग्रामदृ मुडैली नौगाँव ठग्गू  खटीमा</t>
  </si>
  <si>
    <t>ग्रामदृ लोहिया पुल  खटीमा</t>
  </si>
  <si>
    <t xml:space="preserve">ग्राम दृ भुजिया न0 .03 खटीमा ।                             </t>
  </si>
  <si>
    <t>ग्राम दृ  नानकमत्ता</t>
  </si>
  <si>
    <t>ग्राम दृचकरपुर</t>
  </si>
  <si>
    <t>फेस-2 सिडकुल सितारगंज</t>
  </si>
  <si>
    <t>एचपीसील प्लांट के पास सिडकुल सितारगंज</t>
  </si>
  <si>
    <t>जेल केम्प सिडकुल सितारगंज</t>
  </si>
  <si>
    <t>झाडियों में लगी आग को फायर यूनिट के पहुॅचने से पूर्व पूर्ण रूप से बुझा दिया गया था।</t>
  </si>
  <si>
    <t>एसएनबी प्लाजा होटल सिडकुल</t>
  </si>
  <si>
    <t>सम्भवतः  असावधानी धुम्रपान  के कारण</t>
  </si>
  <si>
    <t>ग्राम दौलाबाजपुर चोरगलिया नैनीताल</t>
  </si>
  <si>
    <t>पुराल के ढेर मे लगी आग को फायर यूनिट सितारगंज व हल्द्वानी के द्वारा 02 हौज पाईप की सहायता से पूर्ण रूप से बुझाया गया।</t>
  </si>
  <si>
    <t>फायर रिर्पोट का विवरा फायर स्टेशन हल्द्वानी द्वारा भरा जायेगा।</t>
  </si>
  <si>
    <t>ग्राम प्रतापपुर नानकमत्ता</t>
  </si>
  <si>
    <t>झोपडियों मे लगी आग को फायर यूनिट मण्डी सितारगंज के पहुॅचने से पूर्व  फायर यूनिट खटीमा के द्वारा  पूर्ण रूप से बुझाया गया।</t>
  </si>
  <si>
    <t>फायर रिर्पोट का विवरा फायर स्टेशन खटीमा द्वारा भरा जायेगा।</t>
  </si>
  <si>
    <t>ग्राम गौरीखेडा सितारगंज</t>
  </si>
  <si>
    <t>कटे गेहू की नरई मे लगी आग को फायर यूनिट मण्डी सितारगंज के द्वारा 01 हौज पाईप की सहायता से पूर्ण रूप से बुझाया गया।</t>
  </si>
  <si>
    <t>शोरूम के बाहर खडी कार में लगी आग को फायर यूनिट मण्डी सितारगंज के द्वारा 01 हौज पाईप की सहायता से पूर्ण रूप से बुझाया गया।</t>
  </si>
  <si>
    <t>गेहू की फसल में लगी आग को फायर यूनिट मण्डी सितारगंज के द्वारा 01 हौज पाईप की सहायता से पूर्ण रूप से बुझाया गया।</t>
  </si>
  <si>
    <t>विडौरा मझोला सितारगंज</t>
  </si>
  <si>
    <t>भूसे के ढेर में लगी आग को फायर यूनिट मण्डी व सिडकुल सितारगंज के द्वारा 02 हौज पाईपों की सहायता से पूर्ण रूप से बुझाया गया।</t>
  </si>
  <si>
    <t>ग्राम पंडरी सितारगंज</t>
  </si>
  <si>
    <t>झाडियों में लगी आग को फायर यूनिट मण्डी सितारगंज के द्वारा 01 हौज पाईप की सहायता से पूर्ण रूप से बुझाया गया।</t>
  </si>
  <si>
    <t>गेहू की नरई व भूसे में लगी आग को फायर यूनिट सिडकुल सितारगंज व फायर यूनिट खटीमा के द्वारा 01 हौज पाईप व 01 हौज रील की सहायता से पूर्ण रूप से बुझाया गया।</t>
  </si>
  <si>
    <t>संतफार्म नकुलिया सितारगंज</t>
  </si>
  <si>
    <t>भूसे में लगी आग को फायर यूनिट मण्डी सितारगंज के पहुॅचने से पूर्व ही स्थानीय लोगों द्वारा े पूर्ण रूप से बुझाया गया।</t>
  </si>
  <si>
    <t>विधायक आवास के पास सितारगंज</t>
  </si>
  <si>
    <t>गेहुॅ की नरई में लगी आग को फायर यूनिट मण्डी सितारगंज के द्वारा 01 हौज पाईप की सहायता से पूर्ण रूप से बुझाया गया।</t>
  </si>
  <si>
    <t>झनकट खटीमा</t>
  </si>
  <si>
    <t>भूसे व पराल में लगी आग को फायर यूनिट सिडकुल सितारगंज के द्वारा 01 हौज पाईप की सहायता से पूर्ण रूप से बुझाया गया।</t>
  </si>
  <si>
    <t>फायर रिर्पोट में क्षति का विवरा फायर स्टेशन खटीमा द्वारा भरा जायेगा।</t>
  </si>
  <si>
    <t>भूसे व नरई में लगी आग को फायर यूनिट मण्डी व सिडकुल सितारगंज द्वारा 04 हौज पाईपों की सहायता से पूर्ण रूप से बुझाया गया।</t>
  </si>
  <si>
    <t>नयां गॉव सिसैया सितारगंज</t>
  </si>
  <si>
    <t>खडे गेहुॅ व नरई में लगी आग को फायर यूनिट मण्डी सितारगंज के द्वारा 01 हौज पाईप की सहायता से  पूर्ण रूप से बुझाया गया।</t>
  </si>
  <si>
    <t>ग्राम नकटपुरा सितारगंज</t>
  </si>
  <si>
    <t>गेहुॅ की नरई में लगी आग को फायर यूनिट मण्डी सितारगंज द्वारा 01 हौज पाईप की सहायता से  पूर्ण रूप से बुझाया गया।</t>
  </si>
  <si>
    <t>ग्राम गगनपुर सिसोना सितारगंज</t>
  </si>
  <si>
    <t>गेहुॅ की नरई में लगी आग को फायर यूनिट सिडकुल सितारगंज की 02 फायर यूनिटों द्वारा 02 हौज पाईपों की सहायता से  पूर्ण रूप से बुझाया गया।</t>
  </si>
  <si>
    <t>ग्राम बिज्टी सितारगंज</t>
  </si>
  <si>
    <t>झाडियों में लगी आग को फायर यूनिट सिडकुल सितारगंज की  फायर यूनिट द्वारा 01 हौज पाईप की सहायता से  पूर्ण रूप से बुझाया गया।</t>
  </si>
  <si>
    <t>आग यू0पी0 क्षेत्र की थी जिसकी क्षति का विवरा यू0पी0 द्वारा भरा जायेगा।</t>
  </si>
  <si>
    <t>ग्राम तुगडी थाना नानकमत्ता</t>
  </si>
  <si>
    <t>गेहुॅ की नरई में लगी आग को फायर यूनिट मण्डी सितारगंज की  फायर यूनिट द्वारा 01 हौज पाईप की सहायता से  पूर्ण रूप से बुझाया गया।</t>
  </si>
  <si>
    <t>नकुलिया वार्ड न0-01 सितारगंज</t>
  </si>
  <si>
    <t>भूसे व नरई में लगी आग को फायर यूनिट मण्डी सितारगंज की  फायर यूनिट द्वारा 01 हौज पाईप की सहायता से  पूर्ण रूप से बुझाया गया।</t>
  </si>
  <si>
    <t>उतसिया महोलिया जमनी फार्म सिसैया सितारगंज</t>
  </si>
  <si>
    <t>गेहुॅ की नरई में लगी आग को फायर यूनिट सिडकुल सितारगंज की  फायर यूनिट द्वारा 01 हौज पाईप की सहायता से  पूर्ण रूप से बुझाया गया।</t>
  </si>
  <si>
    <t xml:space="preserve">    शून्य</t>
  </si>
  <si>
    <t>एमकौर प्रा0लि0 सिडकुल सितारगंज</t>
  </si>
  <si>
    <t>बायलर में लगी आग को फायर यूनिट सिडकुल सितारगंज की  फायर यूनिट द्वारा 01 हौज पाईप की सहायता से  पूर्ण रूप से बुझाया गया।</t>
  </si>
  <si>
    <t>नकुलिया चौराह के पास सितारगंज</t>
  </si>
  <si>
    <t>एचपीसीएल सिडकुल सितारगंज</t>
  </si>
  <si>
    <t>गोझरिया पटिया झनकट खटीमा</t>
  </si>
  <si>
    <t>गोशाला व पुराल के ढेर में लगी आग को फायर मण्डी व खटीमा की  फायर यूनिटों  द्वारा 02 हौज पाईप की सहायता से  पूर्ण रूप से बुझाया गया।</t>
  </si>
  <si>
    <t xml:space="preserve">ग्राम बिछुआ बगिया नानकमत्ता </t>
  </si>
  <si>
    <t>गेहुॅ की नरई व झोपडी में लगी आग को फायर यूनिट मण्डी,फायर यूनिट सिडकुल सितारगंजव फायर यूनिट खटीमा की  फायर यूनिटों द्वारा 02 हौज पाईप व 01 हौज रील की सहायता से  पूर्ण रूप से बुझाया गया।</t>
  </si>
  <si>
    <t>रतनपुर झनकट खटीमा</t>
  </si>
  <si>
    <t>रोड में रखे पाईपों में लगी आग को फायर यूनिट मण्डी सितारगंज की  फायर यूनिट द्वारा 02 हौज पाईप की सहायता से  पूर्ण रूप से बुझाया गया।</t>
  </si>
  <si>
    <t>मलपुरी पीलीभीत रोड सितारगंज</t>
  </si>
  <si>
    <t>गेहुॅ की नरई में लगी आग को फायर यूनिट सिडकुल सितारगंज की  फायर यूनिट द्वारा 02 हौज पाईप की सहायता से  पूर्ण रूप से बुझाया गया।</t>
  </si>
  <si>
    <t>सरकडा चौकी सितारगंज</t>
  </si>
  <si>
    <t>भूसे में लगी आग को फायर यूनिट के पहुॅचने से पूर्व स्थानीय लोगों द्वारा  पूर्ण रूप से बुझाया दिया गया था। फायर यूनिट आधे रास्ते से वापस एफएस मण्डी उपस्थित हुई।</t>
  </si>
  <si>
    <t>ग्राम पंडरी लोसारी बाबा मजार के पास सितारगंज</t>
  </si>
  <si>
    <t>झाडियों में लगी आग को फायर यूनिट मण्डी सितारगंज की  फायर यूनिट द्वारा 03 हौज पाईप की सहायता से  पूर्ण रूप से बुझाया गया।</t>
  </si>
  <si>
    <t>लोहिया पुल खटीमा</t>
  </si>
  <si>
    <t>भूसे के ढेर में लगी आग को फायर यूनिट मण्डी सितारगंज व एफ एस खटीमा की यूनिटों द्वारा 02 हौज पाईप की सहायता से  पूर्ण रूप से बुझाया गया।</t>
  </si>
  <si>
    <t>मै0 श्री जी एग्रो फूड्स मलपुरी सितारगंज</t>
  </si>
  <si>
    <t>धान की भसी में लगी आग को फायर यूनिट मण्डी सितारगंज द्वारा 01 हौज पाईप की सहायता से  पूर्ण रूप से बुझाया गया।</t>
  </si>
  <si>
    <t>टोल टैक्स के पास खटीमा</t>
  </si>
  <si>
    <t>गेहुॅ की नरई में लगी आग को फायर यूनिट सिडकुल सितारगंज द्वारा 01 हौज पाईप की सहायता से  पूर्ण रूप से बुझाया गया।</t>
  </si>
  <si>
    <t>ग्राम नगला  नानकमत्ता</t>
  </si>
  <si>
    <t>गेहुॅ की नरई में लगी आग को फायर यूनिट सिडकुल सितारगंज द्वारा 03 हौज पाईप की सहायता से  पूर्ण रूप से बुझाया गया।</t>
  </si>
  <si>
    <t>झाडियों में लगी आग को फायर यूनिट सिडकुल सितारगंज द्वारा ब्रिटिंग मैथर्ड (पीट पाट कर) पूर्ण रूप से बुझाया गया।</t>
  </si>
  <si>
    <t>ग्राम बिरेन्द्रनगर  सितारगंज</t>
  </si>
  <si>
    <t>भूसे व गोबर के ढेर में लगी आग को फायर यूनिट मण्डी सितारगंज द्वारा 01 हौज पाईप की सहायता से  पूर्ण रूप से बुझाया गया।</t>
  </si>
  <si>
    <t>ग्राम टुकडी बिछुआ नानकमत्ता</t>
  </si>
  <si>
    <t>गेहुॅ की नरई में लगी आग को फायर यूनिट मण्डी सितारगंज द्वारा ब्रिटिंग मैथर्ड (पीट पाट कर) पूर्ण रूप से बुझाया गया।</t>
  </si>
  <si>
    <t>ग्राम भगोडी बिज्टी रोड सितारगंज</t>
  </si>
  <si>
    <t>भूसे के ढेरों में लगी आग को फायर यूनिट सिडकुल सितारगंज द्वारा 01 हौज पाईप की सहायता से पूर्ण रूप से बुझाया गया।</t>
  </si>
  <si>
    <t>ग्राम लोका सितारगंज</t>
  </si>
  <si>
    <t>झोपडी में लगी आग को फायर यूनिट मण्डी व सिडकुल सितारगंज की यूनिटों  द्वारा 02 हौज पाईपों की सहायता से पूर्ण रूप से बुझाया गया।</t>
  </si>
  <si>
    <t>ग्राम हल्दुआ सिसैया सितारगंज</t>
  </si>
  <si>
    <t>गेहुॅ की नरई में लगी आग को फायर यूनिट सिडकुल सितारगंज के पहुॅचने से पूर्व ग्राम वासियों द्वारा पूर्ण रूप से बुझाया गया।</t>
  </si>
  <si>
    <t>वार्ड न0-11 सितारगंज</t>
  </si>
  <si>
    <t>झाडियों में लगी आग को फायर यूनिट मण्डी सितारगंज द्वारा 01 हौल पाईप की सहायता से पूर्ण रूप से बुझाया गया।</t>
  </si>
  <si>
    <t xml:space="preserve">ट्रांजिट कैम्प </t>
  </si>
  <si>
    <t>शिमला बहादुर</t>
  </si>
  <si>
    <t>सम्भवतः शॉर्ट सर्किट</t>
  </si>
  <si>
    <t>कपड़े की दुकान में</t>
  </si>
  <si>
    <t>चाय की दुकान में</t>
  </si>
  <si>
    <t>किच्छा</t>
  </si>
  <si>
    <t>जनवाहर नगर नगला</t>
  </si>
  <si>
    <t>लापरवाही पूर्वक धूम्रपान</t>
  </si>
  <si>
    <t>सुन्दरपुर दिनेशपुर</t>
  </si>
  <si>
    <t>फुलसुंगा, रूद्रपुर</t>
  </si>
  <si>
    <t>सम्भवतः नाल जलाने के कारण</t>
  </si>
  <si>
    <t>होटल सागर रूद्रपुर</t>
  </si>
  <si>
    <t>होटल में</t>
  </si>
  <si>
    <t>आग को यूनिट के पहुॅचने से पूर्व ही बुझा लिया गया था।</t>
  </si>
  <si>
    <t>सुभाष कॉलोनी रूद्रपुर</t>
  </si>
  <si>
    <t>सरकारी क्वार्टर पुलिस लाईन</t>
  </si>
  <si>
    <t>लापरवाही धूम्रपान</t>
  </si>
  <si>
    <t>किच्छा रोड रूद्रपुर</t>
  </si>
  <si>
    <t>नालन्दा स्कूल देवरिया</t>
  </si>
  <si>
    <t>रोजवुड अपार्टमेंट रूद्रपुर</t>
  </si>
  <si>
    <t>महाराजपुर किच्छा</t>
  </si>
  <si>
    <t xml:space="preserve">नाल जलाने से </t>
  </si>
  <si>
    <t>पशुपालन विभाग के पीछे</t>
  </si>
  <si>
    <t>लॉ कॉलेज काशीपुर रोड रूद्रपुर के पास</t>
  </si>
  <si>
    <t>शुक्ला फॉर्म के पास</t>
  </si>
  <si>
    <t xml:space="preserve">चाय की दुकान में </t>
  </si>
  <si>
    <t>धनपुर</t>
  </si>
  <si>
    <t>मकान में रखे भूसे में</t>
  </si>
  <si>
    <t>बागवाला</t>
  </si>
  <si>
    <t>नाल जलाने के कारण</t>
  </si>
  <si>
    <t>बिन्दुखेड़ा</t>
  </si>
  <si>
    <t>सम्भवतः बिजली के पोल से हुए शॉर्ट सर्किट</t>
  </si>
  <si>
    <t>लालपुर</t>
  </si>
  <si>
    <t>वसुन्धरा कॉलोनी किच्छा</t>
  </si>
  <si>
    <t xml:space="preserve">बिन्दुखेड़ा </t>
  </si>
  <si>
    <t xml:space="preserve">कबाड़ में </t>
  </si>
  <si>
    <t>वसुन्धरा कॉलानी किच्छा</t>
  </si>
  <si>
    <t>कूड़े के ढेर मंे</t>
  </si>
  <si>
    <t>सरोवरनगर</t>
  </si>
  <si>
    <t>कुन्दननगर</t>
  </si>
  <si>
    <t>पहाड़गंज</t>
  </si>
  <si>
    <t>केशवगढ़</t>
  </si>
  <si>
    <t>सम्भवतः नाल जलाने से</t>
  </si>
  <si>
    <t>गिद्धपुरी किच्छा</t>
  </si>
  <si>
    <t>नाल जलाने से</t>
  </si>
  <si>
    <t xml:space="preserve">बिछुवा गाँव इण्डटर कॉलेज किच्छा </t>
  </si>
  <si>
    <t>महतोष गदरपुर</t>
  </si>
  <si>
    <t>ट्रेजरी तिराहा क्षेत्र रू्रदपुर</t>
  </si>
  <si>
    <t xml:space="preserve">झाड़ी में </t>
  </si>
  <si>
    <t>विशाल मेगा मार्ट के पास</t>
  </si>
  <si>
    <t>गदरपुर केशवपुर</t>
  </si>
  <si>
    <t xml:space="preserve">गेहूँ के खेत मेे </t>
  </si>
  <si>
    <t>भूरारानी के पास</t>
  </si>
  <si>
    <t>किच्छा बाईपास काली मन्दिर के पास</t>
  </si>
  <si>
    <t xml:space="preserve">किच्छा बिजली घर परिससर में </t>
  </si>
  <si>
    <t>काली मन्दिर हल्द्वानी बाईपास किच्छा</t>
  </si>
  <si>
    <t>लापरवाही पूर्वक धम्रपान</t>
  </si>
  <si>
    <t>हाईडिल के पाास किच्छा</t>
  </si>
  <si>
    <t>बन्डिया भट्टा वार्ड नं-05</t>
  </si>
  <si>
    <t>सम्भवतः जलते दीये से</t>
  </si>
  <si>
    <t>झोपड़ी में</t>
  </si>
  <si>
    <t>वसुन्धरा फार्म हाडस</t>
  </si>
  <si>
    <t>धूम्रपान</t>
  </si>
  <si>
    <t>चामुण्डा मन्दिर ट्रंाजिट कैम्प</t>
  </si>
  <si>
    <t>अमरपुर</t>
  </si>
  <si>
    <t xml:space="preserve">ग्रीन पार्क में </t>
  </si>
  <si>
    <t>बेनी मजार किच्छा</t>
  </si>
  <si>
    <t>राधास्वामी सत्संग के  पास</t>
  </si>
  <si>
    <t>पेन्ट की दुकान में</t>
  </si>
  <si>
    <t>ट्रांजिट कैम्प हनुमान मन्दिर</t>
  </si>
  <si>
    <t>चक्की मोड़ कुल्हा</t>
  </si>
  <si>
    <t>बालखेड़ा</t>
  </si>
  <si>
    <t xml:space="preserve">भूसे में </t>
  </si>
  <si>
    <t>गुलरभोज डैम के पास</t>
  </si>
  <si>
    <t>घर मंे</t>
  </si>
  <si>
    <t>मोतीपुरा हाईवे</t>
  </si>
  <si>
    <t>सफाई हेतु</t>
  </si>
  <si>
    <t xml:space="preserve">गेहू की नाल में </t>
  </si>
  <si>
    <t xml:space="preserve">बाटा चौराहा रूद्रपुर </t>
  </si>
  <si>
    <t>ट्रान्सफार्मर में</t>
  </si>
  <si>
    <t>फतेहगंज गदरपुर</t>
  </si>
  <si>
    <t>सम्भवतः असावधानी पूर्वक धूम्रपान</t>
  </si>
  <si>
    <t xml:space="preserve">गेहूॅ के खेत में </t>
  </si>
  <si>
    <t xml:space="preserve">गंगापुर रोड रूद्रपुर  </t>
  </si>
  <si>
    <t>अमृत हॉस्पिटल के निकट</t>
  </si>
  <si>
    <t>सम्भवतः असावधानीपूर्वक धूम्रपान</t>
  </si>
  <si>
    <t>पुलिस लाईन के निकट</t>
  </si>
  <si>
    <t>खेत में</t>
  </si>
  <si>
    <t xml:space="preserve">रम्पुरा रूद्रपुर </t>
  </si>
  <si>
    <t>सिलेण्डर की आग</t>
  </si>
  <si>
    <t>पायलेट कम्पनी सैक्टर-06 के निकट झाड़ियों में लगी आग</t>
  </si>
  <si>
    <t>पार्ले कम्पनी सैक्टर 02- के निकट झाड़ियों में लगी आग</t>
  </si>
  <si>
    <t>मै0 ईण्डियन इंक सैक्टर-07 की मिक्सचर मषीन में लगी आग</t>
  </si>
  <si>
    <t>सम्भवतः शार्ट सर्किट से लगी आग</t>
  </si>
  <si>
    <t>मिक्सचर मशीन में लगी आग</t>
  </si>
  <si>
    <t>हल्दी निकट पन्तनगर यूनिवर्सिटी के पास झाड़ियों में लगी आग</t>
  </si>
  <si>
    <t>विकास भवन के पास झाड़ियों में लगी आग</t>
  </si>
  <si>
    <t xml:space="preserve"> पी0एम0बी0 माल्टिंग प्रा0 लि0  महुआखेडागंज काशीपुर </t>
  </si>
  <si>
    <t xml:space="preserve">सम्भवतः विद्युत शॉर्ट सर्किट के द्वारा।   </t>
  </si>
  <si>
    <t xml:space="preserve">फैक्ट्री के एल0टी0 रूम मे। </t>
  </si>
  <si>
    <t xml:space="preserve">सांई घाम कॉलोनी  जसपुर खुर्द्व काशीपुर </t>
  </si>
  <si>
    <t xml:space="preserve">मोहल्ला गिरीताल वार्ड नं0-34 काशीपुर </t>
  </si>
  <si>
    <t>गार्डन की झोपडी मे।</t>
  </si>
  <si>
    <t xml:space="preserve">सुन्दर कॉलोनी ग्राम गुल्जार पुर काशीपुर </t>
  </si>
  <si>
    <t xml:space="preserve">कावा नेचुरल महुआखेडांज फैस-2 के पिछे काशीपुर  </t>
  </si>
  <si>
    <t>झाडियो  मे</t>
  </si>
  <si>
    <t>तहसील काशीपुर परिसर मे काशीपुर</t>
  </si>
  <si>
    <t xml:space="preserve">एडवोकेट के चेम्बर  मे </t>
  </si>
  <si>
    <t xml:space="preserve">कण्डेश्वरी रोड मल्टीवाल पेपर मिल के पास काशीपुर </t>
  </si>
  <si>
    <t xml:space="preserve">शंकरपुरी कॉलोनी नियर गोतमी हाईड्स होटल के पास काशीपुर </t>
  </si>
  <si>
    <t xml:space="preserve">बाली फार्म कुडेश्वरी रोड काशीपुर </t>
  </si>
  <si>
    <t xml:space="preserve">द्रोणासागर टीले काशीपुर </t>
  </si>
  <si>
    <t>सम्भवतः राहगीरो द्वारा लापरवाही से धुम्रपान केद्वारा</t>
  </si>
  <si>
    <t xml:space="preserve">झाडियो में। </t>
  </si>
  <si>
    <t>जल निगम कार्या0 मुरादाबाद रोड  काशीपुर</t>
  </si>
  <si>
    <t xml:space="preserve">सम्भवतः राहगीरो द्वारा लापरवाही से </t>
  </si>
  <si>
    <t xml:space="preserve">मोहल्ला गंज बद्री भवन रोड काशीपुर </t>
  </si>
  <si>
    <t>सम्भवतः नसेडी व्यक्ति द्वारा लापरवाही के कारण</t>
  </si>
  <si>
    <t xml:space="preserve"> घर मे </t>
  </si>
  <si>
    <t xml:space="preserve">आर्य नगर काशीपुर </t>
  </si>
  <si>
    <t>विद्युत पोल मे।</t>
  </si>
  <si>
    <t>जसपुर खुर्द्व काशीपुर</t>
  </si>
  <si>
    <t>झाडियो मे।</t>
  </si>
  <si>
    <t>धीमरखेडा जोशी मझरा काशीपुर।</t>
  </si>
  <si>
    <t>झाडियो</t>
  </si>
  <si>
    <t>नगर निगम डम्पिंग यार्ड कचनाल गाजी  काशीपुर</t>
  </si>
  <si>
    <t xml:space="preserve">कुडे ढेर  मे </t>
  </si>
  <si>
    <t xml:space="preserve">प्रकाश रेजिडेन्सी के पास मानपुर रोड काशीपुर </t>
  </si>
  <si>
    <t>झाडियों में।</t>
  </si>
  <si>
    <t>भारत ट्रेडिंग कम्पनी बालाजी इइंडस्ट्रियल एस्टेट प्लाट नं0-37महुआखेडागंज   काशीपुर</t>
  </si>
  <si>
    <t>सम्भवतः विद्युत शॉट सर्किट से</t>
  </si>
  <si>
    <t>औद्योगिक संस्थान मे।</t>
  </si>
  <si>
    <t>ढकिया गुलाबो छीना फार्म के पास काशीपुर</t>
  </si>
  <si>
    <t xml:space="preserve">ग्राम- नन्दपुर नरकाटोपा   बाजपुर </t>
  </si>
  <si>
    <t>रिहायसी</t>
  </si>
  <si>
    <t xml:space="preserve">शुगर मिल  बाजपुर </t>
  </si>
  <si>
    <t xml:space="preserve">वेस्टेज मैली  मे </t>
  </si>
  <si>
    <t xml:space="preserve">ग्राम-बिरहा  बाजपुर </t>
  </si>
  <si>
    <t xml:space="preserve">भूसे  मे </t>
  </si>
  <si>
    <t xml:space="preserve">शुगर मिल बाजपुर </t>
  </si>
  <si>
    <t>वेस्टेज मैली मे।</t>
  </si>
  <si>
    <t>ग्राम- रतनपुरा  बाजपुर</t>
  </si>
  <si>
    <t xml:space="preserve">घरेलू झोपडी मे </t>
  </si>
  <si>
    <t>शुगर मिल बाजपुर</t>
  </si>
  <si>
    <t xml:space="preserve">सम्भवतराहगीरो द्वारा लापरवाही से धुम्रपान के द्वारा।   </t>
  </si>
  <si>
    <t>दोराहा बाजपुर</t>
  </si>
  <si>
    <t xml:space="preserve">केशोवाला नैनीताल </t>
  </si>
  <si>
    <t>जियो टावर के मीटर मे।</t>
  </si>
  <si>
    <t>बैक के सामने ।</t>
  </si>
  <si>
    <t>ग्राम- मुडिया कला बाजपुर।</t>
  </si>
  <si>
    <t xml:space="preserve"> विद्युत पोल मे।</t>
  </si>
  <si>
    <t>संजय कॉलोनी बाजपुर</t>
  </si>
  <si>
    <t xml:space="preserve">विद्युत ट्रास्फॉमर  मे </t>
  </si>
  <si>
    <t xml:space="preserve">दरोगा फॉर्म धर्मपुर जनपद रामपुर उत्तर प्रदेश </t>
  </si>
  <si>
    <t>लाल कुआ स्टोन क्रेशर बन्नाखेडा बाजपुर</t>
  </si>
  <si>
    <t xml:space="preserve">सम्भवत राहगीरो द्वारा लापरवाही से धुम्रपान के द्वारा।   </t>
  </si>
  <si>
    <t>अमर मेरिज पैलेस  बरहैनी रोड बाजपुर</t>
  </si>
  <si>
    <t xml:space="preserve"> मेरिज पेलेस मे</t>
  </si>
  <si>
    <t>बेरिय रोड प्रकाश फैक्ट्री के पास बाजपुर</t>
  </si>
  <si>
    <t>आग बुझ जाने की सूचना पर फायर यूनिट आधे रस्ते से वापस फायर स्टेशन उपस्थित हुएद्य</t>
  </si>
  <si>
    <t>झाड़ियोध् विधुत केबिल   में</t>
  </si>
  <si>
    <t xml:space="preserve">कबाड़ध् झाड़ियो में </t>
  </si>
  <si>
    <t>गेहुॅ की नरई में लगी आग को फायर यूनिट के द्वारा 01 हौज पाईप की सहायता से पूर्ण रूप से बुझाया गया।</t>
  </si>
  <si>
    <t>ग्राम खैरना सितारगंज</t>
  </si>
  <si>
    <t>गेहुॅ की नरई में लगी आग को फायर यूनिट के द्वारा पीट पाट कर पूर्ण रूप से बुझाया गया।</t>
  </si>
  <si>
    <t>एचपीसीएल डिपो सिडकुल सितारगंज</t>
  </si>
  <si>
    <t>झाडियों में लगी आग को फायर यूनिट के द्वारा पीट पाट कर पूर्ण रूप से बुझा दिया गया था।</t>
  </si>
  <si>
    <t>ग्राम गगनपुर सितारगंज</t>
  </si>
  <si>
    <t>गेहुॅ की नरई में लगी आग को फायर यूनिट के द्वारा  पीट पाट कर  पूर्ण रूप से बुझाया गया।</t>
  </si>
  <si>
    <t>झाडियों मे लगी आग को फायर यूनिट के द्वारा 02 हौज पाईप की सहायता से पूर्ण रूप से बुझाया गया।</t>
  </si>
  <si>
    <t>झाडियों मे लगी आग को फायर यूनिट के द्वारा बीटिंग मैर्थड की सहायता से पीट पाट कर पूर्ण रूप से बुझाया गया।</t>
  </si>
  <si>
    <t>ग्राम सिद्वानवोदिया नानकमत्ता</t>
  </si>
  <si>
    <t>पेड मे लगी आग को फायर यूनिट मण्डी सितारगंज के द्वारा 01 हौज पाईप की सहायता से पूर्ण रूप से बुझाया गया।</t>
  </si>
  <si>
    <t>खटीमा रोड  ग्राम सिद्वानवोदिया के पास हाईवे में</t>
  </si>
  <si>
    <t>सम्भवतः  शार्ट सर्किट के कारण</t>
  </si>
  <si>
    <t>वाहन (छोटा हाथी) में लगी आग को फायर यूनिट मण्डी सितारगंज के द्वारा 01 हौज पाईप की सहायता से पूर्ण रूप से बुझाया गया।</t>
  </si>
  <si>
    <t>महाराणा प्रताप चौक के पास सितारगंज</t>
  </si>
  <si>
    <t>झाडियों में लगी आग को फायर यूनिट मण्डी सितारगंज के पहुॅचने से पूर्व ही स्थानीय लोगों द्वारा पूर्ण रूप से बुझा दिया गया था।</t>
  </si>
  <si>
    <t>थाना नानकमत्ता के पास में।</t>
  </si>
  <si>
    <t>सम्भवतः  शार्ट सर्किट  के कारण</t>
  </si>
  <si>
    <t>सब्जी की दुकान में लगी आग को फायर यूनिट मण्डी के पहुॅचने से पूर्व ही स्थानीय लोगों द्वारा पूर्ण रूप से बुझा दिया गया था।</t>
  </si>
  <si>
    <t>सिडकुल रोड सितारगंज</t>
  </si>
  <si>
    <t>बिजली के ट्रासंफार्मर में लगी आग को फायर यूनिट मण्डी सितारगंज के पहुॅचने से पूर्व ही स्थानीय लोगों द्वारा पूर्ण रूप से बुझा दिया गया था।</t>
  </si>
  <si>
    <t>मैट्रोपॉलिस सिटी रूद्रपुर के सामने  झाड़ियों मे लगी आग।</t>
  </si>
  <si>
    <t>ऑटोकॉम पान्से कम्पनी के निकट झाड़ियों में लगी आग</t>
  </si>
  <si>
    <t>नेस्ले कम्पनी के निकट ट्रक पार्किंग के पास झाड़ियों मे लगी आग</t>
  </si>
  <si>
    <t xml:space="preserve">अज्ञात कारणों से </t>
  </si>
  <si>
    <t>सिंगला फोर्जिंग फैक्ट्री के पीछे लगी आग</t>
  </si>
  <si>
    <t>ल्युमिनस कम्पनी के पीछे झाड़ियों में लगी आग</t>
  </si>
  <si>
    <t>दिनेषपुर भूरारानी रोड के निकट गेहू की नाल में  लगी आग</t>
  </si>
  <si>
    <t>गेहू के खेत में नाल मे लगी आग</t>
  </si>
  <si>
    <t>बेलराईज कम्पनी सेक्टर-09 के निकट झाड़ियों मे लगी आग</t>
  </si>
  <si>
    <t>बिजली के पोल मे लगे जम्पर में शार्ट सर्किट से लगी आग</t>
  </si>
  <si>
    <t>ओमेगा आइस हिल कम्पनी सैक्टर-04  के निकट झाड़ियों मे लगी आग</t>
  </si>
  <si>
    <t>बिजली के पोल मे में शार्ट सर्किट से लगी आग</t>
  </si>
  <si>
    <t>डीएम आवास के निकट के निकट झाड़ियों मे लगी आग</t>
  </si>
  <si>
    <t>ग्राम . मुडेली</t>
  </si>
  <si>
    <t>ग्राम .टेडाघाट</t>
  </si>
  <si>
    <t>ग्राम दृकुमराह</t>
  </si>
  <si>
    <t xml:space="preserve">ग्राम दृलोहियाहेड रोड </t>
  </si>
  <si>
    <t>चिन्दा मेडिकल स्टोर खटीमा ;बैनरद्ध में</t>
  </si>
  <si>
    <t>ग्राम दृचन्दा चौराहा चारूबेटा</t>
  </si>
  <si>
    <t>ग्राम दृफाइबर कंपनी खटीमा</t>
  </si>
  <si>
    <t>ग्राम दृलोहियाहैड रोड</t>
  </si>
  <si>
    <t>50ए000</t>
  </si>
  <si>
    <t xml:space="preserve">किच्छा </t>
  </si>
  <si>
    <t>कलकत्ता चौकी के सामने</t>
  </si>
  <si>
    <t>भूसे की ट्रॉली में</t>
  </si>
  <si>
    <t xml:space="preserve">पवनपुर सकैनिया </t>
  </si>
  <si>
    <t>घटना स्थल पर पहुँचने से पूर्व ही आग बुझ जाने की सूचना प्राप्त हुई</t>
  </si>
  <si>
    <t>ग्राम-अलखदेव गदरपुर</t>
  </si>
  <si>
    <t>ग्राम-कैसलपुर सकैनिया</t>
  </si>
  <si>
    <t>ढाबा फार्म निकट पिपलिया चौराहा</t>
  </si>
  <si>
    <t>गेहूँ की नाल में</t>
  </si>
  <si>
    <t xml:space="preserve">भैसिया मोड़ गदरपुर, एक्सिस बैंक के पास </t>
  </si>
  <si>
    <t>आजादनगर सुनहरा फार्म वार्ड नं0-02</t>
  </si>
  <si>
    <t>भूसे के गोदाम में</t>
  </si>
  <si>
    <t>पनचक्की किच्छा</t>
  </si>
  <si>
    <t xml:space="preserve">गेहूँ की नाल में </t>
  </si>
  <si>
    <t>लालपुर चौकी हाईवे पेट्रोलपम्प के पास</t>
  </si>
  <si>
    <t>दिनेशपुर</t>
  </si>
  <si>
    <t xml:space="preserve">कॉलर के फोन पर सम्पर्क करने पर फोन बन्द पाया। </t>
  </si>
  <si>
    <t>आग न मिलने के कारा वापस आये</t>
  </si>
  <si>
    <t>सिसई मोहल्ला किच्छा</t>
  </si>
  <si>
    <t>मुकन्दपुर</t>
  </si>
  <si>
    <t>कॉलर के फोन पर सम्पर्क करने पर फोन बन्द पाया।</t>
  </si>
  <si>
    <t>आग न मिलने के कारा वापस आये।</t>
  </si>
  <si>
    <t>ट्रांजिट कैम्प, कृष्णा कॉलोनी ग्रीन वैली स्कूल के पास</t>
  </si>
  <si>
    <t>आदर्श कॉलानी रूद्रपुर</t>
  </si>
  <si>
    <t xml:space="preserve">सम्भवतः गैस रिसाव के कारण </t>
  </si>
  <si>
    <t xml:space="preserve">घरेलू सिलेण्डर में </t>
  </si>
  <si>
    <t xml:space="preserve">पुड़ा गाँव किच्छा में </t>
  </si>
  <si>
    <t xml:space="preserve">सेंटमैरी स्कूल गंगापुर रोड के पास </t>
  </si>
  <si>
    <t xml:space="preserve">आवास-विकास एल0आई0सी0 ऑफिस के पास </t>
  </si>
  <si>
    <t>सम्भतः शॉर्ट सर्किट</t>
  </si>
  <si>
    <t>फायर यूनिट के पहुँचने से पूर्व ही बुझ गयी थी</t>
  </si>
  <si>
    <t>पंजाब नैशनल बैंक के पास ट्रांसफार्मर के नीचे</t>
  </si>
  <si>
    <t>सम्भवः शॉर्ट सर्किट</t>
  </si>
  <si>
    <t>झाड़ियों मंे</t>
  </si>
  <si>
    <t>पंचवटी विला किरतपुर रूद्रपुर</t>
  </si>
  <si>
    <t>रूद्रा कॉन्टीनेन्टल में</t>
  </si>
  <si>
    <t xml:space="preserve">बिजली के तारोें में </t>
  </si>
  <si>
    <t>किच्छा बस स्टेण्ड से रूद्रपुर रोड में 100 मीटर आगे</t>
  </si>
  <si>
    <t>भगवानपुर आर0आई0टी0 कॉलेज के पास</t>
  </si>
  <si>
    <t>ट्रेन्चिग ग्राउण्ड</t>
  </si>
  <si>
    <t>डपी फार्म/इस्लाम फार्म कलकत्ता फार्म किच्छा</t>
  </si>
  <si>
    <t xml:space="preserve">कोठी में </t>
  </si>
  <si>
    <t>रूद्रपुर सिटी रेलवे के पास चीमा कॉलोनी रूद्रपुर</t>
  </si>
  <si>
    <t xml:space="preserve">खाली प्लॉट में </t>
  </si>
  <si>
    <t xml:space="preserve">पाँच मन्दिर रूद्रपुर, नगरपालिका मार्केट में </t>
  </si>
  <si>
    <t xml:space="preserve">गाड़ी में (स्थानीय लोगों द्वारा आग को पूर्ण रूप से बुझा लिया गया था) </t>
  </si>
  <si>
    <t>बाबा दीप तराई सीडस प्लांट निकट बगवाड़ा</t>
  </si>
  <si>
    <t>ग्राम-कुरैया, दरऊ</t>
  </si>
  <si>
    <t>भूसे के ढेर मंे</t>
  </si>
  <si>
    <t>ए0एल0पी0 एयरोप्लैक्स इण्डिया प्रा0 लि0 तीन पानी रूद्रपुर</t>
  </si>
  <si>
    <t>3ए00ए000</t>
  </si>
  <si>
    <t xml:space="preserve">माधव कुंज राधे कॉलोनी नियर कलश मण्डप काशीपुर  </t>
  </si>
  <si>
    <t>वाधावा ग्रीन रिसोर्ट दडियाल रोड काशीपुर</t>
  </si>
  <si>
    <t>भूसे के ढेर मे</t>
  </si>
  <si>
    <t>नगर निगम डम्पिग यार्ड कचनाल गाजी काशीपुर</t>
  </si>
  <si>
    <t xml:space="preserve">कुडे के ढेर  मे </t>
  </si>
  <si>
    <t xml:space="preserve">दारा काहलो सर्विस सेन्टर बाजपुर बस अड्डा नियर आवास विकास काशीपुर </t>
  </si>
  <si>
    <t>ग्राम वीरपुर महुआखेडागंज काशीपुर</t>
  </si>
  <si>
    <t>भुसे के ढेरो  मे।</t>
  </si>
  <si>
    <t>फुड फोर डयुड रेस्टोरेन्ट रामनगर रोड काशीपुर</t>
  </si>
  <si>
    <t xml:space="preserve">सम्भवतः  फ्रीज के कम्प्रेशर मे विद्युत शॉट सर्किट के कारण।  </t>
  </si>
  <si>
    <t>ग्राम गिरधई मुन्शी अलीगंज रोड काशीपुर</t>
  </si>
  <si>
    <t>भूसे के बुग्गो  मे</t>
  </si>
  <si>
    <t>न्यू आवास विकास सी ब्लॉक काशीपुर</t>
  </si>
  <si>
    <t>मुरादाबाद रोड नियर पूर्णागिरी फ्यूल पैट्रोल पम्प काशीपुर</t>
  </si>
  <si>
    <t>महाराणा प्रताप चौक काशीपुर</t>
  </si>
  <si>
    <t xml:space="preserve">विद्युत ट्रॉसफार्मर मे </t>
  </si>
  <si>
    <t>कलश मण्डप कशीपुर।</t>
  </si>
  <si>
    <t>हरीनगर ढकिया नं0- 01 कुण्डेश्वरी रोड काशीपुर।</t>
  </si>
  <si>
    <t xml:space="preserve">लकडियो के ढेर में। </t>
  </si>
  <si>
    <t>जसपुर खुर्द्व वार्ड नं0-3 काशीपुर</t>
  </si>
  <si>
    <t xml:space="preserve">सम्भवतः राख मे स्वतः आग सुलगने के कारण से </t>
  </si>
  <si>
    <t xml:space="preserve">भरान की राख में। </t>
  </si>
  <si>
    <t xml:space="preserve">शिवलालपुर डललू बार्ड नं0-07 कुण्डेश्वरी काशीपुर </t>
  </si>
  <si>
    <t xml:space="preserve">सम्भवतः अज्ञात व्यक्ति द्वारा </t>
  </si>
  <si>
    <t xml:space="preserve"> गोशाला डेरी मे </t>
  </si>
  <si>
    <t>पिपलिया बिजली घर के पास सुल्तानपुर पट्टी बाजपुर।</t>
  </si>
  <si>
    <t xml:space="preserve">धन लक्ष्मी पेपर मिल नरखेडा बाजपुर। शुगर मिल  बाजपुर </t>
  </si>
  <si>
    <t xml:space="preserve">सम्भवतअज्ञात व्यक्ति द्वारा  घुम्रपान के कारण।         </t>
  </si>
  <si>
    <t>वाहन के अन्दर रखे बिस्तर</t>
  </si>
  <si>
    <t xml:space="preserve">दोराहा रोड गन्दा नाला के पास बाजपुर </t>
  </si>
  <si>
    <t xml:space="preserve">ट्रक  मे </t>
  </si>
  <si>
    <t>ग्राम दियोहारी फार्म नमूना बरैहनी बाजपुर ।</t>
  </si>
  <si>
    <t>ग्राम गुमसानी बाजपुर।</t>
  </si>
  <si>
    <t>सम्भवत आन्तरिक कम्बश्चन के कारण</t>
  </si>
  <si>
    <t xml:space="preserve">भूसे के ढेर व झोपडी मे </t>
  </si>
  <si>
    <t>रेडीको खेतान सुल्तानपुर पट्टी बाजपुर।</t>
  </si>
  <si>
    <t xml:space="preserve">क्रिस्पी हैकर रेस्ट्रोरेन्ट बाजपुर </t>
  </si>
  <si>
    <t xml:space="preserve">जनरेन्टर मे </t>
  </si>
  <si>
    <t>निकट षिवालय हल्दी पन्तनगर यूनिवर्सिटी के निकट घर में लगी आग</t>
  </si>
  <si>
    <t>संभवतः शार्ट सर्किट से</t>
  </si>
  <si>
    <t>घर में रखे बिस्तर एवं सामान में</t>
  </si>
  <si>
    <t>शिवानी लॉक्स के  निकट झाड़ियों में लगी आग</t>
  </si>
  <si>
    <t>स्पोर्टस् स्टेडियम के पास झाड़ियों मे लगी आग</t>
  </si>
  <si>
    <t>मैट्रोपॉलिस सिटी रेजिडेन्सियल सोसायटी के निकट झाड़ियों में लगी आग</t>
  </si>
  <si>
    <t>जिला न्यायालय के निकट झाड़ियों मे लगी आग</t>
  </si>
  <si>
    <t>लान्सर कम्पनी सेक्टर-01 के निकट झाड़ियों मे लगी आग</t>
  </si>
  <si>
    <t xml:space="preserve">संजय वन टाण्डा रेन्ज नैनीताल रोड के निकट गाड़ी में लगी आग </t>
  </si>
  <si>
    <t xml:space="preserve">वोल्क्स वैगन की वेन्टों कार में लगी आग </t>
  </si>
  <si>
    <t xml:space="preserve">ग्राम दृ कंजाबाग </t>
  </si>
  <si>
    <t>ग्राम .पन्था</t>
  </si>
  <si>
    <t>ग्राम दृखेलड़िया</t>
  </si>
  <si>
    <t>ग्राम दृ चकरपुर</t>
  </si>
  <si>
    <t>ग्राम दृ सजना पटपुरा</t>
  </si>
  <si>
    <t>ग्राम दृ नगलातराई</t>
  </si>
  <si>
    <t>रेलवे स्टेशन रूद्रपुर के निकट झाड़ियो में</t>
  </si>
  <si>
    <t xml:space="preserve">पहाड़गंज रूद्रपुर </t>
  </si>
  <si>
    <t>सूपर गैस एजेन्सी फुलसुंगी रूद्रपुर के निकट</t>
  </si>
  <si>
    <t>आदर्श कॉलोनी रूद्रपुर के निकट</t>
  </si>
  <si>
    <t>विद्युत पोल में</t>
  </si>
  <si>
    <t>मैडिसिटी हॉस्पिटल के निकट</t>
  </si>
  <si>
    <t>कबाडियों के गोदाम में</t>
  </si>
  <si>
    <t>शमशान घाट रोड रूद्रपुर जन्मभूमि स्कूल के निकट</t>
  </si>
  <si>
    <t xml:space="preserve">आजादनगर ट्रांजिट कैम्प में </t>
  </si>
  <si>
    <t>मॉडल कॉलोनी गली नं0 01</t>
  </si>
  <si>
    <t xml:space="preserve">सम्भवतः शार्ट सर्किट </t>
  </si>
  <si>
    <t>कपड़े के गोदाम में</t>
  </si>
  <si>
    <t>आवास विकास रूद्रपुर निकट कृष्णा गैस एजेन्सी रूद्रपुर</t>
  </si>
  <si>
    <t>शिमला पिस्तौर तुल्सी द्वार के निकट</t>
  </si>
  <si>
    <t xml:space="preserve">31 वीं वाहिनी पी0ए0सी0 के सामने </t>
  </si>
  <si>
    <t>ग्रीन पार्क के निकट घर में</t>
  </si>
  <si>
    <t xml:space="preserve">स्थानीय लोगों द्वारा पूर्व मे ही बुझाया गया </t>
  </si>
  <si>
    <t>स्थानीय लोगों द्वारा पूर्व मे ही बुझाया गया</t>
  </si>
  <si>
    <t>मेन मार्केट रूद्रपुर मिडटाउन होटल के निकट</t>
  </si>
  <si>
    <t>प्रेमनगर गदरुप</t>
  </si>
  <si>
    <t>भूसे में</t>
  </si>
  <si>
    <t>पथ्थरपुरी गदरपुर</t>
  </si>
  <si>
    <t>सिलेण्डर में (स्थानीय लोगों द्वारा आग को पूर्ण रूप से बुझा लिया गया था)</t>
  </si>
  <si>
    <t>स्थानीय लोगों द्वारा आग को र्पूा रूप से बुझा लिया गया था)</t>
  </si>
  <si>
    <t xml:space="preserve">आनन्दपुर किच्छा में </t>
  </si>
  <si>
    <t>हाइडिल किच्छा</t>
  </si>
  <si>
    <t>ग्राम बरी में</t>
  </si>
  <si>
    <t xml:space="preserve">आनन्दपुर किच्छा </t>
  </si>
  <si>
    <t>कठंगडी मोड सितारगंज</t>
  </si>
  <si>
    <t>कार में लगी आग को फायर यूनिट के द्वारा 01 हौज पाईप की सहायता से पूर्ण रूप से बुझाया गया।</t>
  </si>
  <si>
    <t>संजोग गार्डन के पास सितारगंज</t>
  </si>
  <si>
    <t>झाडियों में लगी आग को फायर यूनिट के द्वारा 01 हौज पाईप की सहायता पूर्ण रूप से बुझाया गया।</t>
  </si>
  <si>
    <t>झाडियों में लगी आग को फायर यूनिट के द्वारा 01 हौज पाईप की सहायता पूर्ण रूप से बुझा दिया गया था।</t>
  </si>
  <si>
    <t>बिज्टी रोड सितारगंज</t>
  </si>
  <si>
    <t>सम्भवतः  ओवरहीट  के कारण</t>
  </si>
  <si>
    <t>राईस मिल के ड्रायर में लगी आग को फायर यूनिट के द्वारा  01 हौज पाईप की सहायता  पूर्ण रूप से बुझाया गया।</t>
  </si>
  <si>
    <t>वार्ड न0 12  सितारगंज</t>
  </si>
  <si>
    <t>कबाड मे लगी आग को फायर यूनिट के द्वारा 01 हौज पाईप की सहायता से पूर्ण रूप से बुझाया गया।</t>
  </si>
  <si>
    <t>वेद गैसेज प्रा0लि0 सिडकुल सितारगंज</t>
  </si>
  <si>
    <t>झाडियों मे लगी आग को फायर यूनिट के द्वारा 01 हौज पाईप की सहायता से पूर्ण रूप से बुझाया गया।</t>
  </si>
  <si>
    <t>नगर पालिका कार्यालय के पास सितारगंज</t>
  </si>
  <si>
    <t>कुडे के ढेर में लगी आग को फायर यूनिट मण्डी व फायर यूनिट सिडकुल सितारगंज के द्वारा 04 हौज पाईप की सहायता से पूर्ण रूप से बुझाया गया।</t>
  </si>
  <si>
    <t>कुडे के ढेर में लगी आग को फायर यूनिट मण्डी व फायर यूनिट सिडकुल सितारगंज के द्वारा 03 हौज पाईप की सहायता से पूर्ण रूप से बुझाया गया।</t>
  </si>
  <si>
    <t>ग्राम तपेडा नानकमत्ता</t>
  </si>
  <si>
    <t>राठौर लघु उधोग में प्लास्टिक दाने लगी आग को फायर यूनिट मण्डी द्वारा 01 हौज पाईप की सहायता से पूर्ण रूप से बुझाया गया।</t>
  </si>
  <si>
    <t>ग्राम बघौरी सितारगंज</t>
  </si>
  <si>
    <t>खेत में रखी लकडी व पेडों में लगी आग को फायर यूनिट मण्डी सितारगंज द्वारा 01 हौज पाईप की सहायता से पूर्ण रूप से बुझाया गया।</t>
  </si>
  <si>
    <t>ग्राम मलपुरी सितारगंज</t>
  </si>
  <si>
    <t>राईस मिल में रखी धान की भूसी में लगी आग को फायर यूनिट मण्डी सितारगंज द्वारा 01 हौज पाईप की सहायता से पूर्ण रूप से बुझाया गया।</t>
  </si>
  <si>
    <t xml:space="preserve">राइस के ड्रायरध्धान मे </t>
  </si>
  <si>
    <t>2ए80ए000</t>
  </si>
  <si>
    <t>7ए20ए000</t>
  </si>
  <si>
    <t xml:space="preserve">मै0 सुत मिलएअफ़जलगढ़ रोड जसपुर </t>
  </si>
  <si>
    <t>गैस सिलेण्डरध् घरेलु सामान</t>
  </si>
  <si>
    <t>मै0 बी0आर0 इण्डस्ट्रीज;राइस मिलद्ध करनपुर जसपुर</t>
  </si>
  <si>
    <t xml:space="preserve">खडकपुर देवीपुरा लाईन पार काशीपुर </t>
  </si>
  <si>
    <t>घर मे।</t>
  </si>
  <si>
    <t>सिघंल स्प्रिैन टैक्स प्रा0 लि0 नन्दन नगर महुआखेडागंज  काशीपुर</t>
  </si>
  <si>
    <t>फैक्ट्री के ब्लो रूम की मशीनो  मे</t>
  </si>
  <si>
    <t xml:space="preserve">शिवालिक तराई सीड्स महुआखेडागंज काशीपुर </t>
  </si>
  <si>
    <t xml:space="preserve">राईस मिल के ड्रायर  मे </t>
  </si>
  <si>
    <t xml:space="preserve">ग्राम चॉदपुर निकट राजपुताना कॉलेज  काशीपुर </t>
  </si>
  <si>
    <t xml:space="preserve">सम्भवतः मन्दिर मे रखे दीपक के </t>
  </si>
  <si>
    <t>सूर्या चौकी के पास मुरादाबाद रोड काशीपुर</t>
  </si>
  <si>
    <t>असत्य कॉल</t>
  </si>
  <si>
    <t>श्री कृष्णा हॉस्पिटल नियर चामुण्डा मन्दिर  काशीपुर</t>
  </si>
  <si>
    <t xml:space="preserve">सम्भवतः  ए0सी0मे  विद्युत शॉट सर्किट के कारण।  </t>
  </si>
  <si>
    <t>हॉस्पिटल मे</t>
  </si>
  <si>
    <t>सुल्तानपुर पट्टी  बाजपुर।</t>
  </si>
  <si>
    <t xml:space="preserve">सम्भवतः ट्रक के पलटने के  द्वारा।   </t>
  </si>
  <si>
    <t>गैस के कैप्सूल मे।</t>
  </si>
  <si>
    <t>एस0एच0 हॉस्पिटल के सामने सितारगंज</t>
  </si>
  <si>
    <t xml:space="preserve">सम्भवतः  विद्युत शॉट सर्किट के कारण।  </t>
  </si>
  <si>
    <t>ट्रांसफार्मर में।</t>
  </si>
  <si>
    <t>तीन पानी मैडिसिटी हॉस्पिटल के निकट</t>
  </si>
  <si>
    <t>धर्मपुर पैट्रोल पम्प के निकट</t>
  </si>
  <si>
    <t>सिंह कॉलोनी गली नं0 04 रूद्रपुर</t>
  </si>
  <si>
    <t>शून्य (स्थानीय जनता द्वारा पूर्व में ही बुझा लिया गया)</t>
  </si>
  <si>
    <t xml:space="preserve">सब्जी मण्डी रूद्रपुर मेन बाजार </t>
  </si>
  <si>
    <t>विशाल ट्रेडिंग कम्पनी किच्छा रोड</t>
  </si>
  <si>
    <t>गदरपुर थाने के निकट</t>
  </si>
  <si>
    <t>पंजाबी मार्केट रूद्रपुर</t>
  </si>
  <si>
    <t xml:space="preserve">विद्युत पोल के बाक्स में </t>
  </si>
  <si>
    <t>मै0 चन्द्रसैन रामयशपालएभारत पैट्रोलियम काशीपुर रोड जसपुर</t>
  </si>
  <si>
    <t>महुआडाबराएजसपुर</t>
  </si>
  <si>
    <t xml:space="preserve">पंजाब नेशनल बैक शाखा रामनगर रोड काशीपुर </t>
  </si>
  <si>
    <t xml:space="preserve">सम्भवतः बैक मे अचानकफायर अलार्म बजना।   </t>
  </si>
  <si>
    <t>बैक मे।</t>
  </si>
  <si>
    <t>कैनेरा बैक शाखा नियर आवास विकास बाजपुर रोड काशीपुर</t>
  </si>
  <si>
    <t xml:space="preserve">बैशाली कालोनी नियर अरोरा आटा चक्की काशीपुर </t>
  </si>
  <si>
    <t xml:space="preserve">सम्भवतः वरूण कपूर के द्वारा शराब पीकर लापरवाही से घुम्रपान करने के कारण  </t>
  </si>
  <si>
    <t xml:space="preserve">ग्राम बासखेडा पोस्ट पैगा काशीपुर </t>
  </si>
  <si>
    <t xml:space="preserve">सम्भवतः आपसी झगडे के कारण। </t>
  </si>
  <si>
    <t>मोटर साइकिल  मे</t>
  </si>
  <si>
    <t xml:space="preserve">अलवर्ट स्कूल के सामने रामनगर रोड काशीपुर </t>
  </si>
  <si>
    <t xml:space="preserve">विद्युत पोल मे </t>
  </si>
  <si>
    <t xml:space="preserve"> कृष्णा नगर कॉलोनी ढकिया गुलाबो काशीपुर </t>
  </si>
  <si>
    <t xml:space="preserve">सम्भवतः  एल0पी0जी0 गैस लिकेज के कारण।  </t>
  </si>
  <si>
    <t xml:space="preserve">गैस सिलेण्डर मे </t>
  </si>
  <si>
    <t xml:space="preserve">स्टेट बैक ऑफ इण्डिया शाखा कुडेश्ववरी काशीपुर </t>
  </si>
  <si>
    <t xml:space="preserve">बैक मे </t>
  </si>
  <si>
    <t>गोल्डन शोरूम सितारगंज च्छठ बैंक के सामने</t>
  </si>
  <si>
    <t>सम्भवत शॉर्ट सर्किट</t>
  </si>
  <si>
    <t>फर्नीचर का शोरुम</t>
  </si>
  <si>
    <t>सॉवरिया राईस मिल, किच्छा</t>
  </si>
  <si>
    <t>राईस मिल</t>
  </si>
  <si>
    <t xml:space="preserve">फायर स्टेशन रुद्रपुर द्वारा भरा जायेगा </t>
  </si>
  <si>
    <t>रेशम बाड़ी, सिलेण्डर में</t>
  </si>
  <si>
    <t xml:space="preserve">सम्भवतः गैस रिसाव </t>
  </si>
  <si>
    <t>घरेलू गैस सिलेण्डर में</t>
  </si>
  <si>
    <t xml:space="preserve">सिरौली कला किच्छा में अग्रवाल फ्लोरमिल </t>
  </si>
  <si>
    <t>कपिला पशु आहार, चोकर, आटा, गेहूँ मशीनरी</t>
  </si>
  <si>
    <t>नैनीताल रोड भ्कबि बैंक के पास खोके में</t>
  </si>
  <si>
    <t>बन्द खोके में</t>
  </si>
  <si>
    <t>पोस्ट ऑफिस के पास जनरेटर में</t>
  </si>
  <si>
    <t>जनरेटर में</t>
  </si>
  <si>
    <t>गोतमी होटल के पीछे बाजपुर रोड काशीपुर</t>
  </si>
  <si>
    <t xml:space="preserve">सम्भवतः गैस लिकेज होने के कारण।   </t>
  </si>
  <si>
    <t>वाहन संख्या न्ज्ञ.04.ै.2015</t>
  </si>
  <si>
    <t>मॉडल कॉलोनी कोलम्बर स्कूल के पास</t>
  </si>
  <si>
    <t>ब्यूटी पार्लर में</t>
  </si>
  <si>
    <t>आवास-विकास वार्ड नं0-19</t>
  </si>
  <si>
    <t>घरेलू सिलेण्डर में</t>
  </si>
  <si>
    <t>किच्छा यूनिट</t>
  </si>
  <si>
    <t>ट्रान्सपोर्ट नगर किच्छा</t>
  </si>
  <si>
    <t>सिसौना -सितारगंज</t>
  </si>
  <si>
    <t>सम्भवतः असावधानी या धुम्रपान</t>
  </si>
  <si>
    <t>सिसौना-सितारगंज स्थित एक  घर में एल0पी0जी0 गैस सिलेण्डर लगी आग को बुझाने के लिए फायर यूनिट घटना स्थल के लिए रवाना हुई। घटना-स्थल में पहंुचने से पूर्व कालर मो0न0 6399918416 द्वारा बताया गया कि आग बुझ गई है।</t>
  </si>
  <si>
    <t xml:space="preserve"> वार्ड नंबर. 04 इस्लामनगर खटीमा ।</t>
  </si>
  <si>
    <t>अन्नपूर्णा भोजनालय विकासखण्ड गेट के सामने सितारगंज रोडए खटीमा ।</t>
  </si>
  <si>
    <t>उमरखुर्द बिचई बिघराबागए थाना खटीमा ।</t>
  </si>
  <si>
    <t>अज्ञात व्यक्ति द्वारा जलती बीड़ीध्सिगरेट के फैकने से ।</t>
  </si>
  <si>
    <t>ग्राम. सबोरा खटीमा</t>
  </si>
  <si>
    <t>मयूर बिहार सेक्टर .02 खटीमा ।</t>
  </si>
  <si>
    <t>नं0-22 निकट गुरुद्वारा, रूद्रपुर</t>
  </si>
  <si>
    <t>छतरपुर रोड भूरारानी, रूद्रपुर</t>
  </si>
  <si>
    <t>भारत वेस्ट मैनेजमेंट कम्पनी (गत्ते में) म</t>
  </si>
  <si>
    <t>सम्भवतः पूर्व मंे लगी आग के अवशेषों स</t>
  </si>
  <si>
    <t>गुलरभोज बंगाली कॉलोनी नयी बस्ती, गदरपुर</t>
  </si>
  <si>
    <t>अशोक लिलैण्ड छतरपुर कॉलोनी</t>
  </si>
  <si>
    <t>मोटर साईकिल न0- न्ज्ञ040.2638म</t>
  </si>
  <si>
    <t>मुखर्जी नगर रूद्रपुर</t>
  </si>
  <si>
    <t>सम्भवतः गैस रिसाव से।</t>
  </si>
  <si>
    <t xml:space="preserve">धरेलू गैस सिलेण्डर में </t>
  </si>
  <si>
    <t>शमशान भूमि रोड ट्रान्जिट कैम्प, वार्ड नं0-07 रूद्रपुर</t>
  </si>
  <si>
    <t>सम्भवतः शॉर्ट सर्किट से</t>
  </si>
  <si>
    <t>बिजली के खम्भों म</t>
  </si>
  <si>
    <t>काशीपुर रोड के सामने सुभाष कॉलोनी रूद्रपुर</t>
  </si>
  <si>
    <t>झोपड़ी व गोबर के कंडों में</t>
  </si>
  <si>
    <t>विद्वानी मार्केट रूद्रपुर।</t>
  </si>
  <si>
    <t>इलैक्ट्रॉनिक शॉप में</t>
  </si>
  <si>
    <t xml:space="preserve">विवेचनााीन </t>
  </si>
  <si>
    <t>महतोष मोड़ काशीपुर रोड रूद्रपुर</t>
  </si>
  <si>
    <t>गुरूकृपा कॉम्पेलैक्स सेलटैक्स आफिस के पास</t>
  </si>
  <si>
    <t xml:space="preserve">सम्भवतः शॉर्ट सर्किट से </t>
  </si>
  <si>
    <t xml:space="preserve">जनता इण्टर कॉलेज लुधियाना फर्नीचर के पास </t>
  </si>
  <si>
    <t xml:space="preserve">सम्भवतः लापरवाही पूर्वक धूम्रपान से </t>
  </si>
  <si>
    <t xml:space="preserve">खाली प्लाट में </t>
  </si>
  <si>
    <t>कन्या जूनियर स्कूल के पास ट्रासफार्मर के आस-पास</t>
  </si>
  <si>
    <t xml:space="preserve">कूडे के ढेर में </t>
  </si>
  <si>
    <t xml:space="preserve">दूधिया नगर में </t>
  </si>
  <si>
    <t xml:space="preserve">सम्भवतः गैस रिसाव से </t>
  </si>
  <si>
    <t xml:space="preserve">फुलसुंगी अंजनी विहार </t>
  </si>
  <si>
    <t xml:space="preserve">सोलर पैनल व घर में </t>
  </si>
  <si>
    <t>इन्दरा कॉलोनी गली नम्बर-03</t>
  </si>
  <si>
    <t xml:space="preserve">कबाड में </t>
  </si>
  <si>
    <t xml:space="preserve">आदर्श कॉलोनी </t>
  </si>
  <si>
    <t xml:space="preserve">आतिशबाजी से </t>
  </si>
  <si>
    <t xml:space="preserve">दुकान के बाहर लकड़ी के टेबल में </t>
  </si>
  <si>
    <t>पुरानी मंडी किच्छा</t>
  </si>
  <si>
    <t>अलंकार ज्वैलर्स मैन बाजार काशीपुर</t>
  </si>
  <si>
    <t xml:space="preserve">सम्भवतः विद्युत शॉर्ट सर्किट होने के कारण।   </t>
  </si>
  <si>
    <t>दुकान मे।</t>
  </si>
  <si>
    <t xml:space="preserve">शाीतल फूड प्रोडक्टस बरखेडा पाण्डे महुआखेडागंज काशीपुर </t>
  </si>
  <si>
    <t>घान मील के ड्रायर की भट्टी की हीट के कारण।</t>
  </si>
  <si>
    <t>धान मील मे।</t>
  </si>
  <si>
    <t xml:space="preserve">उजाला हॉस्पिटल के पास मानपुर रोड काशीपुर </t>
  </si>
  <si>
    <t>संम्भवता बैटरी में शॉर्ट सर्किट के केारण।</t>
  </si>
  <si>
    <t>स्कूल बस मे।</t>
  </si>
  <si>
    <t xml:space="preserve">जसपुर खुर्द्व गढवाल सभा काशीपुर </t>
  </si>
  <si>
    <t>सम्भवतः गैस लिकेज होने के कारण।</t>
  </si>
  <si>
    <t>गैस पाईप लाईन मे।</t>
  </si>
  <si>
    <t>सम्भवतः घान मील के ड्रायर की भट्टी की हीट के कारण।</t>
  </si>
  <si>
    <t>घान मील मे।</t>
  </si>
  <si>
    <t>अम्बा बिहार कॉलोनी देवीपुरा खडकपुर काशीपुर</t>
  </si>
  <si>
    <t>सम्भवतः दीपावली पर आतिशबाजी के पाटाखे के कारण।</t>
  </si>
  <si>
    <t xml:space="preserve">जसपुर खुर्द्व एस0डी0एम0 आवास के पास काशीपुर </t>
  </si>
  <si>
    <t>घर  मे।</t>
  </si>
  <si>
    <t xml:space="preserve">गुरूद्वारा मॉकेट बाजपुर </t>
  </si>
  <si>
    <t xml:space="preserve">भौना गॉव इस्लाम नगर बाजपुर </t>
  </si>
  <si>
    <t>एम0ए0 इंटरप्राइजेजएग्राम लक्ष्मीपुर खेड़ा ठाकुरद्वारा रोड जसपुर</t>
  </si>
  <si>
    <t>ग्राम अहमदनगरएजसपुर</t>
  </si>
  <si>
    <t>ग्राम. गढ़ी हुसैन जसपुर</t>
  </si>
  <si>
    <t>लाम्बाखेड़ा, साधुनगर रोड - सितारगंज</t>
  </si>
  <si>
    <t>आग पराली के ढेर में लगी थी  जिसे फायर यूनिट के पहुंचने से पूर्व ग्रामीणों द्वारा बुझा लिया गया।</t>
  </si>
  <si>
    <t xml:space="preserve">नानकमत्ता गुरूद्वारे के पास </t>
  </si>
  <si>
    <t xml:space="preserve">आग पराली के ढेर में लगी थी।  फायर यूनिट के पहुंचने पर कॉलर मो0न0 7060754914 द्वारा आग के बुझने की सूचना दी।   </t>
  </si>
  <si>
    <t>ग्राम  लौका सितारगंज</t>
  </si>
  <si>
    <t>आग एल0पी0जी0 गैस सिलेेण्डर में लगी थी जिसे फायर यूनिट ने डथ्म् से पम्पिग कर एक हौज पाइप  फैलकर व वहां बालू की से पूर्ण रूप से बुझाया।</t>
  </si>
  <si>
    <t>बमनपुरी सिडकुल रोड सितारगंज</t>
  </si>
  <si>
    <t>आग  कस्तुरी ग्रेंस एण्ड राईस मिल के ड्रायर में लगी थी जिसे फायर यूनिटों ने 02 पाइप फैलाकर  से डथ्म् से पम्पिग कर पूर्ण रूप से बुझाया।</t>
  </si>
  <si>
    <t>आग  कस्तुरी ग्रेंस एण्ड राईस मिल के ड्रायर में लगी थी जिसे फायर यनिट ने 02 हौज  पाइप फैलाकर डथ्म् से पम्पिग कर पूर्ण रूप से बुझाया।</t>
  </si>
  <si>
    <t>खुरपिया, उकरौली, सितारगंज</t>
  </si>
  <si>
    <t xml:space="preserve">सम्भवतः असावधानी या धुम्रपान </t>
  </si>
  <si>
    <t>आग अस्थाई गौशाला में लगी थी जिसे फायर यनिट ने 01 हौज पाइप फैलाकर वाहन से पम्पिग कर आग को पूर्ण रूप से बुझाया।</t>
  </si>
  <si>
    <t>साधुनगर सिसई खेड़ा</t>
  </si>
  <si>
    <t>खेत में कटे पराल के ढेर में आग लगी हुई थी। जिसके फायर यूनिट कर्मचारियों ने पीट-पाटकर बुझाया गया ।</t>
  </si>
  <si>
    <t>जायजड वैलनेस कम्पनी</t>
  </si>
  <si>
    <t>जायडस वैलनेस कम्पनी के ग्राउण्ड़ प्लोर में आग लगी हुई थी। जिसे मोटर फायर इंजन की सहायता से 02 होज पाइप लगाकर पम्पिंग कर आग को पूर्ण रूप से बुझाया गया।</t>
  </si>
  <si>
    <t>चैतीगांवनिकटफायरस्टेशनकाशीपुर</t>
  </si>
  <si>
    <t>सम्भवतः विद्युत शॉर्टसर्किटहोने के कारण।</t>
  </si>
  <si>
    <t>घरमे।</t>
  </si>
  <si>
    <t>शिवडेरीरतनसिनेमारोडकाशीपुर</t>
  </si>
  <si>
    <t>फायर यूनिटआगबुझजाने की सूचनापरआधेरास्ते से हीवापसहुई</t>
  </si>
  <si>
    <t>ढकिया नं0- 1 कुण्डेश्वारीरोडकाशीपुर</t>
  </si>
  <si>
    <t>सम्भवतः आतिशबाजी के पटाखे के कारण।</t>
  </si>
  <si>
    <t>भूसे के ढेरमे।</t>
  </si>
  <si>
    <t>अलीगंजरोड शमशान घाट के पासकाशीपुर</t>
  </si>
  <si>
    <t>सम्भवतः राहगीरो की लापरवाही से घुम्रपान के कारण।</t>
  </si>
  <si>
    <t>पेडमे।</t>
  </si>
  <si>
    <t>क्ंचनालगुसाईबाजपुररोडकाशीपुर</t>
  </si>
  <si>
    <t>कुडे के ढेरमें</t>
  </si>
  <si>
    <t>एच0डी0एफ0सी0बैक बाजपुररोडकाशीपुर</t>
  </si>
  <si>
    <t>सम्भवतः अचानकबैकमेंलगेफायरअलार्मबजने के कारण।</t>
  </si>
  <si>
    <t>बैकमें</t>
  </si>
  <si>
    <t>कटोरातालमानपुररोडनियरस्टेडियमकाशीपुर</t>
  </si>
  <si>
    <t>सम्भवतः एल0पी0जी0 गैससिलेण्डरलीकेज के कारण।</t>
  </si>
  <si>
    <t>राधेश्यामबिल्डिंग के सामनेरेलवेस्टेशनकाशीपुर</t>
  </si>
  <si>
    <t>सम्भवतः वाहन के इंजन की हीट के कारणं</t>
  </si>
  <si>
    <t>कारमें</t>
  </si>
  <si>
    <t>विजनवेलीस्कूल के सामनेकुण्डेश्वरीरोडकाशीपुर</t>
  </si>
  <si>
    <t>सम्भवतः राहगीरो द्वारालापरवाही से घुम्रपान के कारण।</t>
  </si>
  <si>
    <t>झाडियोमें</t>
  </si>
  <si>
    <t>ग्रामछुटपुराचौकीबेरियालैलाखेडाबाजपुर</t>
  </si>
  <si>
    <t>सम्भवतःआतिशबाजी के पटाखे के कारण</t>
  </si>
  <si>
    <t xml:space="preserve"> घरमें</t>
  </si>
  <si>
    <t>शुक्लाम्बरीपेपर मिल दौराहाबाजपुर</t>
  </si>
  <si>
    <t xml:space="preserve">फैक्ट्री के फ्यूलपराल मे </t>
  </si>
  <si>
    <t>उत्तरांचल कलोनी कंजाबाग रोडए खटीमा ।</t>
  </si>
  <si>
    <t>परालीए लकड़ी के ढेर में ।</t>
  </si>
  <si>
    <t>ग्राम. कुटराए कंजाबाग रोडए खटीमा ।</t>
  </si>
  <si>
    <t>बैगुलकॉलोनी-सितारगंज</t>
  </si>
  <si>
    <t>आतिशबाजी के कारण घरमेंआगलगगयीथी।जिसेफायर यूनिट ने डथ्म् से पम्पिगकर एक हौजपाइपफैलकरआगको पूर्ण रूप से बुझाया।</t>
  </si>
  <si>
    <t>सिटीइलेक्ट्रोनिक्स</t>
  </si>
  <si>
    <t>सम्भवतः</t>
  </si>
  <si>
    <t>आगसिटीइलैक्ट्रोनिक्सवार्ड नम्बर-04 इस्लामनगरमेंइलैक्ट्रोनिक्स की दुकानमेंलगीहुईथी।जिसमोटरफायर इंजन की सहायता से 02 हौजपाइपफैलाकरआगकोपूर्ण रूप से बुझाायागया।</t>
  </si>
  <si>
    <t>शार्टसर्किट के कारण</t>
  </si>
  <si>
    <t>रसोईयॉपुरसितारगंज</t>
  </si>
  <si>
    <t xml:space="preserve">झोपड़ीमें खानाबनाते समय </t>
  </si>
  <si>
    <t>छोटासितारगंज</t>
  </si>
  <si>
    <t>गैससिलेंडरमें</t>
  </si>
  <si>
    <t>गैससिलेडरमेंआगलगने की सूचनाप्राप्तहोतेहीतत्कालफायर यूनिटमण्डी से 01 फायर यूनिटतत्काल घटनास्थलकोरवानाहुए।आधेरास्तेपरपहुचतेंहीकॉलर द्वाराआगबुझने की सूचनादीगयी।</t>
  </si>
  <si>
    <t>आवासविकास श्यामटॉकिज रूद्रपुर</t>
  </si>
  <si>
    <t>सम्भवतः शॉर्टसर्किट</t>
  </si>
  <si>
    <t>ढाबेतथाहेयरसैलून</t>
  </si>
  <si>
    <t>फौजीमटकोटागाँव रूद्रपुर</t>
  </si>
  <si>
    <t>गन्ने के खेतमें</t>
  </si>
  <si>
    <t>ज्येष्ठाकॉलोनी, फुलसुंगारम्पुरा</t>
  </si>
  <si>
    <t>पार्क के पेड़ोंमें</t>
  </si>
  <si>
    <t>सम्भवतः शरारतीतत्वों द्वारा</t>
  </si>
  <si>
    <t>शास्त्रीय नगरगड्ढा कॉलोनीट्रान्जिटकैम्प रूद्रप</t>
  </si>
  <si>
    <t>घरमें</t>
  </si>
  <si>
    <t>भगत सिंह चौक रूद्रपुर</t>
  </si>
  <si>
    <t>दुकानमें</t>
  </si>
  <si>
    <t>शून्य (चिंगारी थी स्वतः हीबुझ गयी)</t>
  </si>
  <si>
    <t>खुशीइन्क्लेवभूरारानी रूद्रपुर</t>
  </si>
  <si>
    <t>विवेकनगरवार्ड नं0-08 ट्रान्जिटकैम्प</t>
  </si>
  <si>
    <t>कॉस्मैटिक शॉपमें</t>
  </si>
  <si>
    <t>विवेचनाानी</t>
  </si>
  <si>
    <t>विवेचानाीन</t>
  </si>
  <si>
    <t>ग्राम-दोपहरियाथाना-पुलभट्टा</t>
  </si>
  <si>
    <t>गौशालामें</t>
  </si>
  <si>
    <t>निकटबालाजी द्वार रूद्रपुर</t>
  </si>
  <si>
    <t>दुकानोंमें</t>
  </si>
  <si>
    <t>बेनीमजारकिच्छा के पास</t>
  </si>
  <si>
    <t>सम्भतः पूजा के दिये से</t>
  </si>
  <si>
    <t>झोपड़ीमें</t>
  </si>
  <si>
    <t>लालपुरटोलप्लाजा के पास</t>
  </si>
  <si>
    <t>पुलभट्टा फ्लाईओवर के पासकिच्छा</t>
  </si>
  <si>
    <t>कुड़ेध्गोबर के ढ़ेर में।</t>
  </si>
  <si>
    <t>मनीढाल खेड़ा रूद्रपुर</t>
  </si>
  <si>
    <t>रविन्द्र नगर गली नं0-01 निकट श्याम टॉकीज रूद्रपुर</t>
  </si>
  <si>
    <t>डिस्पोजल के गोदाम में</t>
  </si>
  <si>
    <t>नेता नगर दिनेशपुर रोड रूद्रपुर</t>
  </si>
  <si>
    <t xml:space="preserve">सम्भवतः शॉर्ट सर्किट </t>
  </si>
  <si>
    <t>बाईक सर्विस सेण्टर में</t>
  </si>
  <si>
    <t>काशीपुर रोड सामिया दानपुर</t>
  </si>
  <si>
    <t>ट्रैक्टर ट्रॉली व गन्ने के खेत में</t>
  </si>
  <si>
    <t>शक्ति विहार निकट पुलिस लाईन रूद्रपुर</t>
  </si>
  <si>
    <t>आवास विकास होली चौक रूद्रपुर</t>
  </si>
  <si>
    <t>स्पेयर पार्ट की दुकान में</t>
  </si>
  <si>
    <t>विवेचनााीन्र</t>
  </si>
  <si>
    <t>ग्राम-बरी, निकट जमींदार ढाबा</t>
  </si>
  <si>
    <t>कैन्टर डीसीएम में</t>
  </si>
  <si>
    <t>वार्ड नं0-06 बण्डिया किच्छा</t>
  </si>
  <si>
    <t>सम्भवतः पूजा के दीये से</t>
  </si>
  <si>
    <t>झोपड़ियों तथा मोटरबाईक में</t>
  </si>
  <si>
    <t>लपकना पुलए काशीपुर रोड़ए जसपुर</t>
  </si>
  <si>
    <t>आवास.विकास काँलौनीए श्मशान घाट रोड़ए जसपुर</t>
  </si>
  <si>
    <t>वार्ड न0. 07 महुवाडाबराए जसपुर</t>
  </si>
  <si>
    <t xml:space="preserve">आई0जी0एल0 फैक्ट्री के गेट नं0-6 पास बाजपुर रोड काशीपुर </t>
  </si>
  <si>
    <t xml:space="preserve">सम्भवतः वाहन की बैट्ररी मे शॉर्ट सर्किट होने के कारण।   </t>
  </si>
  <si>
    <t>ट्रक मे।</t>
  </si>
  <si>
    <t>विवेचााीन</t>
  </si>
  <si>
    <t>उजाला हॉस्पिटल यूनिट-02 रामनगर रोड काशीपुर</t>
  </si>
  <si>
    <t>हॉस्पिटल के रेडियोलॉजी विभाग मे।</t>
  </si>
  <si>
    <t>उषा एल्युमिनियम प्रा0लि0 महुआखेडागंज काशीपुर</t>
  </si>
  <si>
    <t>सम्भवतः विद्युत शॉट सर्किट  के कारण।</t>
  </si>
  <si>
    <t>लकडी के बुरादे व साईक्लोन बुरादे मे।</t>
  </si>
  <si>
    <t xml:space="preserve">मल्टीवाल फैक्ट्री के सामने बाजपुर रोड काशीपुर </t>
  </si>
  <si>
    <t>झाडियो  मे।</t>
  </si>
  <si>
    <t>आदर्श नगर आंकाशा मार्बल के पास काशीपुर</t>
  </si>
  <si>
    <t>मैनोर होटल के पास बाजपुर रोड काशीपुर</t>
  </si>
  <si>
    <t xml:space="preserve">ग्राम-सरकरा सुल्तानपुर बाजपुर </t>
  </si>
  <si>
    <t>फायर यूनिट आधे रास्ते से ही वापस आ गईं</t>
  </si>
  <si>
    <t>ग्राम केशववाला नियर पॉलिप्लक्स प्रा0 लि0 बाजपुर</t>
  </si>
  <si>
    <t>सम्भवतः वाहन की वायरिंग में शॉर्ट सर्किट होने के कारण।</t>
  </si>
  <si>
    <t>टैक में</t>
  </si>
  <si>
    <t xml:space="preserve"> वार्ड नंबर. 06 गोटिया इस्लामनगर खटीमा ।</t>
  </si>
  <si>
    <t>लुधियाना पानीपत सेल कृष्णा कॉटेज के पास टनकपुर रोडए खटीमा ।</t>
  </si>
  <si>
    <t xml:space="preserve">अज्ञात व्यक्ति द्वारा बीड़ीध् सिगरेट फैकने से </t>
  </si>
  <si>
    <t>ग्रामः. पालीगंज मझौला पीलीभीत रोड खटीमा ।</t>
  </si>
  <si>
    <t>ग्राम. भूड़ा किशनी टावर रोड खटीमा ।</t>
  </si>
  <si>
    <t>इन्फ्रा मार्केट सेक्टर-09 में स्थापित साईक्लोन डक्ट में लगी थी।</t>
  </si>
  <si>
    <t>साईक्लोन के भीतर स्पार्क के कारण</t>
  </si>
  <si>
    <t xml:space="preserve">साईक्लोन डक्ट में </t>
  </si>
  <si>
    <t>पायलट ईण्डस्ट्रीज प्लाट नं0 35, 45 से 49 व 40 सैक्टर-06 के भीतर स्टोरेज एरिया में लगी थी।</t>
  </si>
  <si>
    <t>विवेचनाघीन</t>
  </si>
  <si>
    <t>संस्थान के स्टोरेज एरिया में रखे बैट्री के कन्टेारों व चार्जिंग में लगी बैट्रियों में आग लगी थी।</t>
  </si>
  <si>
    <t>पायलट कम्पनी के सामने झाड़ियों में लगी थी।</t>
  </si>
  <si>
    <t>राम कुमार कम्पनी सैक्टर 04 के परिसर के भीतर कर्मचारियों हेतु विश्राम कक्ष में लगी थी।</t>
  </si>
  <si>
    <t>कमरे में रखें समान में</t>
  </si>
  <si>
    <t>डाबर कम्पनी के सामने सैक्टर-02 के पास झाड़ियों में लगी आग।</t>
  </si>
  <si>
    <t>ओमैक्स रिवेरा सोसायटी के भीतर रूम नं0-205 में ए0सी0 के स्टेबलाइटजर में शार्ट सर्किट के कारण फाईबर शीट में लगी थी।</t>
  </si>
  <si>
    <t xml:space="preserve">ए0सी0 के स्टेबलाइटजर में शार्ट सर्किट के कारण फाईबर शीट में लगी थी। </t>
  </si>
  <si>
    <t>टान्डा जंगल नैनीताल रोड में  हुन्’डई की वरना वाहन संख्या यूपी 25 ईए0648 व बोलेरो कैम्पर वाहन संख्या यू0के 06 सीसी0030 में टक्कर के कारण दोनो वाहनों में लगी आग</t>
  </si>
  <si>
    <t>कुमॉऊ वुड प्रोडेक्ट डी-95 एल्डिगों सिडकुल फेज -2 सितारगंज।</t>
  </si>
  <si>
    <t>शार्ट सर्किट के कारण  कुमॉऊ वुड प्रोडेक्ट में आग लग गयी थी जिसे फायर यूनिट ने डथ्म् से पम्पिग कर दो हौज पाइप  फैलकर आग को पूर्ण रूप से बुझाया।</t>
  </si>
  <si>
    <t xml:space="preserve">विवेचनााीन है। </t>
  </si>
  <si>
    <t>विवेचनााीन है।</t>
  </si>
  <si>
    <t>पोल्ट्री फार्म ग्राम बिरिया साधुनगर रोड़ सितारगंज</t>
  </si>
  <si>
    <t>आग पोल्ट्री फार्म ग्राम बिरिया साधुनगर रोड़ सितारगंज में लगी हुई थी। जिस मोटर फायर इंजन की सहायता से 01 हौज पाइप फैलाकर आग को पूर्ण रूप से बुझााया गया।</t>
  </si>
  <si>
    <t>हल्दी फार्म मझोला सत्रह मिल चौकी खटीमा।</t>
  </si>
  <si>
    <t>सम्भवतः लापरवाही पूर्वक धूम्रपान</t>
  </si>
  <si>
    <t>सम्भवतः वायरों में स्पार्किंग के कारण</t>
  </si>
  <si>
    <t>18 टायरा ट्रक में</t>
  </si>
  <si>
    <t>सम्भवतः लापरवाही पूर्वक धूमप्रान</t>
  </si>
  <si>
    <t>अज्ञात व्यक्ति द्वारा जलती बीड़ी सिगरेट के फैकने से ।</t>
  </si>
  <si>
    <t>20-़04-2024</t>
  </si>
  <si>
    <t>क्र.2</t>
  </si>
  <si>
    <t xml:space="preserve">- </t>
  </si>
  <si>
    <t>क्रण्</t>
  </si>
  <si>
    <t>;जिस फायर स्टेशन क्षेत्रार्न्तागत अग्निकाण्ड हुआ होद्ध</t>
  </si>
  <si>
    <t>अग्निकाण्ड का कारण ;आग किस वस्तु में लगी हैद्ध</t>
  </si>
  <si>
    <t>अनुमानित क्षति सम्पति ;फायर रिपोर्ट के आधार परद्ध</t>
  </si>
  <si>
    <t>जीव मरे ;मनुष्यद्ध</t>
  </si>
  <si>
    <t>जीव मरे ;पशुद्ध</t>
  </si>
  <si>
    <t>जीव घायल ;मनुष्यद्ध</t>
  </si>
  <si>
    <t>जीव घायल ;पशुद्ध</t>
  </si>
  <si>
    <t>जीव बचे ;मनुष्यद्ध</t>
  </si>
  <si>
    <t>जीव बचे ;पशुद्ध</t>
  </si>
  <si>
    <t>चमोली</t>
  </si>
  <si>
    <t>गोपेश्वर</t>
  </si>
  <si>
    <t>सम्भवतः शॉर्ट सर्किट के कारण से</t>
  </si>
  <si>
    <t>जोशीमठ</t>
  </si>
  <si>
    <t>22.01.2024</t>
  </si>
  <si>
    <t>17.03.2024</t>
  </si>
  <si>
    <t>23.04.2024</t>
  </si>
  <si>
    <t xml:space="preserve">. </t>
  </si>
  <si>
    <t>25.04.2024</t>
  </si>
  <si>
    <t>26.04.2024</t>
  </si>
  <si>
    <t>19.04.2024</t>
  </si>
  <si>
    <t>21.04.2024</t>
  </si>
  <si>
    <t>28.04.2024</t>
  </si>
  <si>
    <t>29.04.2024</t>
  </si>
  <si>
    <t>30.04.2024</t>
  </si>
  <si>
    <t>आग नगर पालिका जोशीमठ के कूड़ा डम्पिंग जोन में लगी थी तत्काल फायर सर्विस यूनिट द्वारा मिनी हाईप्रेशर पम्प की सहायता से होजरील के माध्यम से आग पर पम्पिंग कर पानी फेंका गया व आग को पूर्ण रूप से बुझाया गया।</t>
  </si>
  <si>
    <t>02.05.2024</t>
  </si>
  <si>
    <t>04.05.2024</t>
  </si>
  <si>
    <t>05.05.2024</t>
  </si>
  <si>
    <t>06.05.2024</t>
  </si>
  <si>
    <t>15.05.2024</t>
  </si>
  <si>
    <t>29.05.2024</t>
  </si>
  <si>
    <t xml:space="preserve">  अज्ञात</t>
  </si>
  <si>
    <t>टिन शेड गोदाम</t>
  </si>
  <si>
    <t>03.06.2024</t>
  </si>
  <si>
    <t>06.06.2024</t>
  </si>
  <si>
    <t>कूड़ा डम्पिंग जोन में</t>
  </si>
  <si>
    <t>02.06.2024</t>
  </si>
  <si>
    <t>महोदय आग सोनला से आगे बैरास कुण्ड के जंगल में रोड़ से काफी दूर लगी थी। जिसकी फायर सर्विस यूनिट द्वारा लगातार मॉनिटरिंग की गई। आग से सड़क स्थित होटलों को काई खतरा नहीं है।</t>
  </si>
  <si>
    <t>13.06.2024</t>
  </si>
  <si>
    <t>महोदय आग रसोईगाड़ गैरसैण के जंगल में लगी थी, जो की तेजी से आवासीय परिसर की ओर बढ़ रही थी जिसको मिनि वाटर टेण्ड़र की सहायता से फायर यूनिट गैरसैण द्वारा पूर्ण रूप से बुझा दिया गया।</t>
  </si>
  <si>
    <t>महोदय आग चमोली रोड़ सेलंग गांव के समीप जंगल में लगी थी। फायर यूनिट जोशीमठ व वन विभाग कर्म0 द्वारा आग को पूर्ण रूप से बुझा दिया गया।</t>
  </si>
  <si>
    <t>09 लाख</t>
  </si>
  <si>
    <t>2 करोड़</t>
  </si>
  <si>
    <t>09.06.2024</t>
  </si>
  <si>
    <t>11.06.2024</t>
  </si>
  <si>
    <t>महोदय आग चमोली रोड़ हेलंग गांव के समीप जंगल में लगी थी। फायर यूनिट जोशीमठ व वन विभाग कर्म0 द्वारा आग को पूर्ण रूप से बुझा दिया गया।</t>
  </si>
  <si>
    <t>महोदय आग बद्रीनाथ रोड़ मारवाडी़ पुलिस चौकी से 200 मी0 आगे नदी पार जंगल में लगी हुयी थी, जहां रास्ता न होने के कारण अग्निशमन वाहन का पहुंचना सम्भव नहीं था।</t>
  </si>
  <si>
    <t>महोदय आग चमोली लंगसी गांव के समीप जंगल में लगी थी। फायर यूनिट जोशीमठ द्वारा आग को पूर्ण रूप से बुझा दिया गया।</t>
  </si>
  <si>
    <t>महोदय आग बद्रीनाथ रोड़ जीरो बैण्ड सेमवाल फिलिंग स्टेशन के नीचे की तरफ जंगल में लगी हुयी थी, जिसे ततकाील फायर सर्विस यूनिट जोशीमठ द्वारा पूर्ण रूप से बुझाया गया।</t>
  </si>
  <si>
    <t>15.06.2024</t>
  </si>
  <si>
    <t>महोदय आग ओली रोड़ टी0सी0पी0 बैण्ड के समीप  जंगल में लगी थी।  जिसे ततकाील फायर सर्विस यूनिट जोशीमठ द्वारा पूर्ण रूप से बुझाया गया।</t>
  </si>
  <si>
    <t xml:space="preserve">अज्ञात  </t>
  </si>
  <si>
    <t>06.09.2024</t>
  </si>
  <si>
    <t>31.10.2024</t>
  </si>
  <si>
    <t xml:space="preserve">आग श्री प्रमोद कुमार शाह पुत्र श्री ब्जमोहन लाल शाह एवं दिलवर सिंह पुत्र श्री गोपाल सिंह ग्राम-मंगरोली झूलाबगड़ नन्दप्रयाग के सामने स्थित संगम कन्स्ट्रक्शन टिन शेड निर्मित गोदाम में लगी थी, जिसे फायर सर्विस यूनिट गोपेश्वर व फायर सर्विस यूनिट गौचर द्वारा तत्काल हौज रील फैलाकर आग पर पानी फेंका गया, व आग को पूर्ण रूप से बुझाया गया। </t>
  </si>
  <si>
    <t>आग परसारी के समीप चेतु लाल के वाहन संख्याः यू0के011-6782 में लगी थी, तत्काल फायर सर्विस यूनिट जोशीमठ द्वारा आग को पूर्ण रूप से बुझाया गया</t>
  </si>
  <si>
    <t>अल्मोड़ा</t>
  </si>
  <si>
    <t>बागेश्वर</t>
  </si>
  <si>
    <t>चम्पावत</t>
  </si>
  <si>
    <t>नैनीताल</t>
  </si>
  <si>
    <t>पौड़ी</t>
  </si>
  <si>
    <t>पिथौरागढ़</t>
  </si>
  <si>
    <t>रुद्रप्रयाग</t>
  </si>
  <si>
    <t>टिहरी</t>
  </si>
  <si>
    <t>उत्तरकाशी</t>
  </si>
  <si>
    <t>जान-बूझकर</t>
  </si>
  <si>
    <t>कुल</t>
  </si>
  <si>
    <t>Total</t>
  </si>
  <si>
    <t>कारण</t>
  </si>
  <si>
    <t>क्र0 सं0</t>
  </si>
  <si>
    <t>01.12.2024</t>
  </si>
  <si>
    <t>सहारनपुर रोड झण्डा चौक के किनारे बिजली की तारों में आग</t>
  </si>
  <si>
    <t>बिजली की तारो में आग</t>
  </si>
  <si>
    <t>कांवली रोड के पास दुकान में आग</t>
  </si>
  <si>
    <t>सभावाला षिमला बाई पास रोड, बिजली के मीटर में आग</t>
  </si>
  <si>
    <t>बिजली के मीटर में आग</t>
  </si>
  <si>
    <t>माउट व्यू कालोनी आई.टी पार्क में बिजली के मीटर में आग</t>
  </si>
  <si>
    <t>06.12.2024</t>
  </si>
  <si>
    <t>घण्टाधर के पास गेलोडस आईसक्र्रीम गली में कूडे में आग</t>
  </si>
  <si>
    <t>सम्भवतःसर्किट</t>
  </si>
  <si>
    <t>बंगाली कोठी के निकट बिजली के पोल में आग</t>
  </si>
  <si>
    <t>07.12.2024</t>
  </si>
  <si>
    <t>मोहकमपुर फलाईओवर के निकट सीवर लाईन के पाईपो में आग</t>
  </si>
  <si>
    <t>08.12.2024</t>
  </si>
  <si>
    <t>सीमेंट रोड के पास दुकान में आग</t>
  </si>
  <si>
    <t>लाडपुर बिजली के पोल में आग</t>
  </si>
  <si>
    <t>......</t>
  </si>
  <si>
    <t>13.12.2024</t>
  </si>
  <si>
    <t>दुधली रोड किषनपुर गा्रट घर में आग</t>
  </si>
  <si>
    <t>सम्भवतः षार्टसर्किट</t>
  </si>
  <si>
    <t>घटना एफएस लाललप्पड क्षेर्त्रांगत होने के कारण क्षति का आंकलन फायर स्टेषन लालतप्पड द्वारा किया जायेगा।</t>
  </si>
  <si>
    <t>परेड ग्रराण्ड के पास वर्ल्ड आयुवेदिग कांन्फेेरेस के टेंट में आग</t>
  </si>
  <si>
    <t>टेंट में आग</t>
  </si>
  <si>
    <t>14.12.2024</t>
  </si>
  <si>
    <t>ब्ंागाली कोठी बिजली के पोल में आग</t>
  </si>
  <si>
    <t>15.12.2024</t>
  </si>
  <si>
    <t>जनपद हरिद्वार में फैक्ट्री में आग</t>
  </si>
  <si>
    <t>घटना एफएस रूडकी क्षेर्त्रांगत होने के कारण क्षति का आंकलन फायर स्टेषन रूडकी द्वारा किया जायेगा।</t>
  </si>
  <si>
    <t>16.12.2024</t>
  </si>
  <si>
    <t>नलापानी रोड बिजली के पोल में अगा</t>
  </si>
  <si>
    <t>एफ.आर.आई परिसर कूडे में आग</t>
  </si>
  <si>
    <t>कूडा जलाने के कारण</t>
  </si>
  <si>
    <t>क्ूडै में आग</t>
  </si>
  <si>
    <t>17.12.2024</t>
  </si>
  <si>
    <t>बजावाला, गढीकेण्ट कूडे में आग</t>
  </si>
  <si>
    <t>लापरवाहरी</t>
  </si>
  <si>
    <t>चुक्कूवाला, घर में आग</t>
  </si>
  <si>
    <t>षार्टसर्किट</t>
  </si>
  <si>
    <t>18.12.2024</t>
  </si>
  <si>
    <t>मेाहनी रोड आराधर में कूडे में आग</t>
  </si>
  <si>
    <t>20.12.2024</t>
  </si>
  <si>
    <t>आई.टी पार्क के पास दुकान में आग</t>
  </si>
  <si>
    <t>सम्भवतः षार्ट सर्किट</t>
  </si>
  <si>
    <t>मियांवाला चौक दुकान में आग</t>
  </si>
  <si>
    <t>दुकान में आग मघ्य मार्ग से वापस</t>
  </si>
  <si>
    <t>23.12.2024</t>
  </si>
  <si>
    <t>एम.के.पी चौक के पास खाली प्लाट में आग</t>
  </si>
  <si>
    <t>....</t>
  </si>
  <si>
    <t>24.12.2024</t>
  </si>
  <si>
    <t>मेहूवाला बिजली के पोल में आग</t>
  </si>
  <si>
    <t>28.12.2024</t>
  </si>
  <si>
    <t>बल्लूपुर, मकान में आग</t>
  </si>
  <si>
    <t>मकान की छत में आग</t>
  </si>
  <si>
    <t>डिफेंस कालोनी, बिजली के पोल में आग</t>
  </si>
  <si>
    <t>बंसत विहार घर में गैस लीकेज</t>
  </si>
  <si>
    <t>गैस लीकेज जिसे स्थानीय लोगो द्वारा एफएस यूनिट के पहुचने से पहले बंद कर दिया गया था।</t>
  </si>
  <si>
    <t>29.12.2024</t>
  </si>
  <si>
    <t>दीलाराम चौक के निकट रेड टेप षोरूम में आग</t>
  </si>
  <si>
    <t>30.12.2024</t>
  </si>
  <si>
    <t>साई लोक कालोनी, जी.एम.एस रोड मकान में आग</t>
  </si>
  <si>
    <t>जाखन किमनी गांव</t>
  </si>
  <si>
    <t xml:space="preserve">जंगल </t>
  </si>
  <si>
    <t>09.12.2024</t>
  </si>
  <si>
    <t>| क्र. सं. | जनपद  | फायर स्टेशन का नाम/जिस फायर स्टेशन क्षेत्रान्तर्गत अनिकाण्ड हुआ हो | अनिकाण्ड का दिनांक | समय  | घटना स्थल का संक्षिप्त विवरण | अनिकाण्ड का कारण | अनिकाण्ड का विवरण (आग किस वस्तु में लगी है / अग्नि की श्रेणी) | अनुo हानि सम्पत्ति (फायर रिपोर्ट के आधार पर) | अनुo बचाई गई सम्पत्ति | जीव मृत | जीव घायल | जीव बचे |</t>
  </si>
  <si>
    <t>|---------|-------|-------------------------------------------------------------|------------------|------|------------------|----------------|---------------------------|------------------------------|------------------|---------|---------|---------|</t>
  </si>
  <si>
    <t>| 1       | देहरादून | ऋषिकेश | 02.04.2024 | 16.05 | बस स्टैंड ऋषिकेश के समीप | सम्भवत: अज्ञात व्यक्ति द्वारा लापरवाही से धूम्रपान फेंका | ए क्लास खाली प्लॉट में कूड़े में लगी थी | 2,000/- | 39,98,000/- | शून्य | शून्य | शून्य |</t>
  </si>
  <si>
    <t>| 2       | देहरादून | ऋषिकेश | 04.04.2024 | 00.01 | आईडीपीएल हनुमान मंदिर के समीप | सम्भवत: अज्ञात व्यक्ति द्वारा लापरवाही से धूम्रपान फेंका | ए क्लास खुले खोखे/दुकान में लगी थी | 25,000/- | 5,000/- | शून्य | शून्य | शून्य |</t>
  </si>
  <si>
    <t>| 3       | देहरादून | ऋषिकेश | 05.04.2024 | 09.42 | गंगानगर हनुमानपुर ऋषिकेश स्थित होटल के सामने | सम्भवत: अज्ञात व्यक्ति द्वारा लापरवाही से धूम्रपान फेंका | ए क्लास खाली प्लॉट में कूड़े में लगी थी | - | 20,00,000/- | शून्य | शून्य | शून्य |</t>
  </si>
  <si>
    <t>| 4       | देहरादून | ऋषिकेश | 05.04.2024 | 11.51 | पंजाबी महोल्ला दुर्गा मंदिर के पास ऋषिकेश | सम्भवत: अज्ञात व्यक्ति द्वारा लापरवाही से धूम्रपान फेंका | ए क्लास खाली प्लॉट में कूड़े में लगी थी | - | 20,00,000/- | शून्य | शून्य | शून्य |</t>
  </si>
  <si>
    <t>| 5       | देहरादून | ऋषिकेश | 05.04.2024 | 20.32 | अक्खड़ चौक गली नं 8 ऋषिकेश | सम्भवत: अज्ञात व्यक्ति द्वारा लापरवाही से धूम्रपान फेंका | ए क्लास खाली प्लॉट में जगह कूड़े में लगी थी | - | 10,00,000/- | शून्य | शून्य | शून्य |</t>
  </si>
  <si>
    <t>ऋषिकेश</t>
  </si>
  <si>
    <t>02.04.2024</t>
  </si>
  <si>
    <t>बस स्टैंड ऋषिकेश के समीप</t>
  </si>
  <si>
    <t>सम्भवत: अज्ञात व्यक्ति द्वारा लापरवाही से धूम्रपान फेंका</t>
  </si>
  <si>
    <t>ए क्लास खाली प्लॉट में कूड़े में लगी थी</t>
  </si>
  <si>
    <t>39,98,000/-</t>
  </si>
  <si>
    <t>04.04.2024</t>
  </si>
  <si>
    <t>आईडीपीएल हनुमान मंदिर के समीप</t>
  </si>
  <si>
    <t>ए क्लास खुले खोखे/दुकान में लगी थी</t>
  </si>
  <si>
    <t>05.04.2024</t>
  </si>
  <si>
    <t>गंगानगर हनुमानपुर ऋषिकेश स्थित होटल के सामने</t>
  </si>
  <si>
    <t>20,00,000/-</t>
  </si>
  <si>
    <t>पंजाबी महोल्ला दुर्गा मंदिर के पास ऋषिकेश</t>
  </si>
  <si>
    <t>अक्खड़ चौक गली नं 8 ऋषिकेश</t>
  </si>
  <si>
    <t>ए क्लास खाली प्लॉट में जगह कूड़े में लगी थी</t>
  </si>
  <si>
    <t>05/06.04.2024</t>
  </si>
  <si>
    <t>नन्द फर्म हरिद्वार रोड ऋषिकेश</t>
  </si>
  <si>
    <t>ए क्लास कूड़े के ढेर में लगी थी</t>
  </si>
  <si>
    <t>06.04.2024</t>
  </si>
  <si>
    <t>आईडीपीएल पुलिस चौकी परिसर ऋषिकेश</t>
  </si>
  <si>
    <t>ए एवं डी क्लास आग मुक्कमल में वाचिग खड़ी थी</t>
  </si>
  <si>
    <t>3,00,000/-</t>
  </si>
  <si>
    <t>12,00,000/-</t>
  </si>
  <si>
    <t>11.04.2024</t>
  </si>
  <si>
    <t>अशोक होटल के समीप ट्रेंनिंग ग्राउंड ऋषिकेश</t>
  </si>
  <si>
    <t>ए क्लास ट्रेनिंग ग्राउंड में लगी थी</t>
  </si>
  <si>
    <t>17.04.2024</t>
  </si>
  <si>
    <t>आवासीय गली नं 2 ऋषिकेश</t>
  </si>
  <si>
    <t>विद्युत पोल में तारों में</t>
  </si>
  <si>
    <t>9,90,000/-</t>
  </si>
  <si>
    <t>लक्ष्मण झूला रोड गुर्जरों के समीप</t>
  </si>
  <si>
    <t>20.04.2024</t>
  </si>
  <si>
    <t>रमेश पीपलानी के समीप गली नं 2 ऋषिकेश</t>
  </si>
  <si>
    <t>सम्भवत: अज्ञात व्यक्ति द्वारा लापरवाही से धूम्रपान कूड़े में फेंकने से</t>
  </si>
  <si>
    <t>ए क्लास खाली प्लॉट में लगी थी</t>
  </si>
  <si>
    <t>आईडीपीएल ट्रेनिंग ग्राउंड ऋषिकेश</t>
  </si>
  <si>
    <t>कोतवाली परिसर ऋषिकेश</t>
  </si>
  <si>
    <t>कूड़े के ढेर में</t>
  </si>
  <si>
    <t>ए क्लास पुलिस वाहन जल को गयी खड़ी पुरानी कार में</t>
  </si>
  <si>
    <t>9,50,000/-</t>
  </si>
  <si>
    <t>रेलवे स्टेशन परिसर बीएसएनएल ऋषिकेश</t>
  </si>
  <si>
    <t>सम्भवत: कूड़े में लगी आग व कन्टेनर के अंदर प्रवेग करने के कारण</t>
  </si>
  <si>
    <t>ए क्लास परिसर में बने कन्टेनर के अंदर बाहरी बिजलनी पहुचने के कारण</t>
  </si>
  <si>
    <t>27.04.2024</t>
  </si>
  <si>
    <t>आईडीपीएल पुलिस चौकी के समीप</t>
  </si>
  <si>
    <t>सम्भवत: लापरवाही से धूम्रपान कर लापरवाही से फेंकी गई सामग्री से</t>
  </si>
  <si>
    <t>ए क्लास आईडीपीएल पुलिस चौकी के समीप झाड़ियों में आग लगी थी</t>
  </si>
  <si>
    <t>हीरालाल मार्ग परशुराम चौक के समीप मिलन टेंट हाउस गोदाम में</t>
  </si>
  <si>
    <t>मुख्य अग्निशमन अधिकारी महोदय देहरादून के स्तर से जाँच की जानी है</t>
  </si>
  <si>
    <t>ए क्लास हीरालाल मार्ग परशुराम चौक के समीप मिलन टेंट हाउस गोदाम में आग लगी थी</t>
  </si>
  <si>
    <t>कृष्णा नगर ऋषिकेश ट्रेनिंग ग्राउंड में</t>
  </si>
  <si>
    <t>सम्भवत: लापरवाही से धूम्रपान करने के कारण</t>
  </si>
  <si>
    <t>ए क्लास कृष्णा नगर ऋषिकेश ट्रेनिंग ग्राउंड में आग लगी थी</t>
  </si>
  <si>
    <t>शैल बिहार ऋषिकेश स्थित विद्युत ट्रांसफार्मर में</t>
  </si>
  <si>
    <t>विद्युत पोल में इलेक्ट्रिक शार्ट सर्किट होने से</t>
  </si>
  <si>
    <t>डी क्लास आग विद्युत पोल की तारों में लगी थी</t>
  </si>
  <si>
    <t>1,98,000/-</t>
  </si>
  <si>
    <t>RPG</t>
  </si>
  <si>
    <t>आग झोपड़ी में खाना बनाते समय घर के चूल्हे से लग गयी थी। जिससे झोपड़ी में रखा हुआ सारा सामान, टीवी रूपयेइत्यादि जल गयेथे।</t>
  </si>
  <si>
    <t>हल्द्वानी</t>
  </si>
  <si>
    <t>02.09.2024</t>
  </si>
  <si>
    <t>फायर यूनिट ने घटना स्थल पर पहुच कर देखा तो आग फर्नीचर की दुकान में लगी थी। जिसे फायर यूनिट द्वारा पम्पिंग कर पूर्ण रुप से बुझाया  गया।</t>
  </si>
  <si>
    <t>सम्भवतः विद्युत शॉर्ट सर्किट</t>
  </si>
  <si>
    <t>07.09.2024</t>
  </si>
  <si>
    <t>फायर यूनिट ने घटना स्थल पर पहुच कर देखा तो आग घर में बिजली के बोर्ड  में लगी थी। जिसे फायर यूनिट द्वारा पानी व रेत की मदद से पूर्ण रुप से बुझाया  गया।</t>
  </si>
  <si>
    <t>विद्युत बोर्ड</t>
  </si>
  <si>
    <t>11.09.24</t>
  </si>
  <si>
    <t>सिलेण्डर</t>
  </si>
  <si>
    <t>15.09.24</t>
  </si>
  <si>
    <t>UK04AG8231</t>
  </si>
  <si>
    <t>19.09.24</t>
  </si>
  <si>
    <t>फायर यूनिट ने घटना स्थल पर पहुच कर देखा तो आग दुकान में लगी थी। जिसे फायर यूनिट ने वॉटर कैनन से पम्पिंग कर आग पूर्ण रुप से बुझाया  गया।</t>
  </si>
  <si>
    <t>20.09.24</t>
  </si>
  <si>
    <t>झोपडी</t>
  </si>
  <si>
    <t>25.09.2024</t>
  </si>
  <si>
    <t>26.09.2024</t>
  </si>
  <si>
    <t>फायर यूनिट ने घटना स्थल पर पहुच कर देखा तो आग हिटाची के एटीएम में लगी थी। जिसे फायर यूनिट के पहुचने से पूर्व ही स्थानीय लोगो द्वारा बुझाया  गया।</t>
  </si>
  <si>
    <t>29.09.2024</t>
  </si>
  <si>
    <t>ट्रक में</t>
  </si>
  <si>
    <t>फायर यूनिट ने घटना स्थल पर पहुच कर स्थानीय लोगो द्वारा बताया गया कि आग एक ट्रक में लगी थी। जिसे फायर यूनिट के पहुचने से पूर्व ही वाहन चालक द्वारा स्वंय ही बुझा दिया गया था।</t>
  </si>
  <si>
    <t>फायर यूनिट के घटना स्थल पर पहुचने से पूर्व ही DCR  द्वारा आग के बुझ जाने की सूचना दी गयी सूचना पाकर फायर यूनिट वापस फायर स्टेशन उपस्थित हूए ।</t>
  </si>
  <si>
    <t>फायर यूनिट ने घटना स्थल पर पहुच कर देखा तो आग स्कूटी संख्या UK04AG8231  में लगी थी   जिसे फायर यूनिट द्वारा CFT से पम्पिंग कर पूर्ण रुप से बुझाया  गया।</t>
  </si>
  <si>
    <t>फायर यूनिट ने घटना स्थल पर पहुच कर देखा तो आग झोपडी में लगी थी। जिसे फायर यूनिट द्वारा MFE से पम्पिंग कर पूर्ण रुप से बुझाया  गया।</t>
  </si>
  <si>
    <t>फायर यूनिट ने घटना स्थल पर पहुच कर देखा तो आग ट्रांसफार्मर के पास कूडें के ढेर  में लगी थी। जिसे फायर यूनिट ने MFE से  पम्पिंग कर आग पूर्ण रुप से बुझाया  गया।</t>
  </si>
  <si>
    <t>ATM में</t>
  </si>
  <si>
    <t>12.10.2024</t>
  </si>
  <si>
    <t>फायर यूनिट ने घटना स्थल पर पहुच कर देखा तो आग फैक्ट्री के कमरे में लगी थी  जिसे वहाँ के कर्मचारियों द्वारा पूर्ण रुप से बुझा दिया गया था ।</t>
  </si>
  <si>
    <t>फैक्ट्री के कमरे में</t>
  </si>
  <si>
    <t>16.10.2024</t>
  </si>
  <si>
    <t>19.10.2024</t>
  </si>
  <si>
    <t>अज्ञाक</t>
  </si>
  <si>
    <t>23.10.2024</t>
  </si>
  <si>
    <t>फायर यूनिट के पहुचने से पूर्व ही सीसीआर द्वारा अवगत कराया गया कि आग बुझ गयी है त्तपश्चात फायर यूनिट को वापस स्टेशन बुलाया गया।</t>
  </si>
  <si>
    <t>26.10.2024</t>
  </si>
  <si>
    <t>फायर यूनिट ने घटना स्थल पर पहुच कर देखा तो आग वासुदेव पुरुम छडांयल में मेडिकल स्टोर  में लगी थी  जिसे फायर यूनिट के पहुचने से पूर्व ही वहाँ पर मौजूद स्थानीय जनता द्वारा पूर्ण रुप से बुझा दिया गया था।</t>
  </si>
  <si>
    <t>संभवतः विघुत शॉर्ट सर्किट</t>
  </si>
  <si>
    <t>मेडिकल स्टोर में</t>
  </si>
  <si>
    <t>30.10.2024</t>
  </si>
  <si>
    <t>फायर यूनिट ने घटना स्थल पर पहुच कर देखा तो आग कुसुमखेडां के पास झ़ाडियों में लगी थी  जिसे बैकपैक सैट व फायर टेण्डर की सहायता से फायर यूनिट द्वारा पूर्ण रुप से बुझा  दिया गया ।</t>
  </si>
  <si>
    <t xml:space="preserve">नैनीताल </t>
  </si>
  <si>
    <t>फायर यूनिट ने घटना स्थल पर पहुच कर देखा तो आग काला दूध डेयरी लालकुआँ के पास पराल के ढेर में लगी थी  वाटर टेण्डर से पम्पिंग कर पूर्ण रुप से बुझाया गया</t>
  </si>
  <si>
    <t>संभवतः आतिशबाजी</t>
  </si>
  <si>
    <t>पराल के ढेर में</t>
  </si>
  <si>
    <t>फायर यूनिट ने घटना स्थल पर पहुच कर देखा तो आग मुखानी चौराहे के पास फर्नीचर की दुकान  में लगी थी जिसे वाटर टेण्डर व कैनन  से पम्पिंग कर पूर्ण रुप से बुझाया गया</t>
  </si>
  <si>
    <t>जाँच प्रचलित है</t>
  </si>
  <si>
    <t>स्पेशल फायर</t>
  </si>
  <si>
    <t>31.10.20245</t>
  </si>
  <si>
    <t>फायर यूनिट ने घटना स्थल पर पहुच कर देखा तो आग पहुचने से पूर्व स्वतः ही बुझ गयी थी।</t>
  </si>
  <si>
    <t>संभवतः आतिशबजी</t>
  </si>
  <si>
    <t>01.11.2024</t>
  </si>
  <si>
    <t>फायर यूनिट ने घटना स्थल पर पहुच कर देखा तो आग ठंडी सडंक आवास विकास के पास में सटरिंग के सामान में लगी थी   जिसे फायर यूनिट द्वारा फायर टेण्डर की सहायता से पूर्ण रुप से बुझाया  गया।</t>
  </si>
  <si>
    <t>शटरिंग की लकडियों में</t>
  </si>
  <si>
    <t xml:space="preserve">सम्भवतः आतिशबाजी </t>
  </si>
  <si>
    <t>सम्भवतः आतिशबाजी</t>
  </si>
  <si>
    <t>लकडियों में</t>
  </si>
  <si>
    <t>02.11.2024</t>
  </si>
  <si>
    <t>फायर यूनिट ने घटना स्थल पर पहुच कर देखा तो आग सतीश कॉलौनी मुखानी के पास खाली प्लॉट में कूडे के ढेर में लगी थी। जिसे फायर यूनिट ने कैनन  से पम्पिंग कर आग पूर्ण रुप से बुझाया  गया।</t>
  </si>
  <si>
    <t>04.11.2024</t>
  </si>
  <si>
    <t>फायर यूनिट ने घटना स्थल पर पहुच कर देखा तो आग तीन पनी के पास एक झोपडी  में लगी थी। जिसे फायर यूनिट ने चार होज फैलाकर एमएफई  से पम्पिंग कर आग को पूर्ण रुप से बुझाया  गया।</t>
  </si>
  <si>
    <t>10.11.2024</t>
  </si>
  <si>
    <t>फायर यूनिट ने घटना स्थल पर पहुच कर देखा तो आग अनिल कुमार निवासी तल्ला गोरखपुर के किचन में लगी थी । फायर यूनिट ने मिनीहाईप्रेशर की सहायता से आग को पूर्ण रुप से बुझाया गया।</t>
  </si>
  <si>
    <t>12.11.2024</t>
  </si>
  <si>
    <t>फायर यूनिट के घटना स्थल पर पहुचने से पूर्व सीसीआर द्वारा बताया गया कि आग नही लगी है एक्सीडेंट का मामला है त्तपश्चात फायर यूनिट वापस स्टेशन उपस्थित हुए ।</t>
  </si>
  <si>
    <t>13.11.2024</t>
  </si>
  <si>
    <t>फायर यूनिट ने घटना स्थल पर पहुच कर देखा तो आग चम्बल पुल के पास खाली प्लॉट में कूडे के ढेर में लगी थी। जिसे फायर यूनिट ने  पीट-पाठ कर आग पूर्ण रुप से बुझाया  गया।</t>
  </si>
  <si>
    <t>21.11.2024</t>
  </si>
  <si>
    <t>फायर यूनिट के घटना स्थल पर पहुचने से पूर्व सीसीआर द्वारा बताया गया कि आग बुझ चुकी है त्तपश्चात फायर यूनिट वापस स्टेशन उपस्थित हुए ।</t>
  </si>
  <si>
    <t>27.11.2024</t>
  </si>
  <si>
    <t>फायर यूनिट ने घटना स्थल पर पहुच कर देखा तो आग मोहन काण्डपाल के घर के पास रखे पराल के ढेर में लगी थी फायर य़ूनिट नें दो फायर टेण्डर की सहायता से आग को पूर्ण रुप से बुझाया गया।</t>
  </si>
  <si>
    <t>30.11.2024</t>
  </si>
  <si>
    <t>फायर यूनिट के घटना स्थल पर पहुचने से पूर्व कॉलर द्वारा बताया गया कि आग बुझ चुकी है त्तपश्चात फायर यूनिट वापस स्टेशन उपस्थित हुए ।</t>
  </si>
  <si>
    <t>02.12.2024</t>
  </si>
  <si>
    <t>फायर यूनिट के घटना स्थल गौलापुल पर पहुचने से पूर्व सीसीआर द्वारा बताया गया कि आग बुझ चुकी है त्तपश्चात फायर यूनिट वापस स्टेशन उपस्थित हुए ।</t>
  </si>
  <si>
    <t>कबाड की गाडी में</t>
  </si>
  <si>
    <t>03.12.2024</t>
  </si>
  <si>
    <t>गौलापारकूडे के ढेर में</t>
  </si>
  <si>
    <t>04.12.2024</t>
  </si>
  <si>
    <t>10.12.2024</t>
  </si>
  <si>
    <t>फायर यूनिट ने घटना स्थल पर पहुच कर देखा तो आग मुन्ना लाल निवासी गाँधी नगर  के घर के दो मंजिले मे लगी थी । फायर यूनिट ने दो होज की सहायता से आग को पूर्ण रुप से बुझाया गया।</t>
  </si>
  <si>
    <t>संभवतः शार्टसर्किट</t>
  </si>
  <si>
    <t xml:space="preserve">किचन में </t>
  </si>
  <si>
    <t>फायर यूनिट ने घटना स्थल पर पहुच कर देखा तो आग को फायर यूनिट के घटना स्थल पर पहुचने से पूर्व ही स्थानीय लोगो द्वारा बुझा दिया गया था। त्तपश्चात फायर यूनिट वापस स्टेशन उपस्थित हुए</t>
  </si>
  <si>
    <t>ट्रॉन्सफार्मर में</t>
  </si>
  <si>
    <t>15.10.2024</t>
  </si>
  <si>
    <t>स्पेशल फायर।</t>
  </si>
  <si>
    <t>दोबारा  धुऑ उठने की सूचना।</t>
  </si>
  <si>
    <t>जांच जारी है।</t>
  </si>
  <si>
    <t>19.12.2024</t>
  </si>
  <si>
    <t>फायर यूनिट ने घटना स्थल पर पहुच कर देखा तो आग मंडी क्षेत्र में ट्रांसफार्मर में थी। जिसे फायर यूनिट ने सीओ2 व एबीसी की सहायता से आग को बुझाया  गया।</t>
  </si>
  <si>
    <t xml:space="preserve">फायर यूनिट के घटना स्थल  रेलवे स्टेशन के पास  पहुचने से पूर्व सीसीआर द्वारा बताया गया कि आग बुझ चुकी है त्तपश्चात फायर यूनिट वापस स्टेशन उपस्थित हुए </t>
  </si>
  <si>
    <t xml:space="preserve">पेड में </t>
  </si>
  <si>
    <t>सिलेण्डर लीकेज के कारण</t>
  </si>
  <si>
    <t>फायर यूनिट ने घटना स्थल पर पहुच कर देखा तो आग छोटी पिकअप वाहन संख्या UK04GA8950 में लगी थी   जिसे फायर यूनिट द्वारा पम्पिंग कर पूर्ण रुप से बुझाया  गया।</t>
  </si>
  <si>
    <t>वाहन में UK04GA8950</t>
  </si>
  <si>
    <t>फायर यूनिट ने घटना स्थल पर पहुच कर देखा तो आग कूडे के ढेर में लगी थी। जिसे फायर यूनिट ने MFE  से पम्पिंग कर आग पूर्ण रुप से बुझाया  गया।</t>
  </si>
  <si>
    <t>फायर यूनिट ने घटना स्थल पर पहुच कर देखा तो आग कूडे के ढेर में लगी थी। जिसे फायर यूनिट ने कैनन  से पम्पिंग कर आग पूर्ण रुप से बुझाया  गया।</t>
  </si>
  <si>
    <t>फायर यूनिट ने घटना स्थल पर पहुच कर देखा तो आग देवगिरी बैंकट हॉल के पास कूडे के ढेर में लगी थी। जिसे फायर यूनिट ने MFE  से पम्पिंग कर आग पूर्ण रुप से बुझाया  गया।</t>
  </si>
  <si>
    <t>फायर यूनिट ने घटना स्थल पर पहुच कर देखा तो आग कैनाल रोड दमुवांढुंगा में खाली प्लॉट में रखी सटरिंग के सामान लकडियों में लगी थी। जिसे फायर यूनिट ने MFE  से पम्पिंग कर आग पूर्ण रुप से बुझाया  गया।</t>
  </si>
  <si>
    <t>फायर यूनिट ने घटना स्थल पर पहुच कर देखा तो आग ट्रेंचिग ग्राउण्ड में कूडे के ढेर में लगी थी। जिसे फायर यूनिट ने MFE  से पम्पिंग कर आग को बुझाया  गया।</t>
  </si>
  <si>
    <t>फायर यूनिट ने घटना स्थल पर पहुच कर देखा तो आग सिटी मजिस्ट्रेट के आवास के पास पेड में लगी थी। जिसे फायर यूनिट ने MFE  से पम्पिंग कर आग को बुझाया  गया।</t>
  </si>
  <si>
    <t>फायर यूनिट ने घटना स्थल पर पहुच कर देखा तो आग गुरुदारा काठगोदाम के  पास पेड में लगी थी। जिसे फायर यूनिट ने MFE  से पम्पिंग कर आग को बुझाया  गया।</t>
  </si>
  <si>
    <t>फायर यूनिट ने घटना स्थल पर पहुच कर देखा तो आग दीपक चन्द्र आर्या s/o श्री गोधन चन्द्र गुलजारपुर लामाचौड के किचन में सिलेण्डर लीकेज के कारण लगी थी जिसे  फायर यूनिट ने पूर्ण रुप से सिलेण्डर को ठण्डा कर आग को बुझाया  गया।</t>
  </si>
  <si>
    <t>सुशीला तिवारी कब्रिस्तान के पास झाडियो में</t>
  </si>
  <si>
    <t>×</t>
  </si>
  <si>
    <t>विकासनगर</t>
  </si>
  <si>
    <t>14ः15</t>
  </si>
  <si>
    <t>महोदय आग लकडी व कण्डम सामान में लगी थी</t>
  </si>
  <si>
    <t>सम्भवतः लापरवाही धुम्रपान</t>
  </si>
  <si>
    <t>महोदय आग हत्यारी पावर हाउस के निकट लकडी व कण्डम सामान में लगी थी, जिसे फायर यूनिट ने वाहन से पम्पिंग कर आग को पूर्ण रूप से बुझाया। मौके पर हत्यारी पावर हाउस के कर्मचारी मौजूद रहे। आग से कोई जनहानि नही हुई है। (आग लकडी व कण्डम सामान में लगी थी) आग की श्रेणी- ए-क्लास फायर</t>
  </si>
  <si>
    <t>4960000/-</t>
  </si>
  <si>
    <t>’’</t>
  </si>
  <si>
    <t>29.01.2024</t>
  </si>
  <si>
    <t>15ः05</t>
  </si>
  <si>
    <t>महोदय आग विकासनगर में चाय बागान में लगी थी</t>
  </si>
  <si>
    <t>महोदय आग तहसील विकासनगर के पिदे चाय के बागान में लगी थी, जिसे फायर यूनिट ने वाहन से पम्पिंग कर आग को पूर्ण रूप से बुझाया। आग से कोई जनहानि नही हुई है। (आग चाय बागान में लगी थी) आग की श्रेणी- ए-क्लास फायर</t>
  </si>
  <si>
    <t>95000/-</t>
  </si>
  <si>
    <t>22.02.2024</t>
  </si>
  <si>
    <t>23ः30</t>
  </si>
  <si>
    <t>महोदय आग लांघा रोड  पर औ0ई0 में लगी थी</t>
  </si>
  <si>
    <t>महोदय आग लांघा रोड स्थित औद्योगिक ईकाइ हिन्द रेक्टिफायर्स प्रा0 लि0 जो वर्तमान समय में बंद है, मे बिजली के तार में लगी थी, जिसे फायर सर्विस यूनिट विकासनगर के पंहुचने से पूर्व फायर यूनिट सेलाकुई द्वारा आग को  पूर्ण रूप से बुझा दिया गया था। आग से कोई जनहानि नही हुई है। (आग बिजली के तार में लगी थी) आग की श्रेणी- ई-क्लास फायर</t>
  </si>
  <si>
    <t>4995000/-</t>
  </si>
  <si>
    <t>03ः35</t>
  </si>
  <si>
    <t>महोदय साकेत विहार में पुराने बंद मकान में लगी थी</t>
  </si>
  <si>
    <t>महोदय आग साकेत विहार नगर पालिका विकासनगर में पुराने खंडर मकान में कबाड में लगी थी, जिसे फायर यूनिट ने मिनी हाईप्रेषर से पम्पिंग कर आग को पूर्ण रूप से बुझाया। आग से कोई जनहानि नही हुई है। (आग मकान में लगी थी) आग की श्रेणी- ए-क्लास फायर</t>
  </si>
  <si>
    <t>4998000/-</t>
  </si>
  <si>
    <t>26.03.2024</t>
  </si>
  <si>
    <t>16ः40</t>
  </si>
  <si>
    <t>महोदय हरबर्टपुर में मकान में लगी थी</t>
  </si>
  <si>
    <t>महोदय आग सुधांषु पुत्र गिरीराज निवाी हरर्बटपुर ने नषे की हालत में बंद कमरे में आग लगा दी थी, जिसे फायर सर्विस यूनिट विकासनगर के पंहुचने से पूर्व बुझा दिया गया था। घटनास्थल पर श्रीमान एफएसएसओ महोदय मौजूद थे। आग से कोई जनहानि नही हुई है। (आग मकान में लगी थी) आग की श्रेणी- ए-क्लास फायर</t>
  </si>
  <si>
    <t>1500000/-</t>
  </si>
  <si>
    <t>22ः33</t>
  </si>
  <si>
    <t>महोदय आग नागथात विसोई के पास जंगल में लगी थी, जो सोलर प्लांट की ओर तेजी से फैल रही थी। जिसे फायर यूनिट ने वाहन से पम्पिंग कर तथा सोलर प्लांट कर्मीयों की सहायता से आग को पीट पीटकर कर पूर्ण रूप से बुझाया। आग से कोई जनहानि नही हुई है। (आग जंगल में लगी थी) आग की श्रेणी- ए क्लास फायर</t>
  </si>
  <si>
    <t>5000000/-</t>
  </si>
  <si>
    <t>29.03.2024</t>
  </si>
  <si>
    <t>10ः39</t>
  </si>
  <si>
    <t>महोदय आग चीला गांव लकष्यार के पास जंगल में लगी थी, जो सोलर प्लांट की ओर तेजी से फैल रही थी। जिसे फायर यूनिट ने वाहन से पम्पिंग कर तथा वनविभाग व राजस्व टीम  की सहायता से आग को पीट पीटकर कर पूर्ण रूप से बुझाया। आग से कोई जनहानि नही हुई है। (आग जंगल में लगी थी) आग की श्रेणी- ए क्लास फायर</t>
  </si>
  <si>
    <t>महोदय आग म्यूंडा लाखामण्डल मकान में लगी थी</t>
  </si>
  <si>
    <t>महोदय आग ग्राम म्यूंडा में टिकम सिंह पुत्र श्री अतर सिंह के मकान में लगी थी। जिसे फायर यूनिट बडकोट द्वारा वाहनों से पम्पिंग कर पूर्ण रूप से बुझाया उक्त आग से मकान व मकान में रखा समस्त सामान पूर्ण रूप से जल कर नश्ट हो गया तथा पास में स्थित पूरण सिंह व जयपाल सिंह के मकान को आंशिक क्षति पहुॅची है (आग मकान में लगी थी) आग की श्रेणी- ए-क्लास फायर</t>
  </si>
  <si>
    <t>01ः18</t>
  </si>
  <si>
    <t>महोदय आग विकासनगर में टैम्पों में लगी थी</t>
  </si>
  <si>
    <t>महोदय आग होटल गुरू कृपा के सामने एक वाहन संख्या न्ज्ञ07ळ। 1005 में लगी थी, जिसे फायर सर्विस यूनिट ने वाहन से पंम्पिग कर आग को  पूर्ण रूप से बुझाया गया। सर्च करने पर उक्त वाहन में एक महिला मृत अवस्था में मिली जिसे स्थानीय पुलिस के सुपूर्द कर फायर यूनिट वापस स्टेषन पर उपस्थित हुए।  (आग टैम्पो में लगी थी) आग की श्रेणी- ए-क्लास फायर</t>
  </si>
  <si>
    <t>150000/-</t>
  </si>
  <si>
    <t>850000/-</t>
  </si>
  <si>
    <t>07.04.2024</t>
  </si>
  <si>
    <t>17ः01</t>
  </si>
  <si>
    <t>महोदय आग छरबा में पेडों में लगी थी</t>
  </si>
  <si>
    <t>महोदय आग मोनू पुत्र इकबाल निवासी छरबा के यूकेलिपटस के पेडो में लगी थी  जिसे फायर सर्विस यूनिट विकासनगर के पंहुचने से पूर्व फायर यूनिट सेलाकुई द्वारा आग को  पूर्ण रूप से बुझा दिया गया था। आग से कोई जनहानि नही हुई है। (आग पेडो में लगी थी) आग की श्रेणी- ए-क्लास फायर</t>
  </si>
  <si>
    <t>11ः04</t>
  </si>
  <si>
    <t>महोदय आग जीवनगढ में पुराल में लगी थी</t>
  </si>
  <si>
    <t>महोदय आग सकूर अली पुत्र स्व0 रषीद निवासी डांडा जीवनगढ के घर के बाहर रखे पुराल के ढेर में लगी थी, जिसे फायर सर्विस यूनिट ने वाहन से पंम्पिग कर आग को  पूर्ण रूप से बुझाया गया। (आग पुराल के ढेर में लगी थी) आग की श्रेणी- ए-क्लास फायर</t>
  </si>
  <si>
    <t>4990000/-</t>
  </si>
  <si>
    <t>18.04.2024</t>
  </si>
  <si>
    <t>12ः48</t>
  </si>
  <si>
    <t>महोदय आग बाडवाला जमुना पुल के निकट झोपडी व पुराल में लगी थी</t>
  </si>
  <si>
    <t>महोदय आग बाडवाला जमुना पुल के निकट झोपडीयों व पुराल के ढेर में में लगी थी, जिसे फायर सर्विस यूनिटों ने वाहनों से पंम्पिग कर आग को  पूर्ण रूप से बुझाया गया। (आग झोपडी/पुराल के ढेर में लगी थी) आग की श्रेणी- ए-क्लास फायर</t>
  </si>
  <si>
    <t>260000/-</t>
  </si>
  <si>
    <t>4740000/-</t>
  </si>
  <si>
    <t>14ः20</t>
  </si>
  <si>
    <t>महोदय आग बाडवाला जमुना पुल के निकट झाडियों/घास में लगी थी</t>
  </si>
  <si>
    <t>महोदय आग बाडवाला जमुना पुल के निकट झाडियों/घास में लगी थी जिसे फायर सर्विस यूनिटों ने वाहन से पंम्पिग कर आग को  पूर्ण रूप से बुझाया गया। (आग झाडियों/घास के ढेर में लगी थी) आग की श्रेणी- ए-क्लास फायर</t>
  </si>
  <si>
    <t>19.02.2024</t>
  </si>
  <si>
    <t>10ः35</t>
  </si>
  <si>
    <t>महोदय आग डाकपत्थर में दुकान में लगी थी</t>
  </si>
  <si>
    <t>महोदय आग नवीन गोयल पुत्र स्व0 श्री सुन्दरलाल निवासी डाकपत्थर के गोल मार्केट डाकपत्थर में स्थित परचुन की दुकान/गोदाम में लगी थी जिसे फायर सर्विस यूनिट ने वाहनो से पंम्पिग कर आग को  पूर्ण रूप से बुझाया गया। (आग दुकान/गोदाम में लगी थी) आग की श्रेणी- ए-क्लास फायर</t>
  </si>
  <si>
    <t>400000/-</t>
  </si>
  <si>
    <t>4600000/-</t>
  </si>
  <si>
    <t>09.04.2024</t>
  </si>
  <si>
    <t>19ः40</t>
  </si>
  <si>
    <t>महोदय आग जुडडो पावर हाउस के निकट जगल में लगी थी जो पावर हाउस की ओर तेजी से फैल रही रही थी, जिसे फायर सर्विस यूनिट ने वाहन से पंम्पिग कर आग को  पूर्ण रूप से बुझाया गया। आग से कोई जनहानि नही हुई है। (आग जगंल में लगी थी) आग की श्रेणी- ए-क्लास फायर</t>
  </si>
  <si>
    <t>12.04.2024</t>
  </si>
  <si>
    <t>14ः02</t>
  </si>
  <si>
    <t>महोदय आग सहिया के निकट जगल में लगी थी, जिसे फायर सर्विस यूनिट ने वाहन से पंम्पिग कर आग को  पूर्ण रूप से बुझाया गया। आग से कोई जनहानि नही हुई है। (आग जगंल में लगी थी) आग की श्रेणी- ए-क्लास फायर</t>
  </si>
  <si>
    <t>15ः35</t>
  </si>
  <si>
    <t>महोदय नागथात बिषोई के निकट खाई में जगल में लगी थी, जहां फायर सर्विस वाहन के पहुंचने का रास्ता न होने के कारण फायर सर्विस यूनिट ने वन विभाग कर्मीयों  व स्थानीय लोगो की सहायता से आग को पीट-पीटकर पूर्ण रूप से बुझाया गया। आग से कोई जनहानि नही हुई है। (आग जगंल में लगी थी) आग की श्रेणी- ए-क्लास फायर</t>
  </si>
  <si>
    <t>4500000/-</t>
  </si>
  <si>
    <t>3500000/-</t>
  </si>
  <si>
    <t>08ः10</t>
  </si>
  <si>
    <t>महोदय आग हरबर्टपुर में दुकान में लगी थी</t>
  </si>
  <si>
    <t>महोदय आग षनिदेव मन्दिर हरबर्टपुर पोंटा रोड के पास जहुर हसन की दुकान जो कि इरफान नामक व्यक्ति किराये पर प्लास्टिक मैट की दुकान चलाता था, में लगी थी जिसे फायर सर्विस यूनिट के पहुंचने से पूर्व स्थनीय लोगो द्वारा आग को पूर्ण रूप से बुझा दिया गया था। (आग दुकान में लगी थी) आग की श्रेणी- ए-क्लास फायर</t>
  </si>
  <si>
    <t>70000/-</t>
  </si>
  <si>
    <t>930000/-</t>
  </si>
  <si>
    <t>त्यूनी</t>
  </si>
  <si>
    <t>12ः32</t>
  </si>
  <si>
    <t>महोदय आग कथियान मार्ग पर जंगल में लगी थी, जिसे फायर यूनिट ने स्थानीय लोगों की सहायता से आग को पीट पीटकर कर व वाहन से पम्पिंग कर आग को पूर्ण रूप बुझाया। आग जगंल में लगी थी) आग की श्रेणी- ए-क्लास फायर</t>
  </si>
  <si>
    <t>10ः57</t>
  </si>
  <si>
    <t>महोदय आग डूमेट में झाडियों में लगी थी</t>
  </si>
  <si>
    <t>महोदय आग डूमेट में झाडियों में लगी थी, जो आवासीय भवनों की ओर तेजी से फैल रही थी, जिसे फायर यूनिट ने वाहन से पम्पिंग कर पूर्ण रूप से बुझाया तथा आग को फैलने से रोका गया। (आग झाडियों में लगी थी) आग की श्रेणी- ए-क्लास फायर</t>
  </si>
  <si>
    <t>2000000/-</t>
  </si>
  <si>
    <t>20ः20</t>
  </si>
  <si>
    <t>महोदय ढालीपुर मिर्जापुर में बांस के पेडों में लगी थी</t>
  </si>
  <si>
    <t>महोदय आग ढालीपुर मिर्जापुर में बांस के पेडों में लगी थी, जो आवसीय भवनो व आम के बगीचे की ओर तेजी से फैल रही थी, जिसे फायर सर्विस यूनिट ने वाहन से पंम्पिग कर आग को  पूर्ण रूप से बुझाया गया। (आग बांस के पेडों में लगी थी) आग की श्रेणी- ए-क्लास फायर</t>
  </si>
  <si>
    <t>1995000/-</t>
  </si>
  <si>
    <t>14ः36</t>
  </si>
  <si>
    <t>महोदय आग लखवाड में आम के बाग में लगी थी</t>
  </si>
  <si>
    <t>महोदय आग श्री विक्रम सिंह निवासी लखवाड के आम के बाग में लगी थी, जिसे फायर सर्विस यूनिट ने वाहन से पंम्पिग कर आग को  पूर्ण रूप से बुझाया गया। (आग आम के बाग में लगी थी) आग की श्रेणी- ए-क्लास फायर</t>
  </si>
  <si>
    <t>22ः25</t>
  </si>
  <si>
    <t>महोदय आग विकासनगर में वाईन षॉप की छत पर रखे प्लास्टिक के गत्तों में लगी थी</t>
  </si>
  <si>
    <t>महोदय आग होटल रोहिणी व वाइन षॉप की छत पर रखे प्लास्टिक के गत्तों में लगी थी, जिसे फायर सर्विस यूनिट वाहन से पम्पिंग कर आग को  पूर्ण रूप से बुझाया। आग से कोई जनहानि नही हुई है। (आग प्लास्टिक के गत्तों में लगी थी) आग की श्रेणी- ए-क्लास फायर</t>
  </si>
  <si>
    <t>07.05.2024</t>
  </si>
  <si>
    <t>16ः12</t>
  </si>
  <si>
    <t>महोदय आग हरबर्टपुर में दुकान/गोदाम में लगी थी</t>
  </si>
  <si>
    <t>महोदय आग पंजाब सिंध बैंक के पास अमर पुत्र बाबूराम की इलैक्ट्रोनिक क दुकान व गोदाम तथा मो0 इषरत पुत्र मुर्षरफ की खराद की दुकान में लगी थी, जिसे फायर सर्विस यूनिट विकासनगर व सेलाकुई यूनिट द्वारा वाहन से पंम्पिग कर आग को  पूर्ण रूप से बुझाया गया। (आग दुकान/गोदाम में लगी थी) आग की श्रेणी- ए-क्लास फायर</t>
  </si>
  <si>
    <t>2050000/-</t>
  </si>
  <si>
    <t>5950000/-</t>
  </si>
  <si>
    <t>12ः16</t>
  </si>
  <si>
    <t>महोदय आग विकासनगर गुरूद्वारे के पास गोबर के ढेर  में लगी थी</t>
  </si>
  <si>
    <t>महोदय आग विकासनगर गुरूद्वारे के पास गोबर के ढेर में लगी थी, जिसे फायर सर्विस यूनिट ने वाहन से पंम्पिग कर आग को  पूर्ण रूप से बुझाया गया। (आग गोबर के ढेर में लगी थी) आग की श्रेणी- ए-क्लास फायर</t>
  </si>
  <si>
    <t>18.05.2024</t>
  </si>
  <si>
    <t>22ः40</t>
  </si>
  <si>
    <t>महोदय आग लेहमन हॉस्पिटल के निकट झाडियों में लगी थी</t>
  </si>
  <si>
    <t>महोदय आग लेहमन हॉस्पिटल के पास झाडियों में लगी थी, जिसे फायर सर्विस यूनिट ने वाहन से पंम्पिग कर आग को  पूर्ण रूप से बुझाया गया। (आग झाडियों में लगी थी) आग की श्रेणी- ए-क्लास फायर</t>
  </si>
  <si>
    <t>21.05.2024</t>
  </si>
  <si>
    <t>महोदय आग तहसील विकासनगर के पिदे कुढे के ढेर  में लगी थी</t>
  </si>
  <si>
    <t>महोदय आग तहसील विकासनगर के पिदे कुढे के ढेर  में लगी थी जिसे फायर यूनिट के पहुंचने से पूर्व स्थानीय लोगों द्वारा पूर्ण रूप से बुझा दिया गया था तथा वापस आते समय तहसील के सामने एक पेड में आग में लगी थी, जिसे फायर सर्विस यूनिट ने वाहन से पंम्पिग कर आग को  पूर्ण रूप से बुझाया गया। (आग कुडे के ढेर व े डमें लगी थी) आग की श्रेणी- ए-क्लास फायर</t>
  </si>
  <si>
    <t>24.05.2024</t>
  </si>
  <si>
    <t>17ः27</t>
  </si>
  <si>
    <t>महोदय आग डाकपत्थर चौराहे के पास गोबर के ढेर  में लगी थी</t>
  </si>
  <si>
    <t>महोदय आग डाकपत्थर चौराहे के पास गोबर के ढेर में लगी थी, जिसे फायर सर्विस यूनिट ने वाहन से पंम्पिग कर आग को  पूर्ण रूप से बुझाया गया। (आग गोबर के ढेर में लगी थी) आग की श्रेणी- ए-क्लास फायर</t>
  </si>
  <si>
    <t>30.05.2024</t>
  </si>
  <si>
    <t>16ः35</t>
  </si>
  <si>
    <t>महोदय आग राजकीय हॉस्पिटल के पास दुकान  में लगी थी</t>
  </si>
  <si>
    <t>महोदय आग खजान चौहान पुत्र धन सिहं निवासी पोल्वा चकराता की राजकीय हॉस्पिटल के पास दूध डेरी की दुकान में लगी थी, जिसे फायर सर्विस यूनिट ने वाहन से पंम्पिग कर आग को  पूर्ण रूप से बुझाया गया। (आग दुकान में लगी थी) आग की श्रेणी- ए-क्लास फायर</t>
  </si>
  <si>
    <t>31.05.2024</t>
  </si>
  <si>
    <t>18ः39</t>
  </si>
  <si>
    <t>महोदय आग जीवनगढ में मदरसे के पास  यूकेलिपिटस के पेडो में लगी थी</t>
  </si>
  <si>
    <t>महोदय आग जीवनगढ में मदरसे के पास  यूकेलिपिटस के पेडो में लगी थी, जिसे फायर सर्विस यूनिट ने वाहन से पंम्पिग कर आग को  पूर्ण रूप से बुझाया गया। (आग यूकेलिपिटस के पेडो में लगी थी) आग की श्रेणी- ए-क्लास फायर</t>
  </si>
  <si>
    <t>12ः22</t>
  </si>
  <si>
    <t>महोदय आग वन डिपो हरबर्टपुर के निकट जगल में लगी थी, जो वन डिपो की ओर तेजी से फैल रही रही थी, जिसे फायर सर्विस यूनिट ने वाहन से पंम्पिग कर आग को  पूर्ण रूप से बुझाया गया। आग से कोई जनहानि नही हुई है। (आग जगंल में लगी थी) आग की श्रेणी- ए-क्लास फायर</t>
  </si>
  <si>
    <t>15ः15</t>
  </si>
  <si>
    <t>महोदय आग सहिया दातनू के निकट जगल में लगी थी, जिसे फायर सर्विस यूनिट ने वाहन से पंम्पिग कर तथा वन विभाग कर्मीयों के सहयोग से आग को  पूर्ण रूप से बुझाया गया। आग से कोई जनहानि नही हुई है। (आग जगंल में लगी थी) आग की श्रेणी- ए-क्लास फायर</t>
  </si>
  <si>
    <t>08.05.2024</t>
  </si>
  <si>
    <t>19ः25</t>
  </si>
  <si>
    <t xml:space="preserve">महोदय आग पृथ्वीपुर विकासनगर के निकट जगल में लगी थी, जहां फायर सर्विस यूनिट के वाहन के पहुचने का मार्ग नही था। कॉलर से सम्पर्क किया गया तो कॉलर ने बताया कि घटनास्थल पर वन विभाग की टीम पहुंच गई है। </t>
  </si>
  <si>
    <t>12.05.2024</t>
  </si>
  <si>
    <t>16ः55</t>
  </si>
  <si>
    <t>महोदय आग कालसी में चकराता मार्ग पर जगल में लगी थी, जिसे फायर सर्विस यूनिट ने वाहन से पंम्पिग कर पूर्ण रूप से बुझाया गया। आग से कोई जनहानि नही हुई है। (आग जगंल में लगी थी) आग की श्रेणी- ए-क्लास फायर</t>
  </si>
  <si>
    <t>995000/-</t>
  </si>
  <si>
    <t>14.05.2024</t>
  </si>
  <si>
    <t>16ः57</t>
  </si>
  <si>
    <t>महोदय आग चकराता देवरा मार्ग पर जगल में लगी थी, जिसे फायर सर्विस यूनिट ने वाहन से पंम्पिग कर पूर्ण रूप से बुझाया गया। आग से कोई जनहानि नही हुई है। (आग जगंल में लगी थी) आग की श्रेणी- ए-क्लास फायर</t>
  </si>
  <si>
    <t>17.05.2024</t>
  </si>
  <si>
    <t>12ः28</t>
  </si>
  <si>
    <t>महोदय आग खोदरी पाावर हाउस के पास जगल में लगी थी, जो पावर हाउस की ओर तेजी से फैल रही थी, जिसे फायर सर्विस यूनिट ने वाहन से पंम्पिग कर पूर्ण रूप से बुझाया गया। आग से कोई जनहानि नही हुई है। (आग जगंल में लगी थी) आग की श्रेणी- ए-क्लास फायर</t>
  </si>
  <si>
    <t>17ः55</t>
  </si>
  <si>
    <t>महोदय आग खोदरी पाावर हाउस के पास जगल में लगी थी, जो पावर हाउस की ओर तेजी से फैल रही थी, जिसे फायर सर्विस यूनिट ने वाहन से पंम्पिग कर तथा वन विभाग कर्मीयों के सहयोग से आग को पीट पीटकर पूर्ण रूप से बुझाया गया। आग से कोई जनहानि नही हुई है। (आग जगंल में लगी थी) आग की श्रेणी- ए-क्लास फायर</t>
  </si>
  <si>
    <t>13ः 33</t>
  </si>
  <si>
    <t>महोदय आग कालसी के पास जगल में लगी थी, जिसे फायर सर्विस यूनिट ने वाहन से पंम्पिग कर पूर्ण रूप से बुझाया गया। आग से कोई जनहानि नही हुई है। (आग जगंल में लगी थी) आग की श्रेणी- ए-क्लास फायर</t>
  </si>
  <si>
    <t>495000/-</t>
  </si>
  <si>
    <t>16ः 28</t>
  </si>
  <si>
    <t>महोदय आग कालसी से 04 कि0मी0 आगे जगल में लगी थी, जिसे फायर सर्विस यूनिट ने वाहन से पंम्पिग कर पूर्ण रूप से बुझाया गया। आग से कोई जनहानि नही हुई है। (आग जगंल में लगी थी) आग की श्रेणी- ए-क्लास फायर</t>
  </si>
  <si>
    <t>26.05.2024</t>
  </si>
  <si>
    <t>21ः 06</t>
  </si>
  <si>
    <t>महोदय आग जुडडो के निकट जगल में लगी थी, जिसे फायर सर्विस यूनिट ने वाहन से पंम्पिग कर पूर्ण रूप से बुझाया गया। आग से कोई जनहानि नही हुई है। (आग जगंल में लगी थी) आग की श्रेणी- ए-क्लास फायर</t>
  </si>
  <si>
    <t>28.05.2024</t>
  </si>
  <si>
    <t>09ः33</t>
  </si>
  <si>
    <t>महोदय आग लोहारी गांव के निकट जगल में लगी थी, जो लोहारी पावर प्लांट की ओर तेजी से फैल रही थी जिसे फायर सर्विस यूनिट ने वाहन से पंम्पिग कर पूर्ण रूप से बुझाया गया। आग से कोई जनहानि नही हुई है। (आग जगंल में लगी थी) आग की श्रेणी- ए-क्लास फायर</t>
  </si>
  <si>
    <t>21ः20</t>
  </si>
  <si>
    <t>महोदय आग बैराटखाई के निकट जगल में लगी थी, जो हिमालयन रिसोर्ट की ओर तेजी से फैल रही थी जिसे फायर सर्विस यूनिट ने वाहन से पंम्पिग कर पूर्ण रूप से बुझाया गया। आग से कोई जनहानि नही हुई है। (आग जगंल में लगी थी) आग की श्रेणी- ए-क्लास फायर</t>
  </si>
  <si>
    <t>1990000/-</t>
  </si>
  <si>
    <t>15ः25</t>
  </si>
  <si>
    <t>महोदय आग बैराटखाई चुुरानी के निकट जगल में लगी थी, जो हिमालयन रिसोर्ट की ओर तेजी से फैल रही थी जिसे फायर सर्विस यूनिट ने वाहन से पंम्पिग कर पूर्ण रूप से बुझाया गया। आग से कोई जनहानि नही हुई है। (आग जगंल में लगी थी) आग की श्रेणी- ए-क्लास फायर</t>
  </si>
  <si>
    <t>11ः48</t>
  </si>
  <si>
    <t>महोदय आग नागथात बैराठखाई के निकट जगल में लगी थी, जिसे फायर सर्विस यूनिट ने वाहन से पंम्पिग कर पूर्ण रूप से बुझाया गया। आग से कोई जनहानि नही हुई है। (आग जगंल में लगी थी) आग की श्रेणी- ए-क्लास फायर</t>
  </si>
  <si>
    <t>22ः28</t>
  </si>
  <si>
    <t>महोदय आग नागथात बैराठखाई के निकट जगल में लगी थी, जो आावासीय बस्ती की ओर तेजी से फैल रही थी जिसे फायर सर्विस यूनिट ने वाहन से पंम्पिग कर पूर्ण रूप से बुझाया गया। आग से कोई जनहानि नही हुई है। (आग जगंल में लगी थी) आग की श्रेणी- ए-क्लास फायर</t>
  </si>
  <si>
    <t>25.05.2024</t>
  </si>
  <si>
    <t>03ः29</t>
  </si>
  <si>
    <t>महोदय आग त्यूनी बाजार में दुकान  में लगी थी</t>
  </si>
  <si>
    <t>महोदय आग त्यूनी बाजार में अहतसाम पुत्र श्री सलीम की प्लास्टिक व कांच के सामान/क्रोकरी की दुकान में लगी थी, जिसे फायर सर्विस यूनिट ने वाहन से पंम्पिग कर आग को  पूर्ण रूप से बुझाया गया। आग से कोई जनहानि नही हुई है। (आग प्लास्टिक व कांच के सामान/क्रोकरी की दुकान में लगी थी) आग की श्रेणी- ए-क्लास फायर</t>
  </si>
  <si>
    <t>500000/-</t>
  </si>
  <si>
    <t>13ः38</t>
  </si>
  <si>
    <t>महोदय आग त्यूनी बाजार में मकान  में लगी थी</t>
  </si>
  <si>
    <t>महोदय आग त्यूनी बाजार में श्री जयपाल सिंह के मकान के उपर बनी लकडी की रसोई में लगी थी, जिसे फायर सर्विस यूनिट ने स्थानीय लोगो की सहायता से बाल्टीयों से पानी डालकर आग को  पूर्ण रूप से बुझाया गया। आग से कोई जनहानि नही हुई है। (आग मकान के उपर बनी लकडी की रसोई में लगी थी) आग की श्रेणी- ए-क्लास फायर</t>
  </si>
  <si>
    <t>थ्ै यूनिट त्यूनी</t>
  </si>
  <si>
    <t>19ः55</t>
  </si>
  <si>
    <t>महोदय आग ग्राम अणु तहसील त्यूनी के निकट  जगल में लगी थी, जो आावासीय बस्ती की ओर तेजी से फैल रही थी जिसे फायर सर्विस यूनिट ने वन विभाग कर्मीयों व ग्रमीणों के सहयोग से आग को पीट पीटकर पूर्ण रूप से बुझाया गया। आग से कोई जनहानि नही हुई है। (आग जगंल में लगी थी) आग की श्रेणी- ए-क्लास फायर</t>
  </si>
  <si>
    <t>1000000/-</t>
  </si>
  <si>
    <t>21ः01</t>
  </si>
  <si>
    <t>महोदय आग ग्राम पद्राणु के उपर पहाड पर जगल में लगी थी, जो सडक मार्ग की ओर तेजी से फैल रही थी जिसे फायर सर्विस यूनिट ने वाहन से पम्ंिपग कर पूर्ण रूप से बुझाया गया। आग से कोई जनहानि नही हुई है। (आग जगंल में लगी थी) आग की श्रेणी- ए-क्लास फायर</t>
  </si>
  <si>
    <t>महोदय आग अम्बाडी में लकडी के ढेर में लगी थी</t>
  </si>
  <si>
    <t>महोदय आग अम्बाड पंवार मार्केट में वन विभाग चौकी में रखे में लकडी के ढेर में लगी थी, जिसे फायर यूनिट ने वाहन से पम्पिंग कर पूर्ण रूप से बुझाया तथा आग को फैलने से रोका गया। (आग लकडी के ढेर में लगी थी) आग की श्रेणी- ए-क्लास फायर</t>
  </si>
  <si>
    <t>14.06.2024</t>
  </si>
  <si>
    <t>15ः40</t>
  </si>
  <si>
    <t>महोदय गढवाल मण्डल निगम डाकपत्थर के पास  झाडियों में लगी थी</t>
  </si>
  <si>
    <t>महोदय आग गढवाल मण्डल निगम डाकपत्थर के पास झाडियों में लगी थी, जो आवसीय भवन की ओर तेजी से फैल रही थी, जिसे फायर सर्विस यूनिट ने वाहन से पंम्पिग कर आग को  पूर्ण रूप से बुझाया गया। (आग झाडियों में लगी थी) आग की श्रेणी- ए-क्लास फायर</t>
  </si>
  <si>
    <t>01.06.2024</t>
  </si>
  <si>
    <t>14ः16</t>
  </si>
  <si>
    <t>महोदय आग नागथात चुरानी के जगल में हिमालयन रिसोर्ट के पास लगी थी, जिसे फायर सर्विस यूनिट ने वाहन से पंम्पिग कर आग को  पूर्ण रूप से बुझाया गया। आग से कोई जनहानि नही हुई है। (आग जगंल में लगी थी) आग की श्रेणी- ए-क्लास फायर</t>
  </si>
  <si>
    <t>21ः15</t>
  </si>
  <si>
    <t>महोदय आग कालसी में पंजिटीलानी गांव के निकट जगल में लगी थी, जो ग्रामीण क्षेत्र की ओर तेजी से फैल रही थी, जिसे फायर सर्विस यूनिट ने वाहन से पंम्पिग कर आग को  पूर्ण रूप से बुझाया गया। आग से कोई जनहानि नही हुई है। (आग जगंल में लगी थी) आग की श्रेणी- ए-क्लास फायर</t>
  </si>
  <si>
    <t>04.06.2024</t>
  </si>
  <si>
    <t>07ः10</t>
  </si>
  <si>
    <t>महोदय आग कालसी में पंजिटीलानी गांव के निकट जगल में लगी थी, जिसे फायर सर्विस यूनिट ने वाहन से पंम्पिग कर आग को  पूर्ण रूप से बुझाया गया। आग से कोई जनहानि नही हुई है। (आग जगंल में लगी थी) आग की श्रेणी- ए-क्लास फायर</t>
  </si>
  <si>
    <t>15ः42</t>
  </si>
  <si>
    <t>महोदय आग कालसी में पंजिटीलानी गांव के निकट बांज के जगल में लगी थी, जो ग्रामीण क्षेत्र की ओर तेजी से फैल रही थी, जिसे फायर सर्विस यूनिट ने वाहन से पंम्पिग कर आग को  पूर्ण रूप से बुझाया गया। आग से कोई जनहानि नही हुई है। (आग जगंल में लगी थी) आग की श्रेणी- ए-क्लास फायर</t>
  </si>
  <si>
    <t>17ः11</t>
  </si>
  <si>
    <t>महोदय आग सहसपुर रोड तिमली गांव के निकट जगल में लगी थी, जिसे फायर सर्विस यूनिट ने वाहन से पंम्पिग कर पूर्ण रूप से बुझाया गया। मौके पर वन विभाग डिप्टी रेंजर द्वारा मय कर्मीयों के आग को बुझाने में सहयोग किया गया। आग से कोई जनहानि नही हुई है। (आग जगंल में लगी थी) आग की श्रेणी- ए-क्लास फायर</t>
  </si>
  <si>
    <t>10.06.2024</t>
  </si>
  <si>
    <t>15ः20</t>
  </si>
  <si>
    <t>महोदय आग लेहमन हॉस्पिटल के पिछे आवासीय भवन पास जगल में लगी थी, जो मकानो की ओर तेजी से फैल रही थी, जिसे फायर सर्विस यूनिट ने वाहन से पंम्पिग कर पूर्ण रूप से बुझाया गया। आग से कोई जनहानि नही हुई है। (आग जगंल में लगी थी) आग की श्रेणी- ए-क्लास फायर</t>
  </si>
  <si>
    <t>20ः19</t>
  </si>
  <si>
    <t>महोदय आग हनुमत धाम गुडरीच के पास जगल में लगी थी, जिसे फायर सर्विस यूनिट ने वाहन से पंम्पिग कर आग को पूर्ण रूप से बुझाया गया। आग से कोई जनहानि नही हुई है। (आग जगंल में लगी थी) आग की श्रेणी- ए-क्लास फायर</t>
  </si>
  <si>
    <t>1000/-</t>
  </si>
  <si>
    <t>1999000/-</t>
  </si>
  <si>
    <t>14ः40</t>
  </si>
  <si>
    <t>महोदय आग कालसी माता मन्दिर के पास बैराघ्टखाई मार्ग पर जगल में लगी थी, जिसे फायर सर्विस यूनिट ने वाहन से पंम्पिग कर पूर्ण रूप से बुझाया गया। आग से कोई जनहानि नही हुई है। (आग जगंल में लगी थी) आग की श्रेणी- ए-क्लास फायर</t>
  </si>
  <si>
    <t>17.06.2024</t>
  </si>
  <si>
    <t>15ः58</t>
  </si>
  <si>
    <t>महोदय आग बरोटीवाला के पास जगल में लगी थी, जो आवासीय भवनों की ओर तेजी से फैल रही थी, जिसे फायर सर्विस यूनिट ने वाहन से पंम्पिग कर बुझाना अराम्भ किया आग की विकरालता को देख्ते हुए एफएस से एक ओर वाटर टेण्डर घटनास्थल पर बुलाया गया तत्पष्चात दोनो वाहनों से आग को घेरकर पूर्ण रूप से बुझाया गया। आग से कोई जनहानि नही हुई है। (आग जगंल में लगी थी) आग की श्रेणी- ए-क्लास फायर</t>
  </si>
  <si>
    <t>14ः46</t>
  </si>
  <si>
    <t>महोदय आग ग्राम चिलाड (अलसी) के पास जगल में लगी थी, जो लोगो के घरो व टमाटर व आम के खेतो की ओर तेजी से फैल रही थी जिसे फायर सर्विस यूनिट ने वाहन से पम्ंिपग कर वन विभाग कर्मीयों व ग्रमीणों के सहयोग से आग को पूर्ण रूप से बुझाया गया। आग से कोई जनहानि नही हुई है। (आग जगंल में लगी थी) आग की श्रेणी- ए-क्लास फायर</t>
  </si>
  <si>
    <t>14ः42</t>
  </si>
  <si>
    <t>महोदय आग कोटी कनासर के पास जंगल में लगी थी, जिसे वन विभाग की टीम व स्थनीय लागों द्वारा बुझाया जा रहा था, जिसे फायर सर्विस यूनिट ने वाहन से पम्ंिपग कर पूर्ण रूप से बुझाया गया। आग से कोई जनहानि नही हुई है। (आग जगंल में लगी थी) आग की श्रेणी- ए-क्लास फायर</t>
  </si>
  <si>
    <t>950000/-</t>
  </si>
  <si>
    <t>15ः48</t>
  </si>
  <si>
    <t>महोदय आग कंडोली के पास बाणा गांव के जंगल में लगी थी, जो लोगो के घरो व टमाटर व आम के खेतो की ओर तेजी से फैल रही थी जिसे फायर सर्विस यूनिट ने वाहन से पम्ंिपग कर आग को पूर्ण रूप से बुझाया गया। आग से कोई जनहानि नही हुई है। (आग जगंल में लगी थी) आग की श्रेणी- ए-क्लास फायर</t>
  </si>
  <si>
    <t>100000/-</t>
  </si>
  <si>
    <t>1100000/-</t>
  </si>
  <si>
    <t>17.08.2024</t>
  </si>
  <si>
    <t>06ः14</t>
  </si>
  <si>
    <t>महोदय आग विकासनगर  में टेलर की दुकान में लगी थी</t>
  </si>
  <si>
    <t>महोदय आग मुख्य बाजार विकासनगर में एक्सचेंज वाली गली में गुलनवाब की दून लिबास नाम से संचालित टेलर की दूकान में लगी थी, जिसे फायर यूनिट ने वाहन से पम्पिंग कर पूर्ण रूप से बुझाया तथा आग को फैलने से रोका गया। आग से कोई जनहानि नही हुई है। (आग टेलर की दूकान में लगी थी) आग की श्रेणी- ए-क्लास फायर</t>
  </si>
  <si>
    <t>10ः42</t>
  </si>
  <si>
    <t>महोदय आग तेलपुर विकासनगर  में मकान में लगी थी</t>
  </si>
  <si>
    <t>महोदय आग श्री जसवीर सिंह पुत्र श्री सरदार सिंह निवासी तेलपुर विकासनगर के मकान के एक कमरे में में लगी थी, जिसे फायर यूनिट ने वाहन से पम्पिंग कर पूर्ण रूप से बुझाया तथा आग को फैलने से रोका गया। आग से कोई जनहानि नही हुई है। (आग मकान में लगी थी) आग की श्रेणी- ए-क्लास फायर</t>
  </si>
  <si>
    <t>700000/-</t>
  </si>
  <si>
    <t>4300000/-</t>
  </si>
  <si>
    <t>16.09.2024</t>
  </si>
  <si>
    <t>14ः47</t>
  </si>
  <si>
    <t>महोदय आग विकासनगर  में हार्डवेयर की दुकान में लगी थी</t>
  </si>
  <si>
    <t>महोदय आग गीता भवन विकासनगर के पास बस स्टैण्ड के निकट नवीन बंसल की हार्डवेयर की दुकान व गोदाम में लगी थी, जिसे फायर यूनिट विकासनगर व सेलाकुई ने वाहनों से पम्पिंग कर पूर्ण रूप से बुझाया तथा आग को फैलने से रोका गया। आग से कोई जनहानि नही हुई है। (आग हार्डवेयर की दुकान व गोदाम में लगी थी) आग की श्रेणी- ए-क्लास फायर</t>
  </si>
  <si>
    <t>13ः40</t>
  </si>
  <si>
    <t>महोदय आग श्री काकू षर्मा पुत्र रामभज षर्मा निवासी लाईन जीवनगढ विकासनगर के घर के बाहर रखे पुराल के ढेर में लगी थी, जिसे फायर यूनिट ने वाहन से पम्पिंग कर पूर्ण रूप से बुझाया तथा आग को फैलने से रोका गया। आग से कोई जनहानि नही हुई है। (आग पुराल के ढेर में लगी थी) आग की श्रेणी- ए-क्लास फायर</t>
  </si>
  <si>
    <t>13ः03</t>
  </si>
  <si>
    <t>महोदय आग षिवपुरी कॉलोनी डाकपत्थर  में पुराल में लगी थी</t>
  </si>
  <si>
    <t>सम्भ्वतः लापरवाही धुम्रपान</t>
  </si>
  <si>
    <t>महोदय आग श्री षषिपाल राणा पुत्र पूरण सिंह राणा निवासी षिवपुरी कॉलोनी डाकपत्थर के घर के बाहर रखे पुराल के ढेर में लगी थी, जिसे फायर यूनिट ने वाहन से पम्पिंग कर पूर्ण रूप से बुझाया तथा आग को फैलने से रोका गया। आग से कोई जनहानि नही हुई है। (आग पुराल के ढेर में लगी थी) आग की श्रेणी- ए-क्लास फायर</t>
  </si>
  <si>
    <t>13ः45</t>
  </si>
  <si>
    <t>महोदय आग तेलपुर गाांव के पास  पुराल के ढेर में लगी थी</t>
  </si>
  <si>
    <t>सम्भ्वतः पटाखों की चिंगारी से</t>
  </si>
  <si>
    <t>महोदय आग तेलपुर गाांव मे खेत के पास  रखे पुराल के ढेर में लगी थी, जिसे फायर यूनिट ने वाहन से पम्पिंग कर पूर्ण रूप से बुझाया तथा आग को फैलने से रोका गया। आग से कोई जनहानि नही हुई है। (आग पुराल के ढेर में लगी थी) आग की श्रेणी- ए-क्लास फायर</t>
  </si>
  <si>
    <t>6000/-</t>
  </si>
  <si>
    <t>14000/-</t>
  </si>
  <si>
    <t>00ः25</t>
  </si>
  <si>
    <t>महोदय आग बाला सुन्दरी मन्दिर वि0 के पास  पुराल के ढेर में लगी थी</t>
  </si>
  <si>
    <t>महोदय आग बाला सुन्दरी मन्दिर वि0 के पास  पुराल के ढेर में लगी थी, जिसे फायर यूनिट ने वाहन से पम्पिंग कर पूर्ण रूप से बुझाया तथा आग को फैलने से रोका गया। आग से कोई जनहानि नही हुई है। (आग पुराल के ढेर में लगी थी) आग की श्रेणी- ए-क्लास फायर</t>
  </si>
  <si>
    <t>4000/-</t>
  </si>
  <si>
    <t>16000/-</t>
  </si>
  <si>
    <t>18ः20</t>
  </si>
  <si>
    <t>महोदय आग एटनबाग मे ट्रेक्टर ट्राली मे लदे पुराल में लगी थी</t>
  </si>
  <si>
    <t>महोदय आग एटनबाग समरफिल्ड स्कूल के पास हरबर्टपुर रोड पर सडक किनारे  ट्रेक्टर ट्राली मे लदे पुराल में लगी थी, जिसे फायर यूनिट ने वाहन से पम्पिंग कर पूर्ण रूप से बुझाया तथा आग को फैलने से रोका गया। आग से कोई जनहानि नही हुई है। (आग पुराल में लगी थी) आग की श्रेणी- ए-क्लास फायर</t>
  </si>
  <si>
    <t>महोदय आग फतेहपुर मे पुराल में लगी थी</t>
  </si>
  <si>
    <t>महोदय आग श्री नारायण दास पुत्र राम दास निवासी फतेहपुर के घर के बाहर रखे पुराल के ढेर में लगी थी, जिसे फायर यूनिट ने वाहन से पम्पिंग कर पूर्ण रूप से बुझाया तथा आग को फैलने से रोका गया। आग से कोई जनहानि नही हुई है। (आग पुराल में लगी थी) आग की श्रेणी- ए-क्लास फायर</t>
  </si>
  <si>
    <t>15.11.2024</t>
  </si>
  <si>
    <t>महोदय आग ढालीपुर मे सुखी घास के ढेर में लगी थी</t>
  </si>
  <si>
    <t>महोदय आग श्री सलीम पुत्र जमराल निवासी ढालीपुर हरर्बटर के घर के बाहर रखे सुखी घास के ढेर में लगी थी, जिसे फायर यूनिट ने वाहन से पम्पिंग कर पूर्ण रूप से बुझाया तथा आग को फैलने से रोका गया। आग से कोई जनहानि नही हुई है। (आग पुराल में लगी थी) आग की श्रेणी- ए-क्लास फायर</t>
  </si>
  <si>
    <t>17.11.2024</t>
  </si>
  <si>
    <t>16ः49</t>
  </si>
  <si>
    <t>महोदय आग कैनाल रोड विकासनगर मे पुराल में लगी थी</t>
  </si>
  <si>
    <t>महोदय आग श्री षेरसिंह के षक्ति विहार विकासनगर में खेत में रखे पुराल के ढेर में लगी थी, जिसे फायर यूनिट ने वाहन से पम्पिंग कर बुझाना आरम्भ किया आग की अधिेता को देखते हुए एफएस से एक वाटर टेण्डर को सहायतार्थ घटनास्थल पर बुलाया गया तत्पष्चात दोनों वाहनों से पम्पिंग का आग को पूर्ण रूप से बुझाया तथा आग को फैलने से रोका गया। आग से कोई जनहानि नही हुई है। (आग पुराल में लगी थी) आग की श्रेणी- ए-क्लास फायर</t>
  </si>
  <si>
    <t>8000/-</t>
  </si>
  <si>
    <t>12000/-</t>
  </si>
  <si>
    <t>16ः05</t>
  </si>
  <si>
    <t>महोदय आग पुल न0 1 डाक्टरगंज डाकपत्थर  में घर में लगी थी</t>
  </si>
  <si>
    <t>महोदय आग पुल न0 1 डाक्टरगंज डाकपत्थर  डाकपत्थर में मकान के कमरें  में लगी थी, जिसे फायर यूनिट ने वाहन से पम्पिंग कर पूर्ण रूप से बुझाया तथा आग को फैलने से रोका गया। आग से कोई जनहानि नही हुई है। (आग मकान के कमरें में लगी थी) आग की श्रेणी- ए-क्लास फायर</t>
  </si>
  <si>
    <t>750000/-</t>
  </si>
  <si>
    <t>19ः31</t>
  </si>
  <si>
    <t>महोदय आग ढकरानी पंचायत भवन  के पास  पुराल के ढेर में लगी थी</t>
  </si>
  <si>
    <t>महोदय आग रतन सिंह निवासी ढकरानी निकट पंचायती भवन के मकान की छत पर रखें पुराल के ढेर में लगी थी, जिसे फायर यूनिट ने वाहन से पम्पिंग कर पूर्ण रूप से बुझाया तथा आग को फैलने से रोका गया। आग से कोई जनहानि नही हुई है। (आग पुराल के ढेर में लगी थी) आग की श्रेणी- ए-क्लास फायर</t>
  </si>
  <si>
    <t>18ः40</t>
  </si>
  <si>
    <t>महोदय आग फतेहपुर ग्रान्ट वि0नगर में  पुराल के ढेर में लगी थी</t>
  </si>
  <si>
    <t>महोदय आग अषोक कुमार पुत्र वीर सिंह निवासी फतेहपुर ग्रान्ट वि0नगर के पुराल के ढेर में लगी थी, जिसे फायर यूनिट ने वाहन से पम्पिंग कर पूर्ण रूप से बुझाया तथा आग को फैलने से रोका गया। आग से कोई जनहानि नही हुई है। (आग पुराल के ढेर में लगी थी) आग की श्रेणी- ए-क्लास फायर</t>
  </si>
  <si>
    <t>7000/-</t>
  </si>
  <si>
    <t>1993000/-</t>
  </si>
  <si>
    <t>00ः55</t>
  </si>
  <si>
    <t>महोदय आग कृशि मंडी विकासनगरमें किसान फूड कम्पनी में लगी थी</t>
  </si>
  <si>
    <t>महोदय आग षोकत अली पुत्र मकसूद अली की दुकान नम्बर सी-82 कृशि उत्पादन मंडी समिति विकासनगर में लगी थी, जिसे फायर यूनिट ने वाहन से पम्पिंग कर पूर्ण रूप से बुझाया तथा आग को फैलने से रोका गया। आग से कोई जनहानि नही हुई है। (आग दुकान में लगी थी) आग की श्रेणी- ए-क्लास फायर</t>
  </si>
  <si>
    <t>820000/-</t>
  </si>
  <si>
    <t>1180000/-</t>
  </si>
  <si>
    <t>19ः26</t>
  </si>
  <si>
    <t>महोदय आग नारो खाल बाडवाला में पुराल में लगी थी</t>
  </si>
  <si>
    <t>सम्भवतः धुम्रपान लापरवाही</t>
  </si>
  <si>
    <t>महोदय आग मो0 आलम पुत्र कालू निवासी नारो खाल बाडवाला के पुराल के ढेर में लगी थी, जिसे फायर यूनिट ने वाहन से पम्पिंग कर पूर्ण रूप से बुझाया तथा आग को फैलने से रोका गया। आग से कोई जनहानि नही हुई है। (आग पुराल में लगी थी) आग की श्रेणी- ए-क्लास फायर</t>
  </si>
  <si>
    <t>3000/-</t>
  </si>
  <si>
    <t>14ः13</t>
  </si>
  <si>
    <t>महोदय आग हरबर्टपुर निकट पंचायत घर में पुराल में लगी थी</t>
  </si>
  <si>
    <t xml:space="preserve">महोदय आग मो0 रिजवान पुत्र मो0 आसीन निवासी हरबर्टपुर निकट पंचायत घर के घर के पास रखे पुराल के ढेर में लगी थी, जिसे फायर यूनिट ने वाहन से पम्पिंग कर पूर्ण रूप से बुझाया तथा आग को फैलने से रोका गया। आग से कोई जनहानि नही हुई है। (आग पुराल में लगी थी) आग की श्रेणी- ए-क्लास फायर </t>
  </si>
  <si>
    <t>1996000/-</t>
  </si>
  <si>
    <t>,,</t>
  </si>
  <si>
    <t>पौड़ी गढ़वाल</t>
  </si>
  <si>
    <t xml:space="preserve">आग गडोली गांव के पास बुआखाल के पास जंगल में लगी थी। जो घरों की और तेजी से बढ रही थी । जिसको फायर सर्विस यूनिट ने वाटर टेण्डर द्वारा एमएफई की सहयता से एक होज फैलाकर पुर्णरुप से बुझाया। </t>
  </si>
  <si>
    <t>सम्भवतः लापरवाही से</t>
  </si>
  <si>
    <t>ए कलास, राजकीय इएटर कॉलेज के अन्दर रखे फट्टो में</t>
  </si>
  <si>
    <t xml:space="preserve">विद्युत शार्ट सर्किट </t>
  </si>
  <si>
    <t>सम्भवतः लापरवाही से धूम्रपान</t>
  </si>
  <si>
    <t>आग श्रीनगर रोड़, पर डोब श्रीकोट नर्सिंग कॉलेज के समीप जंगल में लगी थी जो नर्सिंग कॉलेज के कैमपस में पहुॅचने वाली थी जिसको मोटर फायर ईंजन से 01 अदद होजरील फैलाकर आग को पूर्णरूप से बुझाया।</t>
  </si>
  <si>
    <t>आग डी.आई.जी. कार्यालय व कमिश्नरी के पास जंगल में लगी थी जिसको मोटर फायर ईंजन से 01 अदद होजरील फैलाकर आग को पूर्णरूप से बुझाया।</t>
  </si>
  <si>
    <t>आग रांसी स्टेडियम के पास कूडे के ढेर में लगी थी जिसको फायर सर्विस यूनिट ने मोटर फायर ईंजन से 01 अदद होजरील फैलाकर आग को पूर्णरूप से बुझाया।</t>
  </si>
  <si>
    <t>आग की सूचना प्राप्त हुई कि कमिश्नरी के समीप पुनः आग भडक गयी है फायर सर्विस यूनिट ने घटनास्थल पर पहुॅचकर वन विभाग की टीम के साथ मिलकर आग को पीटपाट कर पूर्णरूप से बुझाया गया।</t>
  </si>
  <si>
    <t>आग रांसी स्टेडियम सिन्थेटिक ट्रेक केे पास जंगल में लगी है जिसको फायर सर्विस यूनिट ने 01 अदद होजरील की मदद से व पीटपाट कर पूर्णरूप से बुझाया गया।</t>
  </si>
  <si>
    <t>आग खिर्सू रोड़ पर माण्ड़ाखाल के समीप जंगल में लगी थी जिसको फायर सर्विस यूनिट ने रोड़ हेड की आग को पूर्णरूप से बुझाया तथा कुछ आग पहुॅच से दूर होने के कारण पटवारी कान्ता सेमवाल से सम्पर्क कर उक्त के सम्बन्ध में अवगत कराया तो उनके द्वारा फायर यूनिट को वापस जाने हेतु कहा गया।</t>
  </si>
  <si>
    <t>आग श्रीनगर रोड़ पर नर्सिंग कॉलेज के सामने आयुष्मान आयोग्य मन्दिर के समीप जंगल में लगी है। जहां पर श्रीनगर की फायर यूनिट भी मौजूद थी आग को बुझाकर सूचना प्राप्त हुई कि डोभ श्रीकोट से उपर गरूड़ के पास स्थित एक रिजार्ट में समीप जंगल में लगी है जिसको फायर यूनिट ने 01 अदद होजरील की मदद से व पीटपाट कर पूर्णरूप से बुझाया गया।</t>
  </si>
  <si>
    <t xml:space="preserve">आग कल्डुम गांव के पास जंगल में लगी थी जिसको फायर सर्विस यूनिट ने मोटर फायर ईंजन से प9म्पिंग कर आग को बुझाया। </t>
  </si>
  <si>
    <t>आग नगर पालिका द्वारा इक्टठे किये गये कूड़ के ढेर में लगी आग को फायर सर्विस यूनिट ने मोटर फायर ईंजन से पम्ंिपग कर आग को पूर्णरूप से बुझाया।</t>
  </si>
  <si>
    <t>महोदय, अम्बे कॉमप्लेक्सके पीछे झाडियों में आग लगी थी जिसे फायर सर्विस यूनिट ने मोटर फायर इंजन से पम्पिंग कर आग पर पानी डालकर अथक प्रयासों से आग को पूर्ण रूप से बुझाया गया। आग से कोई जनहानि नहीं हुई।</t>
  </si>
  <si>
    <t>अम्बे कॉमप्लेक्सके पीछे झाडियों में आग का लगना।</t>
  </si>
  <si>
    <t>महोदय, गीता भवन के पीछे गोशाला में आग लगी थी जो तेजी से बड़ रही थी जिसे फायर सर्विस यूनिट ने मिनी वाटर टेण्डर से होजरील निकालकर व हाई प्रेशर पम्प से पम्पिंग कर आग पर लगातार पानी डालकर कड़ी मशक्त कर आग को पूर्ण रूप से बुझाया गया। आग से किसी प्रकार की जनाहानि नही हुई।</t>
  </si>
  <si>
    <t>गीता भवन के पीछे गोशाला में आग लगना।</t>
  </si>
  <si>
    <t>महोदय, परमार्थ निकेतन बिल्डिंग के पीछे किचन में गैस लीक होने से आग लगी थी जिसे फायर सर्विस यूनिट ने मिनी वाटर टैण्डर से होजरील निकालकर पम्पिंग कर आग को पूर्ण रूप से बुझाया गया। आग से किसी प्रकार की जनहानि नहीं हुई।</t>
  </si>
  <si>
    <t xml:space="preserve">गैस लीक होने से </t>
  </si>
  <si>
    <t>परमार्थ निकेतन किचन में आग का लगना।</t>
  </si>
  <si>
    <t>महोदय, थाना लक्ष्मणझूला, के पास ट्रास्फार्मर में आग लगी थी जिसे फायर सर्विस यूनिट ने मिनी वाटर टेण्डर से होजरील निकालकर व हाई प्रेशर पम्प से पम्पिंग कर ट्रस्फार्मर में लगी आग को पूर्ण रूप से बुझाया गया आग से किसी प्रकार की जनहानि नही हुई।</t>
  </si>
  <si>
    <t>थाना लक्ष्मणझूला, के पास ट्रास्फार्मर में आग का लगना।</t>
  </si>
  <si>
    <t>महोदय, लोकमणीपुर ग्रोथ सेन्टर के गेट के सामने पेड में आग लगी थी जिसे फायर सर्विस यूनिट के द्वारा मोटर फायर इंजन से होजरील निकालकर पम्पिंग कर पेड में लगी आग को पानी डालकर कड़ी मशक्त  कर आग को पूर्ण रूप से बुझाया गया।</t>
  </si>
  <si>
    <t>लोकमणीपुर ग्रोथ सेन्टर के गेट के सामने पेड में आग का लगना।</t>
  </si>
  <si>
    <t>श्रीमान जी भक्तियाना सम्राट वेडिंग प्वाईट  के अन्दर सीलिग फैन में शार्ट सर्किट की चिंगारी बैड के गददे पर गिरने से लगी थी जिसको फायर यूनिट के द्वारा पम्ंिपग कर पूर्णरूप से बुझाया।</t>
  </si>
  <si>
    <t xml:space="preserve">सम्भवतःशार्ट सर्किट  </t>
  </si>
  <si>
    <t>महोदय, आग ग्राम कपरोली सोमती देवी की गौशाला में लगी थी जिसको फायर सर्विस यूनिट द्वारा मिनि वाटर टेण्ड़र से 01 होजरील फैलाकर आग को पूर्णरूप से बुझाया आग से किसी प्रकार की जनहानि नहीं हुई।</t>
  </si>
  <si>
    <t>लापरवाही से</t>
  </si>
  <si>
    <t>लापरवाही से (आग गौशाला में लगी थी)</t>
  </si>
  <si>
    <t>आग ग्राम झरपानी माहेश्वरी देवी की गौशाला में लगी थी वाहन का रास्ता न होने के कारण फायर यूनिट द्वारा पैदल जाकर स्थानीय लोगो की मदद से बाल्टियों के द्वारा आग को पूर्णरूप से बुझाया गौशाला में 01 भैंस जलकर मर गयी थी।</t>
  </si>
  <si>
    <t>म्होदय, आग शाल्डा गांव कोट ब्लॉक के पास जंगल में लगी थी जो तेजी से घरो की ओर बढ़ रही थी जिसको फायर सर्विस यूनिट ने मोटर फायर ईंजन से 01 होजरील फैलाकर आग को पूर्णरूप से बुझाया आग से किसी प्रकार की जनहानि नहीं हुई।</t>
  </si>
  <si>
    <t>आग देवप्रयाग रोड़ होटल मुमुक्षू के पास जंगल में लगी थी जो तेजी से होटल व बस्ती की ओर बढ़ रही थी जिसको फायर सर्विस यूनिट ने बुझाना प्रारम्भ किया आग की अधिकता को देखते हुये श्रीमान अग्निशमन अधिकारी महोदय द्वारा दूसरे वाहन की मांग की गयी दोनो फायर यूनिटो ने मिलकर आग को पूर्णरूप से बुझाया।</t>
  </si>
  <si>
    <t>प्रभारी अग्निशमन अधिकारी महोदय ने पूर्व से घटनास्थल होटल मुमुक्षू पर तैनात  फायर यूनिट को सूचना दी कि ग्राम भट कोट के पास जंगल में आग लगी है जो तेजी से घरो की ओर बढ़ रही है घटनास्थल पर पहुॅचकर फायर यूनिट द्वारा आग को पूर्णरूप से बुझाया गया।</t>
  </si>
  <si>
    <t>प्रभारी अग्निशमन अधिकारी महोदय ने पूर्व से घटनास्थल ग्राम भटकोट पर तैनात  फायर यूनिट को सूचना दी कि चौड़गांव के पास जंगल में आग लगी है जो तेजी से घरो की ओर बढ़ रही है घटनास्थल पर पहुॅचकर फायर यूनिट द्वारा आग को पूर्णरूप से बुझाया गया।</t>
  </si>
  <si>
    <t>महोदय, आग ग्राम सकेडा में 01 मकान में लगी थी जो काफी दिनो से बन्द पड़ा हुआ था जिसको फायर यूनिट द्वारा एक्स्टिंग्यूशर की मदद से पूर्णरूप से बुझाया गया।</t>
  </si>
  <si>
    <t>आग ब्लॉक पौड़ी की बिल्डिंग के पास जंगल में लगी थी जो ब्लाक की ओर बढ़ रही थी जिसको फायर सर्विस यूनिट ने 02 होज फैलाकर पम्ंिपग कर आग को पूर्णरूप से बुझाया</t>
  </si>
  <si>
    <t>आग गडोली मिशन स्कूल के पास जंगल मे लगी थी जिसको फायर यूनिट ने 01 होज पाईप फैलाकर आग को पूर्णरूप से बुझाया</t>
  </si>
  <si>
    <t>आग कोर्ट के कर्मचारी के क्वार्टर के पास जंगल में लगी थी जिसको मिनि वाटर टेण्ड़र से 01 होजरील फैलाकर आग को बुझाना प्रारम्भ किया आग की अधिकता को देखते हुये दूसरे वाहन की मांग की गयी दोनो यूनिटो ने आग को पूर्णरूप से बुझाया।</t>
  </si>
  <si>
    <t>आग चौखम्बा के पास पटवारी चौकी के पास जंगल में लगी थी आग की अधिकता को देखते हुये दूसरे वाहन की मांग की गयी वाहन को घटनास्थल के लिये रवाना किया तथादोनो यूनिटो ने मिलकर आग को मोटर फायर ईंजन की मदद से आग को पूर्णरूप से बुझाया।</t>
  </si>
  <si>
    <t>आग गडोली के पास जंगल में लगी थी जो तेजी से घरो की ओर बढ़ रही थी जिसको फायर सर्विस यूनिट ने मिनि वाटर टेण्डर 01 अदद होजरील फैलाकर आग पूर्णरूप से बुझाया।</t>
  </si>
  <si>
    <t>आग लोअर चौपडा ग्राम तिमली के पास जंगल में लगी थी जो घरो की ओर बढ़ रही थी जिसको फायर सर्विस यूनिट ने मिनि वाटर टेण्ड़र से 01 होजरील की मदद से आग को पूर्णरूप से बुझाया गया।</t>
  </si>
  <si>
    <t xml:space="preserve">आग अम्बेडकर छात्रावास के पास जंगल में लगी थी जिसको फायर सर्विस यूनिट ने 1 होज पाईप फैलाकर आग को पूर्णरूप से बुझाया </t>
  </si>
  <si>
    <t>आग कोटद्वार रोड़ पर बुआखाल के पास ग्राम गहड़ गांव के पास जंगल में लगी थी जिसको फायर सर्विस यूनिट ने बुझाना प्रारम्भ किया वाहनका पानी समाप्त होने पर फायर यूनिट पुनः वाहन में पानी भरकर घटनास्थल पर पहुॅचकर आग को पूर्णरूप संे बुझाया।</t>
  </si>
  <si>
    <t>आग कोटद्वार रोड़ पर बुआखाल के पास ग्राम गहड़ गांव के पास जंगल में लगी थी जिसको फायर सर्विस यूनिट ने बुझाना प्रारम्भ किया वाहन का पानी समाप्त होने पर फायर यूनिट पुनः वाहन में पानी भरकर घटनास्थल पर पहुॅचकर आग को पूर्णरूप संे बुझाया।</t>
  </si>
  <si>
    <t>आग कोटद्वार रोड़ पर बुआखाल के पास ग्राम गहड़ गांव के पास जंगल में लगी थी जिसको फायर सर्विस यूनिट ने बुझाना प्रारम्भ किया आग की अधिकता को देखते हुये दूसरे वाहन की मांग की गयी वाहन को घटनास्थल के लिये रवाना किया तथादोनो यूनिटो ने मिलकर आग को मोटर फायर ईंजन की मदद से आग को पूर्णरूप से बुझाया।</t>
  </si>
  <si>
    <t>आग देहल चौरी व खाण्डयुखाल के बीच जंगल में लगी थी जिसको मोटर फायर ईंजन आग को बुझाना प्रारम्भ किया आग घरो की ओर बढ़ रही थी वाहन में पानी समाप्त होने के कारण वाहन में पुनः पानी भरकर घटनास्थल पर पहुॅचकर आग को पूर्णरूप सें बुझाया गया।</t>
  </si>
  <si>
    <t>आग देवप्रयाग रोड़ पर खोला चौराी के पास जुगल में लगी थी जिसको फायर सर्विस यूनिट ने वाहन बार-2 पानी भरकर पूर्णरूप से बुूझाया।</t>
  </si>
  <si>
    <t>आग अदवाणी में राजकीय अन्न भण्डारण व मोबाईल टॉवर की ओेर बढ़ रही थी जिसको फायर सर्विस यूनिट ने मिनि वाटर टेण्ड़र से 01 अदद होजरील फैलाकर आग को पूर्णरूप से बुझाया।</t>
  </si>
  <si>
    <t>आग खाण्डयूसैण व अछरी खाल के बीच जंगल में लगी थी जो तेजी से घरो की ओर बढ़ रहीं थी जिसको फायर सर्विस यूनिट ने मिनि वाटर टेण्डर से 01 अदद होजरील फैलाकर आग को पूर्णरूप से बुझाया।</t>
  </si>
  <si>
    <t>आग कल्जीखाल ब्लॉेक मुण्डेशवर खेरालिंग मन्दिर के पास जंगल में लगी थी जिसको फायर सर्विस यूनिट ने वाटर टेण्डर से 01 अदद होजपाईप फैलाकर आग को पूर्णरूप से बुझाया।</t>
  </si>
  <si>
    <t>आग गडोली गांव के पास जंगल में लगी है जो गांव की ओर बढ़ रही है। जिसको फायर सर्विस यूनिट ने मिनि वाटर टेण्डर से 01 अदद होजरील फैलाकर आग को पूर्णरूप से बुझाया।</t>
  </si>
  <si>
    <t>आग देवप्रयाग रोड़ पर खाण्डयूसैण पैट्राल पम्प से आगे जंगल मे लगी है। जो घरो की ओर बढ़ रही थी, जिसको फायर सर्विस यूनिट ने वाटर टेण्डर से 03 अदद होजपाईप फैलाकर आग को पूर्णरूप से बुझाया।</t>
  </si>
  <si>
    <t>आग कण्डोलिया में जजकोर्ट परिसर पौड़ी में जंगल मॆं लगी थी  जिसको फायर सर्विस युनिट के द्वारा मिनी वाटर टेण्डर की  सहयता से पूर्णरूप से बुझाया गया</t>
  </si>
  <si>
    <t>आग पालीखाल के देवप्रयाग रोड़ में मन्दिर के पास  जंगल में लगी थी मन्दिर में पूजा होने के कारण अधिक जनसंख्या में भक्त जन मौजूद थे जिनके वाहन मन्दिर के पास खडे थे जिनकी ओर आग तेजी से बढ़ रहीं थी, जिसको फायर यूनिट ने मोटर फायर ईंजन से 01 होज पाईप फैलाकर आग को पर्णरूप सें शान्त किया</t>
  </si>
  <si>
    <t>आग लक्ष्मी नारायण मंन्दिर के पास व गडोली के पास जंगल में लगी थी जो घरो की ओर बढ़ रहीं थी, जिसको फायर सर्विस यूनिट ने मिनि वाटर टेण्ड़र से 01 होजरील फैलाकर आग को पूर्णरूप से बुझाया</t>
  </si>
  <si>
    <t>आग आर0टी0ओ0 आफिस के समीप जंगल में लगी थी जहा बड़े वाहन का पहुॅच मार्ग नही था जिस पर बैक पैक सैट को घटना स्थल के लिये रवाना किया गया फायर युनिट द्वारा वाटर मिस्ट की मदद से आग को पूर्णरूप से बुझाया।</t>
  </si>
  <si>
    <t>आग गडोली गदेरे के पास जुगल में लगी थी, जो घरो की ओर बढ़ रहीं थी जो पूर्व से अन्य आग पर तैनात फायर यूनिट केा सूचना देकर घटनास्थल के रवाना किया फायर यूनिट ने मिनिवाटर टेण्ड़र से 01 होजरील फैलाकर आग को पूर्णरूप से बुझाया।</t>
  </si>
  <si>
    <t>आग अपर चौपडा बुआखाल रोड़ के नीचे जंगल में लगी थी जिसको फायर सर्विस यूनिट ने मोटर फायर ईजन से होजपाईप फैलाकर आग को बुझाना प्रारम्भ किया कुछ आग पहुॅच से दूर होने के कारण फायर यूनिट ने पीटपाट कर पूर्णरूप से बुझाया।</t>
  </si>
  <si>
    <t>आग श्रीनगर रोड गडोली के समीप रोड के नीचे जंगल में लगी थी जो तेजी से फैल रहीं जिसको फायर सर्विस यूनिट ने मोटर फायर ईजन से होजपाईप फैलाकर पूर्णरूप से बुझाया गया।</t>
  </si>
  <si>
    <t>आग अपर चौपड़ा के जंगल में लगी थी जो घरो की ओर तेजी से बढ़ रही थी जहां पर वाहन का पहुॅचपाना सम्भव नहीं था, आग की अधिकता को देखते हुये दूसरा वाहन की मांग की गयी दोनो यूनिट ने घास फूस की मदद से आग को पूर्णरूप से बुझाया गया।</t>
  </si>
  <si>
    <t>आग पाली मरोडस के पास जंगल में लगी थी जो सोलर व्लांट की ओीर तेजी से बढ़ रहीं जिसको फायर सर्विस यूनिट ने मिनि वाटर टेण्डर से 01 होजरील फैलाकर आग को नियंत्रित किया।</t>
  </si>
  <si>
    <t>आग सेणीखाल गहड गांव के पास जंगल में लगी थी जो तेजी से घरो की ओर बढ़ रही थी फायर सर्विस यूनिट मोटर फायर ईंजन से 02 होजपाईप फैलाकर आग को बुझाना शुरू कि वाहन का पानी समाप्त होने पर पुनः पूल्ड हाउस से पानी भरकर घटनास्थल पर पहुॅचे तथा आग को पूर्णरूप से बुझाया।</t>
  </si>
  <si>
    <t>आग देवप्रयाग रोड़ निकट घुडदोडी के पास जंगल में लगी थी जो फायर सर्विस यूनिट की पहुॅच से दूर थी काफी देंर प्रतीक्षा करने के उपरान्त आग दूसरी पहाडी पर चली गयी थी मौके पर मौजूद जनो को आवश्यक दिशा निर्देश देकर वापस फायर स्टेशन उपस्थि त हुई।</t>
  </si>
  <si>
    <t>आग सर्किट हाउस के पास वरिष्ठ पुलिस अधीक्षक पौड़ी गढ़वाल के आवास से थोडा ओ जंगल में लगी थी जो तेजी से घरो की ओर बढ़ रही थी जिसकों फायर यूनिट द्वारा फायर टेण्डर से होजरील फैलाकर आग को पूर्णरूप से बुझाया गया।</t>
  </si>
  <si>
    <t>आग आर0टी0ओ0 आफिस के समीप जंगल में लगी थी जिसको फायर सर्विस यूनिट ने वन विभाग की टीम के साथ मिलकर आग को पीटपाट कर पूर्णरूप से बुझाया</t>
  </si>
  <si>
    <t>आग ब्लॉक व डिग्री कालेज के पास जंगल में लगी थी जो  कॉलेज की बिल्डिंग की ओर बढ़ रही थी जिसको फायर सर्विस यूनिट ने बुझाना प्रारम्भ किया आग की अधिकता को देखते हुये दूसरे वाहन की मांग की गयी घटनास्थल पर पहॅुचकर दोनो यूनिट ने सुयुक्त रूप से पूर्ण से बुझाया।</t>
  </si>
  <si>
    <t>आग ब्लॉक के पास जंगल में लगी थी जो ब्लाक की बिल्डिंग की ओर बढ़ रही थी जिसकों फायर यूनिट द्वारा फायर टेण्डर से होजरील फैलाकर आग को पूर्णरूप से बुझाया गया।</t>
  </si>
  <si>
    <t>आग ब्लॉक पौड़ी के पास जंगल में लगी थी जो घरो की बोर बढ़ रही थी जिसको फायर सर्विस यूनिट फायर टेण्डर से होजरील फैलाकर आग को पूर्णरूप से बुझाया गया।</t>
  </si>
  <si>
    <t>आग खण्डयूसैण जेल के पास जंगल में लगी थी जो तेजी से फैल रही थी जिसको फायर सर्विस यूनिट फायर टेण्डर से होजरील फैलाकर आग को पूर्णरूप से बुझाया गया।</t>
  </si>
  <si>
    <t>आग  देवप्रयाग रोड़ पर अदरी खाल के पास जंगल में लगी थी फायर सर्विस यूनिट ने जाकर देखा कि आग स्वतः ही बुझ गयी थी।</t>
  </si>
  <si>
    <t>आग  बुआखाल कोटद्वारा रोड़ पर ग्राम जयराज के पास घोडी खाल से पहले ज्रगल में लगी थी जिसको फायर सर्विस यूनिट फायर टेण्डर से होजरील फैलाकर आग को पूर्णरूप से बुझाया गया।</t>
  </si>
  <si>
    <t>आग जिला चिकित्सालय पौड़ी केपास जंगल में लगी थी जिसको फायर सर्विस यूनिट फायर टेण्डर से होजरील फैलाकर आग को पूर्णरूप से बुझाया गया।</t>
  </si>
  <si>
    <t>आग च्वीचा गांव भगतराम स्कूल  व गांव तक फैल चुकी थी जिसको फायर सर्विस यूनिट द्वारा जहां तक होजरील फैले वहां बुझाया जो आग पहुॅच से दूर थी को पीटपाट कर बुझाया</t>
  </si>
  <si>
    <t>आग उपजिलाधिकारी महोदय के आवास व थाना पौडी के नीचं जंगल में लगी थी जो आवासीय बस्ती की ओर बढ रही थी जिसको फायर सर्विस यूनिट द्वारा जहां तक होजरील फैले वहां तक बुझाया जो आग पहुॅच से दूर थी को पीटपाट कर बुझाया</t>
  </si>
  <si>
    <t>आग ब्लॉकव आर0टी0ओ ऑफिस पौड़ी के पास जंगल में लगी थी जो घरो की बोर बढ़ रही थी जिसको फायर सर्विस यूनिट ने बुझाना प्रारम्भ किया आग की अधिकता को देखते हुये दूसरे वाहन को घटनास्थल के लिये रवाना किया जिसको फायर सर्विस यूनिटो ने मिलकर फायर टेण्डर से होजरील फैलाकर आग को पूर्णरूप से बुझाया गया।</t>
  </si>
  <si>
    <t>महोदय, मैसर्स फ्यूचर स्टीक अल्टीमेट एनर्जी प्रा0लि0, सोलर प्लांट सतपुली के पास जंगल में आग लगी थी जो सोलर प्लांट की और बढ़ रही थी जिसे फायर यूनिट ने मिनी वाटर टेण्डर से होजरील निकालकर पम्पिंग कर जंगल में लगी आग पर लगातार पानी डालकर पूर्ण रूप से बुझाया गया। आग से कोई जनहानि नहीं हुई।</t>
  </si>
  <si>
    <t>महोदय, मैसर्स पैराडाईज रिजोट, फतेहपुर लैन्सडोन रोड़ के पास जंगल में आग लगी थी जो रिजोर्ट की और बड़ रही थी जिसे फायर सर्विस यूनिट के द्वारा मोटर फायर इंजन से होजरील निकालकर पम्पिंग कर कड़ी मशक्त कर आग को पूर्ण रूप से बुझाया गय।, आग से कोई जनहानि नही हुई।</t>
  </si>
  <si>
    <t>महोदय, नीलकंठ रोड़ गरूडचट्टी से आगे पहाड़ में काफी दूर जंगल में आग लगी थी जंहा तक फायर सर्विस के वाहन हेतु पहॅुच मार्ग नहीं था, फायर यूनिट पैदल ही घटनास्थल पर पहुॅचकर हरे पेड़ की टहनियों को तोडकर जंगल में लगी आग को पीट-पाट कर पूर्ण रूप् से बुझाया गया।</t>
  </si>
  <si>
    <t>महोदय, गंगा भोगपुर के पास जंगल में आग लगी थी जो तेजी से गांव की और बड़ रही थी जिसे फायर सर्विस यूनिट ने मिनी वाटर टेण्डर से होजरील निकालकर व हाई प्रेशर पम्प से पम्पिंग कर जगंल में लगी आग पर लगातार पानी डालकर कड़ी मशक्त कर आग को पूर्ण रूप से बुझाया गया। आग से किसी प्रकार की जनाहानि नही हुई।</t>
  </si>
  <si>
    <t>महोदय, दुधारू खाल खैरासैण हॉस्पिटल के पास जंगल में आग लगी थी जिसे फायर सर्विस यूनिट ने मिनी वाटर टेण्डर से होजरील निकालकर पम्पिंग कर जंगल में लगी आग पर पानी डालकर कड़ी मशक्त कर आग को पूर्ण रूप से बुझाया गया। आग से किसी प्रकार की जनहानि नही हुई।</t>
  </si>
  <si>
    <t>महोदय, अगरोडा गांव के पास जंगल में आग लगी थी जो जंगल के गांव की ओर बढ रही थी जिसे फायर सर्विस यूनिट ने मिनी वाटर टेण्डर से होजरील निकालकर व हाई प्रेशर पम्प से पम्पिंग कर जंगल में लगी आग पर लगातार पानी डालकर कड़ी मशक्त कर आग को पूर्ण रूप से बुझाया गया आग से किसी प्रकार की जनहानि नही हुई।</t>
  </si>
  <si>
    <t>महोदय, ग्राम बौंसाल के पास जंगल में आग लगी थी जो तेजी से आवासीय मकानों की और बड़ रही थी जिसे फायर सर्विस यूनिटों के द्वारा मिनिवाटर टेण्डर से होजरील निकालकर पम्पिंग कर जगंल में लगी आग को पानी डालकर कड़ी मशक्त  कर आग को पूर्ण रूप से बुझाया गया।</t>
  </si>
  <si>
    <t>महोदय, सतपुली तहसील के पास झाडियों में आग लगी थी जिसे फायर सर्विस यूनिट के द्वारा मिनिवाटर टेण्डर से होजरील निकालकर पम्पिंग कर जंगल की झाडियों में लगी आग पर लगातार पानी डालकर कड़ी मशक्त कर आग को पूर्ण रूप से बुझाया गया। आग से किसी प्रकार की जनहानि नही हुई।</t>
  </si>
  <si>
    <t>महोदय, ग्राम कमाण्डा सतपुली के पास जंगल में आग लगी थी जिसे फायर सर्विस यूनिट के द्वारा मिनिवाटर टेण्डर से होजरील निकालकर पम्पिंग कर जगंल में लगी आग को पानी डालकर कड़ी मशक्त  कर आग को पूर्ण रूप से बुझाया गया।</t>
  </si>
  <si>
    <t>महोदय, भूतनाथ मन्दिर के पास जंगल में आग लगी थी जिसे फायर सर्विस यूनिट ने मिनी वाटर टेण्डर से होजरील निकालकर पम्पिंग कर जंगल में लगी आग पर पानी डालकर कड़ी मशक्त कर आग को पूर्ण रूप से बुझाया गया। आग से किसी प्रकार की जनहानि नही हुई।</t>
  </si>
  <si>
    <t>महोदय, भूतनाथ मन्दिर से आगे जंगल में व पेडों में आग लगी थी जिसे फायर सर्विस यूनिट ने मिनी वाटर टेण्डर से होजरील निकालकर पम्पिंग कर जंगल में व पेडों में लगी आग पर पानी डालकर कड़ी मशक्त कर आग को पूर्ण रूप से बुझाया गया। आग से किसी प्रकार की जनहानि नही हुई।</t>
  </si>
  <si>
    <t>आग डिगोली गांव के पास जंगल में लगी थी जिसको फायर सर्विस यूनिट ने पम्पिंग कर पूर्णरूप से बुझाया। सम्भवतः लापरवही से।</t>
  </si>
  <si>
    <t>आग पराग डेरी के पास जंगल में लगी थी जिसको फायर यूनिट द्वारा पम्पिंग कर पूर्णरूप से बुझाया। सम्भवतः लापरवही से।</t>
  </si>
  <si>
    <t>आग भगवती मैमोरियल पब्लिक स्क्ूल के पास लगी थी जिसकों फायर सर्विस यूनिट ने मोटर फायर ईंजन की मदद से आग को पूर्णरूप से बुझाया। सम्भवतः लापरवही से।</t>
  </si>
  <si>
    <t>आग पराग डेरी से आगे जंगल में लगी थी जिसको फायर यूनिट द्वारा पम्पिंग कर पूर्णरूप से बुझाया। सम्भवतः लापरवही से।</t>
  </si>
  <si>
    <t>आग पराग डेरी से आगे आवासीय बस्ती के पास जंगल में लगी थी जिसको फायर यूनिट द्वारा पम्पिंग कर पूर्णरूप से बुझाया। सम्भवतः लापरवही से।</t>
  </si>
  <si>
    <t>आग गंगा दर्शन मोड के पास जंगल मंें लगी थी जिसको फायर यूनिट द्वारा पीटपाट कर बुझाया सम्भवतः लापरवाही से धूम्रपान</t>
  </si>
  <si>
    <t>श्रीमान आग वन विभाग के गेस्ट हाउस के पास जंगल में लगी थी, जिसको फायर सर्विस यूनिट ने मिनि वाटर टेण्ड़र से 01 होजरील की सहायता से आग को पर्णूरूप से बुझाया गया आग से किसी प्रकार की जनहानि नहीं हुई।</t>
  </si>
  <si>
    <t>अग्निका-ड का दिनांक</t>
  </si>
  <si>
    <t>18:00 बजे</t>
  </si>
  <si>
    <t>18:51 बजे</t>
  </si>
  <si>
    <t>20:09 बजे</t>
  </si>
  <si>
    <t>17:45 बजे</t>
  </si>
  <si>
    <t>06:43 बजे</t>
  </si>
  <si>
    <t>08:30 बजे</t>
  </si>
  <si>
    <t>17:49 बजे</t>
  </si>
  <si>
    <t>15:57 बजे</t>
  </si>
  <si>
    <t>20:10 बजे</t>
  </si>
  <si>
    <t>23:22 बजे</t>
  </si>
  <si>
    <t>11:09 बजे</t>
  </si>
  <si>
    <t>14:48 बजे</t>
  </si>
  <si>
    <t>11:51 बजे</t>
  </si>
  <si>
    <t>13:32 बजे</t>
  </si>
  <si>
    <t>18:49 बजे</t>
  </si>
  <si>
    <t>22:29 बजे</t>
  </si>
  <si>
    <t>श्रीनगर</t>
  </si>
  <si>
    <t>थलीसैण</t>
  </si>
  <si>
    <t>लक्ष्मणझूला</t>
  </si>
  <si>
    <t xml:space="preserve">लक्ष्मणझूला </t>
  </si>
  <si>
    <t>;जिस क्षेत्रार्न्तागत अग्निकाण्ड हुआ होद्ध</t>
  </si>
  <si>
    <t>कोटद्वार</t>
  </si>
  <si>
    <t>पौड़ी</t>
  </si>
  <si>
    <t>04:12  बजे</t>
  </si>
  <si>
    <t>05:20  बजे</t>
  </si>
  <si>
    <t>07:43  बजे</t>
  </si>
  <si>
    <t>07:45  बजे</t>
  </si>
  <si>
    <t>11:13  बजे</t>
  </si>
  <si>
    <t>11:57  बजे</t>
  </si>
  <si>
    <t>12:29  बजे</t>
  </si>
  <si>
    <t>21:10  बजे</t>
  </si>
  <si>
    <t>16:35  बजे</t>
  </si>
  <si>
    <t>12:05  बजे</t>
  </si>
  <si>
    <t>13:00  बजे</t>
  </si>
  <si>
    <t>01-06--2024</t>
  </si>
  <si>
    <t>आग की सूचना सूचना प्राप्त हुई की जसपुर गांव मे सूर्यमणी नौटियाल की गौशाना में आग लगी है। सूचना प्राप्त होते ही फायर यूनिट मय आवश्यक उपकरणों के घटना स्थल पर पहुॅची तथा देखा कि आग गौशाला में लगी है जिसे फायर सर्विस यूनिट द्वारा 03 होज पाईप फैलाकर एमएफई की  सहायता से एवं मिनी हाई प्रेशर की  होजरील की सहायता से आग पूर्ण रूप से बुझा गया। गोशला में बंधी गाय को सकुशल बाहर निकाला गया। उक्त आग में किसी भी प्रकार की कोई जन हानि नही हुई है। बाद समाप्त आवश्यक कार्यवाही के वापस एफएस उपस्थित हुये।</t>
  </si>
  <si>
    <t>रेलिंग पर वैल्ग्ंिग करते समय (लापरवाही)</t>
  </si>
  <si>
    <t>गौशला में</t>
  </si>
  <si>
    <t>80,000/-</t>
  </si>
  <si>
    <t>39,20,000/-</t>
  </si>
  <si>
    <t xml:space="preserve">      आग की सूचना आग प्राप्त होते ही एफएस यूनिट घटना स्थल के रवाना हुई तो पहुचकर देख कि आग तिलोथ पुराल में लगी थी। जिसे फायर सर्विस यूनिट के पुचने ने पूर्व ही ग्रमीणो द्वारा बुझा दिया गया था। बाद समाप्त आवश्यक कार्यवाही के एफएस पर उपस्थित हुये।</t>
  </si>
  <si>
    <t>अज्ञात व्यक्ति द्वारा (लापरवाही)</t>
  </si>
  <si>
    <t>पुराल में</t>
  </si>
  <si>
    <t>6,000/-</t>
  </si>
  <si>
    <t>4,94,000/-</t>
  </si>
  <si>
    <t xml:space="preserve">      आग की सूचना आग प्राप्त होते ही एफएस यूनिट घटना स्थल के रवाना हुई तो पहुचकर देख कि आग कोर्ट रोड (रावत भवन) गायत्री कम्प्युटर एवं प्रींटिंग प्रेस में लगी थी जिस पर एफएस यूनिट ने एमएफई की सहायता से होजरील फैलाकर आग को पूर्णरूप से बुझाया गया । बाद समाप्त आवश्यक कार्यवाही के एफएस यूनिट वापस बाजार चौकी/फायर स्टेशन पर उपस्थित हुये।</t>
  </si>
  <si>
    <t>शार्ट</t>
  </si>
  <si>
    <t>प्रीन्टिग प्रेस में</t>
  </si>
  <si>
    <t>55,50,,000/-</t>
  </si>
  <si>
    <t>महोदय, थानाध्यक्ष मोरी द्वारा स्टेशन प्रभारी  स्थ्ड सूरत ंिसंह के मोबाईल पर सूचना दी कि तहसील मोरी क्षेत्रान्तर्गत ग्राम सावणी में मकान में आग लगी है। सूचना प्राप्त होते ही त्वरित कार्यवाही करते हुयें निकटतम फायर यूनिट मोरी को घटना स्थल हेतु रवाना किया गया एवं यूनिट नौगांव को भी घटना स्थल पर रवाना किया गया। उपरोक्त घटना स्थल सडक मार्ग से 5 किमी0 पैदल होने के कारण फायर यूनिट मोरी, एसडीआरएफ, राजस्व विभाग, थाना मोरी, एवं वन विभाग की टीमें पैदल ही घटना स्थल पर पहुॅची तथा देखा की आग विकराल रूप में फैली थी जिसको की ग्रामीण बुझाने का प्रयास कर रहे थें तब फायर यूनिट, एसडीआरएफ, तथा पुलिस द्वारा सभी के साथ मिल कार आग पर मिट्टी, बाल्टीयों से पानी आदि डालकर एवं जिन मकानो में आग लगी थी उनकी दिवारो को गिराकर आग को बुझाना आरम्भ किया गया एवं कडी मेहन्त कर आग को बुझाया गया। उक्त आग में 01 महिला की 04 भेड की जल कर मृत्यु हो गयी एवं 09 भवन व भवन में रखा समस्त सामान पूर्ण रूप से एवं 04 भवन आंशिक रूप से जलकर नष्ट हो गयें।</t>
  </si>
  <si>
    <t>पूजा के दीपक से  मकान  में आग लगना।</t>
  </si>
  <si>
    <t>आग आवासीय लकडी से निर्मित मकानो में ।</t>
  </si>
  <si>
    <t xml:space="preserve">      आग की सूचना सूचना प्राप्त हुई की राजकीय इण्टर कॉलेज की लैब के पास लकडी के ढेर में आग लगी है। सूचना प्राप्त होते ही फायर यूनिट चिन्यालीसौड मय आवश्यक उपकरणों के घटना स्थल पर पहुॅची तथा देखा कि राजकीय इण्टर कॉलेज के पास लकडी के ढेर में लगी थी जिसे फायर यूनिट ने एम0एफ0ई0 के होजरील की सहायता से आग पूर्ण रूप से बुझा उक्त आग में किसी भी प्रकार की कोई जन हानि नही हुई है। बाद समाप्त आवश्यक कार्यवाही के वापस एफएस यूनिट चिन्यालीसौड उपस्थित हुये।</t>
  </si>
  <si>
    <t>लकडी के ढेर में</t>
  </si>
  <si>
    <t>59,99,000/-</t>
  </si>
  <si>
    <t>स्पेशल फायर रिपोर्ट (जाँच प्रचलित है।)</t>
  </si>
  <si>
    <t>महोदय, आग की सूचना आग प्राप्त होते ही एफएस यूनिट घटना स्थल के रवाना हुई तो पहुचकर देख कि आग ज्ञानसू टेक्सी स्टेण्ड के पास कुडे के ढेर में लगी थी जिस पर एफएस यूनिट ने एमएफई की सहायता से होजरील फैलाकर आग को पूर्णरूप से बुझाया गया । बाद समाप्त आवश्यक कार्यवाही के एफएस यूनिट वापस बाजार चौकी पर उपस्थित हुये।</t>
  </si>
  <si>
    <t>29,99,000/-</t>
  </si>
  <si>
    <t>महोदय,  आग की सूचना आग प्राप्त होते ही एफएस यूनिट घटना स्थल के रवाना हुई तो पहुचकर देख कि आग मनेरा गाँव में कमल सिंह कण्डेला की गौशाला में लगी थी जिस पर एफएस यूनिट ने एमएफई की सहायता से 03 होज फैलाकर आग को पूर्णरूप से बुझाया गया आग से किसी भी प्रकार की कोई जनहानि नही हुई बाद समाप्त आवश्यक कार्यवाही के एफएस यूनिट वापस फायर स्टेशन पर उपस्थित हुये।</t>
  </si>
  <si>
    <t>लापरवाही (अलाव जलाने पर)</t>
  </si>
  <si>
    <t>9,95,000/-</t>
  </si>
  <si>
    <t xml:space="preserve">      थाना बडकोट से हेड कां0 महोन ठाकुर द्वारा स्टेशन प्रभारी ली0फा0मैन सूरत सिहे के मो0 पर सूचना दी कि शिवनारायण मन्दिर पुराना बाजार बडकोट के मकान मे आग लगी है। सूचना प्राप्त होते ही त्वरित टर्ना0कराया गया परन्तु टर्ना0 के दौरान टर्ना0 वाहन स्टार्ट नही हो पाया जिस पर मिनी हाईप्रेशर वाहन एवं निकतम फायर यूनिट नौगाँव एवं मोरी से आवश्यक उपकरणो के घटना स्थल पर पहुची तथा देखा कि राकेश ,कल्याण सिंह, महीपाल सिंह, सलेन्द्र सिंह, मंगल सिहं, पृथ्वीपाल,यशपाल के दो मंजिला मकान व दूकानो में लगी थी जोकि एलपीजी गैस सिलेण्डर के फटने  से विकराल रूप ले चुकि थी जिसको कि स्थानीय व्यक्ति बुझाने का प्रयास कर रहे थै तथा जिसको फायर यूनिट द्वारा एमएफई से होजरील फैलाकर व वाहन से पम्पिंग कर मकान में लगी आग को पूर्णरूप से बुझा दिया गया। उक्त आग में मकान व दूकान के साथ-साथ समस्त सामान जल कर नष्ट हो गया आग में किसी भी प्रकार की कोई जनहालि नही हुई।</t>
  </si>
  <si>
    <t xml:space="preserve">विद्युत शार्ट सर्किट होने के कारण मकान व दूकान में आग लगना </t>
  </si>
  <si>
    <t>दो मंजिला मकान व दूकान में आग लगना</t>
  </si>
  <si>
    <t xml:space="preserve">आग की सूचना प्राप्त होते ही फायर यूनिट घटना स्थल को रवाना हुए पहुचकर देखा कि आग आकाशवाणी केन्द्र के खाली प्लाट की झाडियो में लगी थी, जो कि तेजी से आकाशवाणी केन्द्र की ओर बढ रही थी। जिसे फायर यूनिट ने एम0एफ0ई0 से पम्पिंग कर होजरील की सहायता से आग को पूर्णरूप से बुझाया बाद आवश्यक कार्यवाही के वापस फायर स्टेशन उपस्थित हुए।  </t>
  </si>
  <si>
    <t>59,98,000/-</t>
  </si>
  <si>
    <t xml:space="preserve">आग की सूचना प्राप्त होते ही फायर यूनिट घटना स्थल को रवाना हुए पहुचकर देखा कि आग पोखु देवता मंदिर चुंेगी बडेथी के समीप जंगल में लगी थी, जो कि तेजी से आवासयी बस्ती  की ओर बढ रही थी। जिसे फायर यूनिट ने एम0एफ0ई0 से पम्पिंग कर 02 होज फैलाकर आग को पूर्णरूप से बुझाया बाद आवश्यक कार्यवाही के वापस फायर स्टेशन उपस्थित हुए।  </t>
  </si>
  <si>
    <t>39,70,000/-</t>
  </si>
  <si>
    <t xml:space="preserve"> महोदय, थाना मोरी से यूटि प्रभारी  स्थ्ड सुधीर कुमार के मोबाईल पर सूचना प्राप्त हुई की निकट ग्राम बदाऊ मे मकान में आग लगी है। सूचना प्राप्त होते ही फायर यूनिट मोरी मय आवश्यक उपकरणों के घटना स्थल पर पहुॅची तथा देखा कि राजेश रावत पुत्र श्री बिजेन्द्र सिंह रावत के 02 मंजीला मकान के उपरी हिस्से में आग लगी है। जिसको फायर यूनिट द्वारा एम0एफ0ई0 से होज रील फैलाकर व वाहन से पम्पिंग कर मकान में लगी आग को पूर्ण रूप से बुझा दिया गया उक्त आग में किसी भी प्रकार की कोई जन हानि नही हुई है।</t>
  </si>
  <si>
    <t>विघुत सार्ट सर्किट होने के कारण मकान में आग लगना।</t>
  </si>
  <si>
    <t>02 मंजीला मकान के ऊपरी हिस्से में ।</t>
  </si>
  <si>
    <t>17,00,000/-</t>
  </si>
  <si>
    <t xml:space="preserve">महोदय , आर टी सेट के माध्यम से सूचना प्राप्त हुई एफएस यूनिट घटना स्थान के लिये रवाना हुये जा कर देखा कि आग पर्यटन विभाग के हॉस्टल मनेरा की दूसरी मंजिल में लगी थी जिसे स्थानीय व्यक्तियो के मिलकर आग को पूर्ण रूप से बुझाया गया मौके पर स्थानीय पुलिस भाी मौजूद थी। बाद समाप्त आवश्यक कार्यवाही के वापस एफएस पर उपस्थित हुये। </t>
  </si>
  <si>
    <t>हॉस्टल में</t>
  </si>
  <si>
    <t>महोदय , आर टी सेट के माध्यम से सूचना प्राप्त हुई एफएस यूनिट घटना स्थान के लिये रवाना हुये जा कर देखा कि आग फोल्ड गांव धनारी डूण्डा की दूकान में लगी थी जिसे स्थानीय व्यक्तियो के मिलकर वाहन से पम्पिंग कर आग को पूर्ण रूप से बुझाया गया। मौके पर ग्राम प्रधान मोजुद थे। बाद समाप्त आवश्यक कार्यवाही के वापस एफएस पर उपस्थित हुये।</t>
  </si>
  <si>
    <t>दूकान में</t>
  </si>
  <si>
    <t xml:space="preserve"> महोदय, एम.डी.टी. के माध्यम से फायर स्टेशन पर सूचना प्राप्त हुई की निकट नागराज मन्दिर पुरोला में खडे वाहन मे आग लगी है। सूचना प्राप्त होते ही निकटतम फायर यूनिट पुरोला मय आवश्यक उपकरणों के घटना स्थल पर पहुॅची तथा देखा कि नागराज मन्दिर के पास खडे नीला सिंह पुत्र श्री सूरत सिंह के वाहन संख्या न्ज्ञ07ज् 7120 (महेन्द्रा बुलेरो) में आग लगी है। जिसको फायर यूनिट के पहुॅचने से पहले चौकी पुरोला के कर्मचारीयो द्वारा बुझाया जा रहा था तब फायर कर्म0 द्वारा एम0एफ0ई0 से होज रील फैलाकर व वाहन से पम्पिंग कर वाहन में लगी आग को पूर्ण रूप से बुझा दिया गया उक्त आग में किसी भी प्रकार की कोई जन हानि नही हुई है।</t>
  </si>
  <si>
    <t>अज्ञात व्यक्ति द्वारा वाहन में आग लगाना।</t>
  </si>
  <si>
    <t>सडक के किनारे खराब खडे वाहन संख्या न्ज्ञ07ज् 7120 (महेन्द्रा बुलेरा) में।</t>
  </si>
  <si>
    <t xml:space="preserve"> महोदय, बाजार चौकी पुरोला से फोन के माध्यम से ग्राम डेरिका में घास में आग लगने की सूचना प्राप्त हुई, सूचना प्राप्त होते ही फायर यूनिट पुरोला मय आवश्यक उपकरणों के घटना स्थल पर पहुॅची तथा देखा कि मनोज प्रसाद, नवीन कुडियाल, परवीन कुडियाल ग्राम डेरिका के द्वारा रखे गये घास (पुराल) में आग लगी है। जिसको फायर यूनिट द्वारा एम0एफ0ई0 से होज रील फैलाकर व वाहन से पम्पिंग कर वाहन में लगी आग को पूर्ण रूप से बुझा दिया गया उक्त आग में किसी भी प्रकार की कोई जन हानि नही हुई है।</t>
  </si>
  <si>
    <t>अज्ञात व्यक्ति द्वारा धुम्रपान जलता छोडने के कारण आग लगाना।</t>
  </si>
  <si>
    <t xml:space="preserve">पशुओ के लिये एकत्रित किये गये घास (पुराल )में </t>
  </si>
  <si>
    <t xml:space="preserve">महोदय , आर टी सेट के माध्यम से सूचना प्राप्त हुई कि आग हर्षिल मेन बाजार होटल में लगी है। आग की सूचना प्राप्त होते ही एफएस यूनिट घटना स्थल के लिये रवाना हुये तथा मध्य मार्ग मे पहुचकर डीसीआर से सम्पर्क किया गया तो डीसीआर द्वारा बताया गया कि बडी गाडी की आवश्यकता नही है छोटी गाडी भेजो छोटी गाडी गंगनानी से पहले ही मार्ग पर अधिक मलबा आने के कारण से मार्ग पूर्णरूप से बाधित हो गया था जिसकी सूचना डीसीआर को दी गई तथा बताया कि मोके पर एफएस यूनिट गंगोत्री धाम घटना स्थल पर मोजूद है। बाद समाप्त आवश्यक कार्यवाही के वापस एफएस पर उपस्थित हुये। </t>
  </si>
  <si>
    <t>हर्षिल कॉटेज में</t>
  </si>
  <si>
    <t xml:space="preserve"> महोदय, एम.डी.टी. के माध्यम से फायर स्टेशन पर सूचना प्राप्त हुई की होटल असवान शरूखेत बडकोट पार्किंग में खडे वाहन मे आग लगी है। सूचना प्राप्त होते ही फायर यूनिट बडकोट मय आवश्यक उपकरणों के घटना स्थल पर पहुॅची तथा देखा कि होटल असवाल पार्किंग में चारधाम यात्रा पर आये वाहन संख्या न्ज्ञ14च्। 0566 (फोर्ट ट्रेवल्स गाडी) में आग लगी है। जिसको फायर यूनिट के पहुॅचने से पहले ही स्थानीय व्यक्ति एवं चालक द्वारा बुझाया जा रहा था तब फायर कर्म0 द्वारा होटल से फायर एक्सटिंग्यूशर लेकर वाहन में लगी आग को पूर्ण रूप से बुझा दिया गया उक्त आग में किसी भी प्रकार की कोई जन हानि नही हुई है।</t>
  </si>
  <si>
    <t>वाहन में विघुत शार्ट सर्किट होने के कारण</t>
  </si>
  <si>
    <t>चार-धामयात्रा पर आये वाहन संख्या न्ज्ञ14च्। 0566 (फोर्ट ट्रेवल्स गाडी) टेम्पो ट्रेवल्स</t>
  </si>
  <si>
    <t>महोदय, एम.डी.टी. के माध्यम से फायर स्टेशन पर सूचना प्राप्त हुई की रामलीला मैदान में गाडी मे आग लगी है। सूचना प्राप्त होते ही फायर यूनिट बडकोट मय आवश्यक उपकरणों के घटना स्थल पर पहुॅची तथा देखा कि आग रामलीला मैदान में कबाड में खडी गाडीयों में आग लगी है। जिसको फायर यूनिट द्वारा मोटर फायर इंजन से पंपिंग कर होज फैलाकर आग को बुझाना आरम्भ किया गया तथा कड़ी मेहनत कर आग को पूर्ण रूप से बुझा दिया गया उक्त आग में किसी भी प्रकार की कोई जन हानि नही हुई है।</t>
  </si>
  <si>
    <t>अज्ञात व्यक्ति द्वारा ध्रुमपान जलता छोडने के कारण</t>
  </si>
  <si>
    <t>कबाड में पडी गाडीयों में</t>
  </si>
  <si>
    <t>महोदय, स्थानिय व्यक्ति सोबत राणा द्वारा फायरमैन विनोद सैनी के मोबाईल पर दोबाटा में मोटरसाईकिल मंे आग लगने की सूचना दि गयी सूचना प्राप्त होते ही फायर यूनिट बडकोट मय आवश्यक उपकरणों के घटना स्थल पर पहुॅची तथा देखा कि आग बजाज विक्रान्त वाहन संख्या भ्त्03ट 1797  में लगी थी जिसको फायर यूनिट द्वारा मोटर फायर इंजन से पंपिंग कर होज फैलाकर आग को बुझाना आरम्भ किया गया तथा कड़ी मेहनत कर आग को पूर्ण रूप से बुझा दिया गया उक्त आग में किसी भी प्रकार की कोई जन हानि नही हुई है।</t>
  </si>
  <si>
    <t>विघुत सार्ट सर्किट के कारण मोटर साईकिल में।</t>
  </si>
  <si>
    <t>मोटर साईकिल में</t>
  </si>
  <si>
    <t xml:space="preserve">सूचना प्राप्त होते ही फायर यूनिट चिन्यालीसौंड मय सहवर्ती उपकरणो के घटना स्थल को रवाना हुए पंहुचकर देखा कि आग श्रीमती उर्मिला देवी पत्नी श्री कपूर रवत निवासी पीपलमण्डी की गौशला में लगी थी जिसमें 01 गाय बंधी थी जिसे फा0स0 टीम द्वारा सकुशल बाहर निकालकर त्वरित कार्यवाही कर एम0एफ0ई0 की सहायता से पम्पिंग कर एक हौजरील फेलाकर आग को पूर्णरूप से बुझाया गया। बाद समाप्त अग्निशमन कार्य के धरासू पुल से वाहन में पानी भरकर वापस एफ0एस0 यूनिट  चिन्यालीसौडी उपस्थित हुये। </t>
  </si>
  <si>
    <t>र्गौशाला</t>
  </si>
  <si>
    <t>महोदय, नगर पालिका बडकोट से सिनेटरी इंस्पेक्टर सेमवाल द्वारा स्टेशन प्रभारी महोदय के मोबाईल पर डम्पिंग जोन मंे आग लगने की सूचना दि गयी सूचना प्राप्त होते ही फायर यूनिट बडकोट मय आवश्यक उपकरणों के घटना स्थल पर पहुॅची तथा देखा कि आग डम्पिंग जोन में लगी है। जोकि बडी तेती से डम्पिंग जोन में लगी कुडा निस्तारण मशीनो की और बढ गयी थी जिसको फायर यूनिट द्वारा मोटर फायर इंजन से पंपिंग कर होज रील व होज फैलाकर आग को बुझाना आरम्भ किया गया तथा कड़ी मेहनत कर आग को पूर्ण रूप से बुझा दिया गया उक्त आग में किसी भी प्रकार की कोई जन हानि नही हुई है।</t>
  </si>
  <si>
    <t>जंगल की आग से डम्पिंग जोन में आग फैलना</t>
  </si>
  <si>
    <t>डम्पिंग जोन में।</t>
  </si>
  <si>
    <t>फायर स्टेशन बडकोट पर ग्राम कण्डीयाल तहसील पुरोला में आग लगने की सूचना प्राप्त हुई सूचना प्राप्त होते ही निकटतम फायर यूनिट पुरोला घटना स्थल हेतु मय आवश्यक उपकरणों के रवाना हुई तथा घटना स्थल पर पहुॅच कर देखा कि आग ग्रामवासीयो द्वारा एकत्रित किये गये पीरूल में लगी थी जिसको फायर यूनिट द्वारा मोटर फायर इंजन से 1 होज रिल फैलाकर आग पर पानी का छिडकाव कर आग को पूर्ण रूप से बुदा दिया गया। उक्त आग में किसी प्रकार की कोई जन हानी नही हुई है।</t>
  </si>
  <si>
    <t>सम्भवतः लापरवाही के कारण।</t>
  </si>
  <si>
    <t>एकत्रित किये गये पीरूल में</t>
  </si>
  <si>
    <t xml:space="preserve">आग की सूचना प्राप्त होते ही फायर यूनिट घटना स्थल को रवाना हुए पहुचकर देखा कि आग मही डांडा प्ज्ठच् कैम्पस के चारो ओर जंगल में लगी थी, जो कि तेजी से ऑफिसर मैस एवं ऑफिसर कॉलानी की तरफ बढ रही थी। जिसे फायर यूनिट ने एम0एफ0ई0 से पम्पिंग कर 04 हौज फेलाकर आग को पूर्णरूप से बुझाया बाद अग्निशमन कार्य के फायर यूनिट जल संस्थान से वाहन में पानी भरकर वापस फायर स्टेशन उपस्थित हुए।  </t>
  </si>
  <si>
    <t xml:space="preserve">आग की सूचना प्राप्त होते ही फायर यूनिट घटना स्थल को रवाना हुए पहुचकर देखा कि आग क्ळठत् कैम्प से ऊपर तेखला के समीप जंगल मे लगी थी  जो कि तेजी से छप्ड प्रशिक्षण कन्द्र की ओर बढ रही थी। जिसे फायर यूनिट ने हाई प्रेशर पम्प से पम्पिंग कर होजरील की सहायता से आग को पूर्णरूप से बुझाया बाद अग्निशमन कार्य के फायर यूनिट जल संस्थान से वाहन में पानी भरकर वापस फायर स्टेशन उपस्थित हुए।  </t>
  </si>
  <si>
    <t xml:space="preserve">आग की सूचना प्राप्त होते ही फायर यूनिट घटना स्थल को रवाना हुए पहुचकर देखा कि आग सिलक्यारा के पास जंगल में लगी थी  जो तेजी से आवासीय कालोनी की ओर बढ रही थी जिसे फायर यूनिट ने एम0एफ0ई0 से पम्पिंग कर होजरील एव होज पाईप फैलाकरे आग को पूर्णरूप से बुझाया बाद अग्निशमन कार्य के फायर यूनिट धरासू पुल से पानी भर कर वापास एफएस यूनिट चिन्यालीसैड उपस्थित हुए।  </t>
  </si>
  <si>
    <t xml:space="preserve">आग की सूचना प्राप्त होते ही फायर यूनिट घटना स्थल को रवाना हुए पहुचकर देखा कि आग मनेरा बाईपास रोड पोखरी गांव के समीप जंगल में लगी थी जिसे फायर यूनिट द्वारा मिनी हायर प्रेशर एवं एम0एफ0ई0 से पम्पिंग कर होज पाईप फेलाकर आग को पूर्णरूप से बुझाया बाद अग्निशमन कार्य के फायर यूनिट वाहन मे पानी भर कर जल संस्थाान से वापास एफएस पर उपस्थित हुए।  </t>
  </si>
  <si>
    <t xml:space="preserve">आग की सूचना प्राप्त होते ही फायर यूनिट घटना स्थल को रवाना हुए पहुचकर देखा कि आग ब्रहमखाल तलोग के पास जंगल में लगी थी जोे तेजी से विशाल मणी डोभाल के आवास की ओर बढ रही थी जिसे फायर यूनिट द्वारा बीटिग मैथड से पीट-पाटकर आग को पूर्ण रूप से बुझाया गया बाद समाप्त अग्निशमन कार्य के फायर यूनिट धरासू पुल से पानी भर कर वापास एफएस यूनिट चिन्यालीसैड उपस्थित हुए।  </t>
  </si>
  <si>
    <t xml:space="preserve">आग की सूचना प्राप्त होते ही फायर यूनिट घटना स्थल को रवाना हुए पहुचकर देखा कि आग कुटेटी मंदिर पास हाईडील कॉलोनी ,डक्ै के समीप  जंगल में लगी थी जो तेजी से आवासीय कालोनी की ओर बढ रही थी     जिसे फायर यूनिट द्वारा मिनी हायर प्रेशर एवं एम0एफ0ई0 से पम्पिंग कर होज रील , हौज पाइप द्वारा  आग को पूर्णरूप से बुझाया बाद अग्निशमन कार्य के फायर यूनिट वाहन मे पानी भर कर जल संस्थाान से वापास एफएस पर उपस्थित हुए।  </t>
  </si>
  <si>
    <t xml:space="preserve">आग की सूचना प्राप्त होते ही फायर यूनिट घटना स्थल को रवाना हुए पहुचकर देखा कि आग माण्डो रोड प्रोसपेरिटी होटल के ऊपर जंगल में लगी थी जो तेजी से आवासीय कालोनी की ओर बढ रही थी जिसे फायर यूनिट द्वारा एम0एफ0ई0 से पम्पिंग कर 04 होज फेलाकर आग को पूर्णरूप से बुझाया बाद अग्निशमन कार्य के फायर यूनिट वाहन मे पानी भर कर जल संस्थाान से वापास एफएस पर उपस्थित हुए।  </t>
  </si>
  <si>
    <t xml:space="preserve">आग की सूचना प्राप्त होते ही फायर यूनिट घटना स्थल को रवाना हुए पहुचकर देखा कि आग बडेथी पुराना आटीओ कार्यालय के पास  जंगल में लगी थी जो तेजी से आवासीय बस्ती की ओर बढ रही थी जिसे फायर यूनिट द्वारा बीटिंग मेथड की सहायता से पीट पाटकर आग को पूर्णरूप से बुझाया बाद अग्निशमन कार्य के फायर यूनिट वापास एफएस पर उपस्थित हुए।  </t>
  </si>
  <si>
    <t xml:space="preserve">आग की सूचना प्राप्त होते ही फायर यूनिट घटना स्थल को रवाना हुए पहुचकर देखा कि आग बडेथी एनआईएम बैण्ड जंगल में लगी थी जो तेजी से आवासीय बस्ती की ओर बढ रही थी जिसे फायर यूनिट द्वारा हाई प्रेशर पम्प की सहायता से होजरील फेैलाकर आग को पूर्णरूप से बुझाया बाद अग्निशमन कार्य के फायर यूनिट वापास एफएस पर उपस्थित हुए।  </t>
  </si>
  <si>
    <t xml:space="preserve">आग की सूचना प्राप्त होते ही फायर यूनिट घटना स्थल को रवाना हुए पहुचकर देखा कि आग तेखला पुल के पास जंगल में लगी थी जो तेजी से माण्डो क्षेत्र तेखला बाई रोड पर बने होटलो की ओर बढ रही थी जिसे फायर यूनिट द्वारा दो एमएफई की सहायता से होजरील फैलाकर आग को  पूर्णरूप से बुझाया बाद अग्निशमन कार्य के जल संस्थान से पानी भरकर  फायर यूनिट वापास एफएस पर उपस्थित हुए।  </t>
  </si>
  <si>
    <t xml:space="preserve">आग की सूचना प्राप्त होते ही फायर यूनिट घटना स्थल को रवाना हुए पहुचकर देखा कि आग सिलक्यारा के पास जंगल में लगी थी जो तेजी से सडक मार्ग की ओर बढ रही थी सडक मार्ग पर अनेक वाहनो को आग की चपेट मे आने से फायर सर्विस यूनिट द्वारा बचाया गये तथा आग को एमएफई की सहायता से होजरील फैलाकर पूर्णरूप से बुझाया बाद अग्निशमन कार्य के धरासू पुल से पानी भरकर फायर यूनिट वापास चिन्यालीसौड पर उपस्थित हुए।  </t>
  </si>
  <si>
    <t xml:space="preserve">आग की सूचना प्राप्त होते ही फायर यूनिट घटना स्थल को रवाना हुए पहुचकर देखा कि तेखला पुल के पास जंगल में लगी थी जो तेजी से होटल दिलगिरी की ओर बढ रही थी जिसे फायर यूनिट द्वारा एमएफई की सहायता से पम्पिगं कर एक होजरील फैलाकर आग को पूर्णरूप से बुझाया बाद अग्निशमन कार्य के जल संस्थान से पानी भरकर फायर यूनिट वापास एफएस पर उपस्थित हुए।  </t>
  </si>
  <si>
    <t xml:space="preserve">आग की सूचना प्राप्त होते ही फायर यूनिट घटना स्थल को रवाना हुए पहुचकर देखा कि सिलक्यारा बैण्ड के पास जंगल में लगी थी जो तेजी से विकराल रूप कर धारण कर सडक मार्ग की ओर बढ रही थी जिसे फायर यूनिट द्वारा एमएफई की सहायता से पम्पिगं कर एक होजरील फैलाकर आग को पूर्णरूप से बुझाया बाद अग्निशमन कार्य के जल संस्थान से पानी भरकर फायर यूनिट वापास एफएस पर उपस्थित हुए।  </t>
  </si>
  <si>
    <t xml:space="preserve">     स्टेशन प्रभारी महोदय के माबाईल पर ओरछा बैंड के निकट जंगल में आग लगने की सूचना प्राप्त हुई जो बडी तेजी से आवासीय बस्ती की और बढ रही है। उक्त सूचना पर त्वरित कार्यवाही करते हुयें फायर यूनिट बडकोट घटना स्थल हेतु रवना हुई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स्थानिय लोगो के फल दार वृक्ष जल कर नष्ट हो गये अन्य किसी भी प्रकार की कोई जन हानि नही हुई है।</t>
  </si>
  <si>
    <t xml:space="preserve">     एम.डी.टी. पर तिलाडी रोड बडकोट में जंगल में आग लगने की सूचना प्राप्त हुई सूचना प्रात्प होते ही फायर यूनिट बडकोट घटना स्थल पर पहुॅची तथा देखा की आग डम्पिंग जोन के निकट जंगल में लगी है। जिसको फायर यूनिट द्वारा मो0फा0 इं0 से पम्पिंग कर 01 हौज व होज रील फैलाकर आग को कडी महनत के बाद पूर्ण रूप से बुझा दिया गया। उक्त आग में किसी भी प्रकार की कोई जन हानि नही हुई है। </t>
  </si>
  <si>
    <t xml:space="preserve"> 50,000/-</t>
  </si>
  <si>
    <t xml:space="preserve">     एम.डी.टी. के माध्यम से डंडाल गॉव के निकट जंगल में आग लगने की सूचना प्राप्त हुई जो बडी तेजी से आवासीय बस्ती की और बढ रही है। उक्त सूचना पर त्वरित कार्यवाही करते हुयें फायर यूनिट बडकोट घटना स्थल हेतु रवना हुई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स्थानिय लोगो के फल दार वृक्ष जल कर नष्ट हो गये अन्य किसी भी प्रकार की कोई जन हानि नही हुई है।</t>
  </si>
  <si>
    <t xml:space="preserve">     थानाध्यक्ष महोदय बडकोट द्वारा स्टेशन प्रभारी के मोबाईल पर रा0महाविघालय टटाऊ के निकट जंगल व झाडियों में आग लगने की सूचना दी सूचना प्रात्प होते ही फायर यूनिट बडकोट घटना स्थल पर पहुॅची तथा देखा की आग जंगल व झाडियो में थी जोकि हवा के तेज बहाव के कारण टटाऊ में चल रही कथा पंडाल के निकट आ रही थी जिसको फायर यूनिट द्वारा मो0फा0 इं0 से पम्पिंग कर 01 हौज फैलाकर आग को कडी महनत के बाद पूर्ण रूप से बुझा दिया गया। उक्त आग में किसी भी प्रकार की कोई जन हानि नही हुई है। </t>
  </si>
  <si>
    <t xml:space="preserve"> 1,00,000/-</t>
  </si>
  <si>
    <t xml:space="preserve">     एम.डी.टी. के माध्यम से ग्राम तुनाल्का के निकट जंगल में आग लगने की सूचना प्राप्त हुई जो बडी तेजी से आवासीय बस्ती की और बढ रही है। उक्त सूचना पर त्वरित कार्यवाही करते हुयें फायर यूनिट नौगांव व बडकोट घटना स्थल हेतु रवना हुई तथा घटना स्थल पर पहुॅच कर मो0फ0ई0 से हौज व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t>
  </si>
  <si>
    <t xml:space="preserve"> 10,000/-</t>
  </si>
  <si>
    <t xml:space="preserve">     थाना मोरी से चालक राकेश कण्डारी के मोबाईल पर ग्राम नासना थाना मोरी के निकट जंगल में आग लगने की सूचना प्राप्त हुई जो बडी तेजी से आवासीय बस्ती की और बढ रही है। उक्त सूचना पर त्वरित कार्यवाही करते हुयें फायर यूनिट मेारी घटना स्थल हेतु रवना हुई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स्थानिय लोगो के फल दार वृक्ष जल कर नष्ट हो गये अन्य किसी भी प्रकार की कोई जन हानि नही हुई है।</t>
  </si>
  <si>
    <t xml:space="preserve">     थाना मोरी से चालक राकेश कण्डारी के मोबाईल पर कस्बा नेटवाड थाना मोरी के निकट जंगल में आग लगने की सूचना प्राप्त हुई जो बडी तेजी से आवासीय बस्ती की और बढ रही है। उक्त सूचना पर त्वरित कार्यवाही करते हुयें फायर यूनिट मेारी घटना स्थल हेतु रवना हुई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चीड के 4-5 सुखे वृक्ष जल कर नष्ट हो गये अन्य किसी भी प्रकार की कोई जन हानि नही हुई है।</t>
  </si>
  <si>
    <t xml:space="preserve">     एम.डी.टी. के माध्यम से ग्राम तुनाल्का के निकट जंगल में आग लगने की सूचना प्राप्त हुई जो बडी तेजी से आवासीय बस्ती की और बढ रही है। उक्त सूचना पर त्वरित कार्यवाही करते हुयें फायर यूनिट बडकोट घटना स्थल हेतु रवना हुई तथा घटना स्थल पर पहुॅच कर मो0फ0ई0 से हौज व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अरूण परमार पुत्र स्व0 श्री भगवान सिंह की लगभग 20,000/- मुल्य की लकडी जलकर नष्ट हो गयी।</t>
  </si>
  <si>
    <t xml:space="preserve"> 20,000/-</t>
  </si>
  <si>
    <t xml:space="preserve">     स्थानीय व्यक्ति किशोर सिंह चौहान द्वारा फायर यूनिट मोरी में नियुक्त फायरमैन विक्रम सिंह के मोबाईल पर ग्राम पेतडी, थाना मोरी के निकट जंगल में आग लगने की सूचना प्राप्त हुई जो बडी तेजी से आवासीय बस्ती की और बढ रही है। उक्त सूचना पर त्वरित कार्यवाही करते हुयें फायर यूनिट मेारी घटना स्थल हेतु रवना हुई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ग्रामवासीयो के सेब के बगीचे में कुछ वृक्ष जल कर नष्ट हो गये अन्य किसी भी प्रकार की कोई जन हानि नही हुई है।</t>
  </si>
  <si>
    <t xml:space="preserve"> 4,00,000/-</t>
  </si>
  <si>
    <t xml:space="preserve">     स्थानिय व्यक्ति दिनेश रावत द्वारा स्टेशन प्रभारी के मोबाईल पर पौन्टी पुल के निकट जंगल में आग लगने की सूचना दी सूचना प्रात्प होते ही फायर यूनिट बडकोट घटना स्थल पर पहुॅची तथा देखा की आग जंगल में लगी थी। जोकि हवा के तेज बहाव के कारण आवासीय बस्ति  के निकट आ रही थी जिसको फायर यूनिट द्वारा मि0 व मो.फा.इ. से पम्पिंग कर 01 हौजरील व होज फैलाकर आग को कडी महनत के बाद पूर्ण रूप से बुझा दिया गया। उक्त आग में किसी भी प्रकार की कोई जन हानि नही हुई है। </t>
  </si>
  <si>
    <t xml:space="preserve">   20,000/-</t>
  </si>
  <si>
    <t>19,80,000/-</t>
  </si>
  <si>
    <t xml:space="preserve">     एम.डी.टी. के माध्यम से राडी टॉप के निकट जंगल में आग लगने की सूचना प्राप्त हुई जो बडी तेजी से राष्ट्रीय राज मार्ग पर फैल गयी है। जिस कारण याता यात बाधित हो रहा है। उक्त सूचना पर त्वरित कार्यवाही करते हुयें फायर यूनिट बडकोट घटना स्थल हेतु रवना हुई तथा घटना स्थल पर पहुॅच कर मो0फ0ई0 से हौज रील फैलाकर आग को बुझाना आरम्भ किया गया एवं आग को मार्ग की और आने से रोका गया तथा कडी महनत कर व लगातार पानी का छिडकाव कर आग को पूर्ण रूप से बुझा दिया गया। तथा याता यात सुचारू किया गया।</t>
  </si>
  <si>
    <t xml:space="preserve">     एम.डी.टी. के माध्यम से पीडब्लूडी गेस्ट हाउस के निकट जंगल में आग लगने की सूचना प्राप्त हुई जो बडी तेजी से आवासीय बस्ती की और बढ रही है। उक्त सूचना पर त्वरित कार्यवाही करते हुयें फायर यूनिट बडकोट घटना स्थल हेतु रवना हुई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स्थानिय लोगो के फल दार वृक्ष जल कर नष्ट हो गये अन्य किसी भी प्रकार की कोई जन हानि नही हुई है।</t>
  </si>
  <si>
    <t xml:space="preserve">     आर.ओ. वन विभाग पुरोला द्वारा फायर सर्विस चालक दिनेश कुमार फायर यूनिट पुरोला के मोबाईल पर पेट्रोल पम्प पुरोला के निकट जंगल में आग लगने की सूचना दी गयी तथा बताया गया कि उक्त आग बडी तेजी से आवासीय बस्ती की और बढ रही है। उक्त सूचना पर त्वरित कार्यवाही करते हुयें फायर यूनिट पुरोला घटना स्थल हेतु रवना हुई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t>
  </si>
  <si>
    <t xml:space="preserve">     वन रेंजर बडकोट द्वारा स्टेशन प्रभारी बडकोट के मोबाईल पर उत्तरकाशी मार्ग पर पोलगॉव टर्नल के निकट जंगल में आग लगने की सूचना दी गयी तथा बताया गया कि उक्त आग बडी तेजी से टर्नल साईट की और बढ रही है। उक्त सूचना पर त्वरित कार्यवाही करते हुयें फायर यूनिट बडकोट घटना स्थल हेतु रवना हुई तथा घटना स्थल पर पहुॅच कर मो0फ0ई0 से हौज रील फैलाकर आग को बुझाना आरम्भ किया गया एवं आग को आवासीय बस्ती व टर्नल व टर्नल साईट की और आने से रोका गया तथा कडी महनत कर व लगातार पानी का छिडकाव कर आग को पूर्ण रूप से बुझा दिया गया। </t>
  </si>
  <si>
    <t xml:space="preserve">     स्थानिय व्यक्ति द्वारा फायरमैन विक्रम सिंह के मोबाईल पर जरमोला थाना मोरी के निकट जंगल में आग लगने की सूचना प्राप्त हुई जो बडी तेजी से आवासीय बस्ती की और बढ रही है। उक्त सूचना पर त्वरित कार्यवाही करते हुयें फायर यूनिट मेारी घटना स्थल हेतु रवना हुई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3-4 चीड के सुखे वृक्ष जल कर नष्ट हो गये अन्य किसी भी प्रकार की कोई जन हानि नही हुई है।</t>
  </si>
  <si>
    <t xml:space="preserve"> 30,000/-</t>
  </si>
  <si>
    <t>9,70,000/-</t>
  </si>
  <si>
    <t xml:space="preserve">     पुलिस चौकी पुरोला से चालक दिनेश कुमार के मोबाईल पर ग्राम डेरिका थाना पुरोला के निकट जंगल में आग लगने की सूचना प्राप्त हुई जो बडी तेजी से आवासीय बस्ती की और बढ रही है। उक्त सूचना पर त्वरित कार्यवाही करते हुयें फायर यूनिट पुरोला घटना स्थल हेतु रवना हुई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स्थानिय लोगो के फल दार वृक्ष जल कर नष्ट हो गये अन्य किसी भी प्रकार की कोई जन हानि नही हुई है।</t>
  </si>
  <si>
    <t>9,80,000/-</t>
  </si>
  <si>
    <t xml:space="preserve">     एम.डी.टी. के माध्यम से राडी टॉप के निकट जंगल में आग लगने की सूचना प्राप्त हुई जो बडी तेजी से राष्ट्रीय राज मार्ग की और बढ रही है। उक्त सूचना पर त्वरित कार्यवाही करते हुयें फायर यूनिट बडकोट घटना स्थल हेतु रवना हुई तथा घटना स्थल पर पहुॅच कर मो0फ0ई0 से हौज रील फैलाकर आग को बुझाना आरम्भ किया गया एवं आग को राष्ट्रीय राज मार्ग की और आने से रोका गया तथा कडी महनत कर व लगातार पानी का छिडकाव कर आग को पूर्ण रूप से बुझा दिया गया। तथा राष्ट्रीय राज मार्ग को यातायात हेतु खोला गया। अन्य किसी भी प्रकार की कोई जन हानि नही हुई है।</t>
  </si>
  <si>
    <t>29,00,000/-</t>
  </si>
  <si>
    <t xml:space="preserve">     एम.डी.टी. के माध्यम से ग्राम कण्डारी ( सारीगाड) के निकट जंगल में आग लगने की सूचना प्राप्त हुई तथा कॉलर द्वारा बताया गया कि उक्त आग बडी तेजी से आवासीय बस्ती व ग्राम की और बढ रही है। उक्त सूचना पर त्वरित कार्यवाही करते हुयें फायर यूनिट नौगांव व बडकोट मय आवश्यक उपकरणों के घटना स्थल हेतु रवना हुयें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ग्रामवासीयों के फलदार वृक्ष जल कर नष्ट हो गयें। अन्य किसी भी प्रकार की कोई जन हानि नही हुई है।</t>
  </si>
  <si>
    <t xml:space="preserve">     एम.डी.टी. के माध्यम से धनवन्तरी पब्लिक स्कूल नौगांव के निकट जंगल में आग लगने की सूचना प्राप्त हुई तथा कॉलर द्वारा बताया गया कि उक्त आग बडी तेजी से आवासीय बस्ती की और बढ रही है। उक्त सूचना पर त्वरित कार्यवाही करते हुयें फायर यूनिट नौगांव व बडकोट मय आवश्यक उपकरणों के घटना स्थल हेतु रवना हुयें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किसी भी प्रकार की कोई जन हानि नही हुई है।</t>
  </si>
  <si>
    <t xml:space="preserve">     स्थानिय व्यक्ति अंकित असवाल द्वारा फायरमैन विनोद सैनी के मोबाईल पर शरूखेत में बिजली घर के निकट जंगल में आग लगने की सूचना प्राप्त हुई तथा कॉलर द्वारा बताया गया कि उक्त आग बडी तेजी से आवासीय बस्ती की और बढ रही है। उक्त सूचना पर त्वरित कार्यवाही करते हुयें फायर यूनिट बडकोट मय आवश्यक उपकरणों के घटना स्थल हेतु रवना हुयें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किसी भी प्रकार की कोई जन हानि नही हुई है।</t>
  </si>
  <si>
    <t xml:space="preserve">फायर स्टेशन उत्तरकाशी में त्ज् सैट के माध्यम से सूचना प्रा्रप्त होते ही फायर युनिट बाजार चौकी को सूचना प्रेषित की गयी । फायर युनिट बाजार चौकी घटना स्थल के लिए रवाना हुए जाकर देखा कि आग मैन बाजार पी0एन0बी0 के पीछे पुत्र श्री रामदेव के घर के छत में बने छप्पर में बिजली के पोल से शॉर्ट शर्किट के कारण चिंगारी गिरने से लगी थी जिसे फायर युनिट ने तुरंत कार्यवाही करते हुए वाहन से पंपिग कर होज रील की सहायता से आग को पूर्ण रुप से बुझाया , आग से कोई जनहानी नहीं हुई। बाद अग्निकार्य के फायर यूनिट वापस बाजार चौकी  उपस्थित हुए। </t>
  </si>
  <si>
    <t xml:space="preserve">  सम्भवतः शार्ट सर्किट</t>
  </si>
  <si>
    <t>एफ.एस. बडकोट पर एम.डी.टी. के माध्यम से ग्राम खलाडी तहसील पुरोला में आग लगने की सूचना प्राप्त हुई। निकटतम फायर यूनिट पुरोला को घटना स्थल पर भेजा गया, फायर यूनिट ने घटना स्थल पर पंहुच कर देखा की आग अरमीया पुत्र पूर्ण सिंह ग्राम खलाडी के लकडी से निर्मित छानी में लगी थी जिसको फायर यूनिट द्वारा मोटर फायर इं0 से हौज रिल फैलाकर पम्पिंग कर आग को बुझाना प्रारम्भ किया तथा कडी महनत कर आग को पूर्णरुप से बुझा दिया गया एक्त आग में किसी भी प्रकार की कोई जनहानी नहीं हुई। बाद अग्निकार्य के फायर यूनिट परिसर पर उपस्थित हुई तथा वाहन को पूनः टर्नआउट हेतु जगाया गया।</t>
  </si>
  <si>
    <t>सम्भवतः लापरवाही के कारण धूम्रपान जलता छोडने के कारण</t>
  </si>
  <si>
    <t>लकडी के निर्मित छानी में</t>
  </si>
  <si>
    <t>फायर स्टेशन उत्तरकाशी में डक्ज् के माध्यम से सूचना प्रा्रप्त हुई कि पोखरी व डांग गांव मनेरा बाईपास रोड के समीप सडक के उपर जंगल में लगी थी  फायर यूनिट घटना स्थल को रवाना हुए जाकर देखा की आग मनेरा बाईपास  रोड के उपर जंगल में लगी थी जो कि तेजी से गांव के दो तीन मकानों की ओर बढ रही थी फायर युनिट ने तुरंत कार्यवाही करते हुए वाहन से पंपिग कर होज रील की सहायता से आग को े पूर्णरुप से बुझाया। बाद अग्निकार्य के फायर यूनिट जलसंस्थान से वाहन में पानी भरकर वापस फायर स्टेशन उपस्थित हुए।</t>
  </si>
  <si>
    <t>आग की सूचना प्राप्त होते ही फायर यूनिट घटना स्थल को रवाना हुए जाकर देखा की आग लम्बगांव मोटर मार्ग , तिलोथ पावर हाउस के निकट यू.पी.सी.एल. कॉलोनी के सडक मार्ग से नीचे जंगल में लगी थी जो तेजी से आवासीय भवनो की ओर बढ रही थी जिसे फायर यूनिट द्वारा वाहन से पम्पिंग कर हौजरील के माध्यम से आग को पूर्णरुप से बुझाया। बाद अग्किार्य के फायर यूनिट वापस फायर स्टेशन उपस्थित हुए।</t>
  </si>
  <si>
    <t>14.96.000</t>
  </si>
  <si>
    <t>आग की सूचना प्राप्त होते ही फायर यूनिट घटना स्थल को रवाना हुए जाकर देखा की आग नीम कैम्पस के नीचे जंगल में लगी थी जो कि नीम कैम्पस व नीम आवासीय कॉलोनी की तरफ बढ रही थी। फायर यूनिट ने तुरन्त कार्यवही करते हुए वाहन से पम्पिंग कर आग को पूर्णरुप से बुझाया। बाद अग्किार्य के फायर यूनिट वापस फायर स्टेशन उपस्थित हुए।</t>
  </si>
  <si>
    <t>34.95.000</t>
  </si>
  <si>
    <t>(जिस क्षेत्रार्न्तागत अग्निकाण्ड हुआ हो)</t>
  </si>
  <si>
    <t>बडकोट</t>
  </si>
  <si>
    <t>नौगांव (बडकोट)</t>
  </si>
  <si>
    <t>टिहरी गढ़वाल</t>
  </si>
  <si>
    <t>नई टिहरी</t>
  </si>
  <si>
    <t>नरेन्द्रनगर</t>
  </si>
  <si>
    <t>रानीखेत</t>
  </si>
  <si>
    <t xml:space="preserve">बिलौना रोड त्यूनेरा के पास  </t>
  </si>
  <si>
    <t>ट्रांसफार्मर में स्पार्क के कारण</t>
  </si>
  <si>
    <t>ट्रांसफार्मर में स्पार्क से होने के कारण ट्रांसफार्मर के नीचे आग लगी थी।</t>
  </si>
  <si>
    <t>सूखे लकड़ी के ढेर व पिरूल के ढेर में</t>
  </si>
  <si>
    <t>48000/-</t>
  </si>
  <si>
    <t xml:space="preserve">पियर मजार मस्जिद गली बैजनाथ थाना-बैजनाथ </t>
  </si>
  <si>
    <t>कपड़ों के गोदाम में</t>
  </si>
  <si>
    <t>49000/-</t>
  </si>
  <si>
    <t xml:space="preserve">कुढ़े के ढेर में </t>
  </si>
  <si>
    <t>द्यांगण बाय-पास नीलेष्वर रोड में आवासीय क्षेत्र की ओर बढ़ती जंगल की आग</t>
  </si>
  <si>
    <t>ए0डी0एम0 महोदय आवास के पास जंगली झाड़ियों की आग।</t>
  </si>
  <si>
    <t>डिग्री कॉलेज बागेष्वर कैम्पस के अन्दर जंगली झाड़ियों की आग।</t>
  </si>
  <si>
    <t>ग्राम छानी में जीवन सिंह नेगी के खेत में तुन के पेड़ में आग लगी थी। जिसके आस-पास आवासीय मकान भी थे।</t>
  </si>
  <si>
    <t>जिला जजी के पास बिजली विभाग के आवासीय कॉलोनी के पीछे जंगल की आग।</t>
  </si>
  <si>
    <t>नदी गांव इण्टर कॉलेज के पास कूढ़े/जंगली झाड़ियों की आग।</t>
  </si>
  <si>
    <t>खायी बगड़ थाना कपकोट में सूखी घांस/जंगल की आग।</t>
  </si>
  <si>
    <t>ग्राम सिटोली गैस गोदाम रोड थाना बैजनाथ में जंगल की आग</t>
  </si>
  <si>
    <t>23000/-</t>
  </si>
  <si>
    <t>ग्राम रतमटिया प्राथमिक विद्यालय थाना कौसानी के पास जंगल की सूखी घास, झाड़ियों व पेड़ों में।</t>
  </si>
  <si>
    <t>वन सम्पदा</t>
  </si>
  <si>
    <t>25000/-</t>
  </si>
  <si>
    <t>सुनीता होटल कौसानी के पास जंगल में सूखी घांस, पिरूल व चीड़ के पेड़ों में आग।</t>
  </si>
  <si>
    <t>ग्राम चनोली थाना बैजनाथ के पास जंगल में सूखी घांस, पिरूल व चीेड़ के पेड़ों में।</t>
  </si>
  <si>
    <t>ग्राम सिल्ली थाना बैजनाथ में बांज के जंगल में सूखी पत्तियों पेड़ों में आग।</t>
  </si>
  <si>
    <t>ग्राम दर्षानी गरूड़ थाना बैजनाथ के पास बांज के जंगल में सूखी पत्तियों, घांस व झाड़ियों में।</t>
  </si>
  <si>
    <t>ग्राम खितौली देवनाई थाना बैजनाथ के पास जंगली घांस की आग।</t>
  </si>
  <si>
    <t>गा्रम माल्दे थाना बैजनाथ के पास जंगल में घांस, लकड़ी की आग।</t>
  </si>
  <si>
    <t>हैरीटेज होटल के पास थाना कौसानी में जंगल की आग सूखी घांस, झाड़ियों में।</t>
  </si>
  <si>
    <t xml:space="preserve">ग्राम सिरौली पिंगलो  थाना बैजनाथ </t>
  </si>
  <si>
    <t xml:space="preserve">सड़क किनारे खड़े वाहन सं0-न्ज्ञ02ज्।2124 (बोलेरो) में। </t>
  </si>
  <si>
    <t>800000/-</t>
  </si>
  <si>
    <t>घांघली, चौकी डंगोली थाना-बैजनाथ</t>
  </si>
  <si>
    <t>ओवर हीटिंग के कारण</t>
  </si>
  <si>
    <t>मोटरसाईकिल सं0-न्ज्ञ04.5438(अपाचे) में</t>
  </si>
  <si>
    <t xml:space="preserve">पुलिस लाईन के पास कुडे के ढेर में </t>
  </si>
  <si>
    <t xml:space="preserve">कुड़े के ढेर में आग लग जाना </t>
  </si>
  <si>
    <t>पुलिस लाईन के पास कुडे के ढेर में</t>
  </si>
  <si>
    <t>कुड़े के ढेर में आग का लग जाना</t>
  </si>
  <si>
    <t>बिलौना रोडवेज</t>
  </si>
  <si>
    <t>सम्भ्वतः लापरवाही से</t>
  </si>
  <si>
    <t>तहसील रोड होटल विवेक के पास</t>
  </si>
  <si>
    <t>985000/-</t>
  </si>
  <si>
    <t>ग्राम -रणकुली देवनाई थाना बैजनाथ</t>
  </si>
  <si>
    <t xml:space="preserve">सम्भ्वतः आपसी विवाद के कारण </t>
  </si>
  <si>
    <t xml:space="preserve">घर में गैस सिलेण्डर से </t>
  </si>
  <si>
    <t>85,0000/-</t>
  </si>
  <si>
    <t>ग्राम-सिमार ग्राम सभा कनस्यारी थाना बैजनाथ</t>
  </si>
  <si>
    <t>षॉट सर्किट के कारण</t>
  </si>
  <si>
    <t>2,00000/-</t>
  </si>
  <si>
    <t>ग्राम -कनस्यारी सिमार थाना बैजनाथ</t>
  </si>
  <si>
    <t>गोषाला के पास अंगेठी में धुॅआ लगाने के कारण</t>
  </si>
  <si>
    <t xml:space="preserve">गौषाला में रखे सूखी घास के ढेर में </t>
  </si>
  <si>
    <t>99000/-</t>
  </si>
  <si>
    <t>रोडवेज बस डिपो, बिलौना</t>
  </si>
  <si>
    <t>आतिषबाजी के कारण</t>
  </si>
  <si>
    <t xml:space="preserve">घास के लुटो में </t>
  </si>
  <si>
    <t>चौडा रोड ग्राम पल्सू</t>
  </si>
  <si>
    <t xml:space="preserve">ग्राम वानरी मंडल सेरा </t>
  </si>
  <si>
    <t>ग्राम उडियाडाक देवनाई</t>
  </si>
  <si>
    <t>सम्भवतः षीट सर्किट</t>
  </si>
  <si>
    <t xml:space="preserve">किराना/सहकारी सस्ते गल्ले की दुकान में </t>
  </si>
  <si>
    <t>9,00,000/-</t>
  </si>
  <si>
    <t>20,00000/-</t>
  </si>
  <si>
    <t>गरूड़</t>
  </si>
  <si>
    <t xml:space="preserve">ग्राम-मथुरों पाटली, थाना कौसानी में जंगल में </t>
  </si>
  <si>
    <t>कूड़ा जलाने के कारण</t>
  </si>
  <si>
    <t>जंगल की आग फैलने के कारण</t>
  </si>
  <si>
    <t>कपकोट</t>
  </si>
  <si>
    <t>लोहाघाट</t>
  </si>
  <si>
    <t>टनकपुर</t>
  </si>
  <si>
    <t>फायर कॉल -2024</t>
  </si>
  <si>
    <t>क्र0सं0</t>
  </si>
  <si>
    <t>फायर स्टेशन</t>
  </si>
  <si>
    <t>जनवरी</t>
  </si>
  <si>
    <t>फरवरी</t>
  </si>
  <si>
    <t>मार्च</t>
  </si>
  <si>
    <t>अप्रैल</t>
  </si>
  <si>
    <t>मई</t>
  </si>
  <si>
    <t>जून</t>
  </si>
  <si>
    <t>जुलाई</t>
  </si>
  <si>
    <t>अगस्त</t>
  </si>
  <si>
    <t>सितम्बर</t>
  </si>
  <si>
    <t>अक्टूबर</t>
  </si>
  <si>
    <t>नवम्बर</t>
  </si>
  <si>
    <t>दिसम्बर</t>
  </si>
  <si>
    <t>योग</t>
  </si>
  <si>
    <t>Dehradun</t>
  </si>
  <si>
    <t>Haridwar</t>
  </si>
  <si>
    <t>Tehri</t>
  </si>
  <si>
    <t>Uttarkashi</t>
  </si>
  <si>
    <t>Pauri</t>
  </si>
  <si>
    <t>Chamoli</t>
  </si>
  <si>
    <t>Rudraprayag</t>
  </si>
  <si>
    <t>UdhamSinghNagar</t>
  </si>
  <si>
    <t>Nainital</t>
  </si>
  <si>
    <t>Almora</t>
  </si>
  <si>
    <t>Bageshwar</t>
  </si>
  <si>
    <t>Pithoragarh</t>
  </si>
  <si>
    <t>Champawat</t>
  </si>
  <si>
    <t>मसूरी</t>
  </si>
  <si>
    <t>सेलाकुई</t>
  </si>
  <si>
    <t>डोईवाला</t>
  </si>
  <si>
    <t>रामनगर</t>
  </si>
  <si>
    <t>कटे हुए गेंहू के खेत में ठुठों को जलाने के कारण</t>
  </si>
  <si>
    <t>ज्योतिर्मठ</t>
  </si>
  <si>
    <t>गैरसैंण</t>
  </si>
  <si>
    <t>बद्रीनाथ</t>
  </si>
  <si>
    <t>गरूड़</t>
  </si>
  <si>
    <t>धारचूला</t>
  </si>
  <si>
    <t>डीडीहाट</t>
  </si>
  <si>
    <t>रूद्रप्रयाग</t>
  </si>
  <si>
    <t>थलीसैंण</t>
  </si>
  <si>
    <t>बड़कोट</t>
  </si>
  <si>
    <t>चिन्यालीसौंड़</t>
  </si>
  <si>
    <t>घनसाली</t>
  </si>
  <si>
    <t>स्थानिय व्यक्ति द्वारा फायरमैन विक्रम सिंह के मोबाईल पर जरमोला थाना मोरी के निकट जंगल में आग लगने की सूचना प्राप्त हुई जो बडी तेजी से आवासीय बस्ती की और बढ रही है। उक्त सूचना पर त्वरित कार्यवाही करते हुयें फायर यूनिट मेारी घटना स्थल हेतु रवना हुई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3-4 चीड के सुखे वृक्ष जल कर नष्ट हो गये अन्य किसी भी प्रकार की कोई जन हानि नही हुई है।</t>
  </si>
  <si>
    <t>Rishikesh-1</t>
  </si>
  <si>
    <t>Rishikesh-2</t>
  </si>
  <si>
    <t>Rishikesh-3</t>
  </si>
  <si>
    <t>Rishikesh-4</t>
  </si>
  <si>
    <t>Rishikesh-5</t>
  </si>
  <si>
    <t>Rishikesh-6</t>
  </si>
  <si>
    <t>Rishikesh-7</t>
  </si>
  <si>
    <t>Rishikesh-8</t>
  </si>
  <si>
    <t>Rishikesh-9</t>
  </si>
  <si>
    <t>Rishikesh-10</t>
  </si>
  <si>
    <t>Rishikesh-11</t>
  </si>
  <si>
    <t>Rishikesh-12</t>
  </si>
  <si>
    <t>Rishikesh-13</t>
  </si>
  <si>
    <t>Rishikesh-14</t>
  </si>
  <si>
    <t>Rishikesh-15</t>
  </si>
  <si>
    <t>Rishikesh-16</t>
  </si>
  <si>
    <t>Rishikesh-17</t>
  </si>
  <si>
    <t>Rishikesh-18</t>
  </si>
  <si>
    <t>Rishikesh-19</t>
  </si>
  <si>
    <t>Rishikesh-20</t>
  </si>
  <si>
    <t>Rishikesh-21</t>
  </si>
  <si>
    <t>Rishikesh-22</t>
  </si>
  <si>
    <t>Rishikesh-23</t>
  </si>
  <si>
    <t>Rishikesh-24</t>
  </si>
  <si>
    <t>Rishikesh-25</t>
  </si>
  <si>
    <t>Rishikesh-26</t>
  </si>
  <si>
    <t>Mse-1</t>
  </si>
  <si>
    <t>Mse-2</t>
  </si>
  <si>
    <t>Mse-3</t>
  </si>
  <si>
    <t>Mse-4</t>
  </si>
  <si>
    <t>Mse-5</t>
  </si>
  <si>
    <t>Mse-6</t>
  </si>
  <si>
    <t>sqi-1</t>
  </si>
  <si>
    <t>sqi-2</t>
  </si>
  <si>
    <t>sqi-3</t>
  </si>
  <si>
    <t>sqi-4</t>
  </si>
  <si>
    <t>sqi-5</t>
  </si>
  <si>
    <t>bgr-1</t>
  </si>
  <si>
    <t>bgr-2</t>
  </si>
  <si>
    <t>bgr-3</t>
  </si>
  <si>
    <t>bgr-4</t>
  </si>
  <si>
    <t>bgr-5</t>
  </si>
  <si>
    <t>bgr-6</t>
  </si>
  <si>
    <t>bgr-7</t>
  </si>
  <si>
    <t>bgr-8</t>
  </si>
  <si>
    <t>bgr-9</t>
  </si>
  <si>
    <t>bgr-10</t>
  </si>
  <si>
    <t>bgr-11</t>
  </si>
  <si>
    <t>bgr-12</t>
  </si>
  <si>
    <t>bgr-13</t>
  </si>
  <si>
    <t>bgr-14</t>
  </si>
  <si>
    <t>bgr-15</t>
  </si>
  <si>
    <t>bgr-16</t>
  </si>
  <si>
    <t>bgr-17</t>
  </si>
  <si>
    <t>bgr-18</t>
  </si>
  <si>
    <t>bgr-19</t>
  </si>
  <si>
    <t>bgr-20</t>
  </si>
  <si>
    <t>bgr-21</t>
  </si>
  <si>
    <t>bgr-22</t>
  </si>
  <si>
    <t>कुडे के ढेर में लगी आग को फायर यूनिट मण्डी व फायर यूनिट सिडकुल सितारगंजके द्वारा 04 हौज पाईप की सहायता से पूर्ण रूप से बुझाया गया।</t>
  </si>
  <si>
    <t>कुडे के ढेर में लगी आग को फायर यूनिट मण्डी व फायर यूनिट सिडकुल सितारगंजके द्वारा 03 हौज पाईप की सहायता से पूर्ण रूप से बुझाया गया।</t>
  </si>
  <si>
    <t>खेत में रखी लकडी व पेडों में लगी आग को फायर यूनिट मण्डी सितारगंजद्वारा 01 हौज पाईप की सहायता से पूर्ण रूप से बुझाया गया।</t>
  </si>
  <si>
    <t>राईस मिल में रखी धान की भूसी में लगी आग को फायर यूनिट मण्डी सितारगंजद्वारा 01 हौज पाईप की सहायता से पूर्ण रूप से बुझाया गया।</t>
  </si>
  <si>
    <t xml:space="preserve">कपकोट </t>
  </si>
  <si>
    <t xml:space="preserve">ग्राम मोतिस्यारी देवनाई, गरूड़  थाना बैजनाथ </t>
  </si>
  <si>
    <t>न0पं0 कपकोट डम्पिंग जोन (षामा बैण्ड)</t>
  </si>
  <si>
    <t>ओवरहीटिंग</t>
  </si>
  <si>
    <t>अग्निकाण्ड का प्रकार (आग किस वस्तु में लगी है)</t>
  </si>
  <si>
    <t>कारण अंकित नहीं है</t>
  </si>
  <si>
    <t>19:05 बजे</t>
  </si>
  <si>
    <t>19:13 बजे</t>
  </si>
  <si>
    <t>23:00 बजे</t>
  </si>
  <si>
    <t>14:21 बजे</t>
  </si>
  <si>
    <t>17:00 बजे</t>
  </si>
  <si>
    <t>16:10 बजे</t>
  </si>
  <si>
    <t>23:20 बजे</t>
  </si>
  <si>
    <t>02:25 बजे</t>
  </si>
  <si>
    <t>23:21 बजे</t>
  </si>
  <si>
    <t>4,49,500/-</t>
  </si>
  <si>
    <t>सम्भवतः अज्ञात व्यक्ति द्वारा लापरवाही से धूम्रपान फेंकने से</t>
  </si>
  <si>
    <t>सम्भवतः लापरवाही से धूम्रपान के फलस्वरूप</t>
  </si>
  <si>
    <t>जलती हुई स्कूटी के अन्य वाहनों के सम्पर्क में आने के कारण</t>
  </si>
  <si>
    <t>सम्भवतः लापरवाही से धूम्रपान कर फेंकी सामग्री से</t>
  </si>
  <si>
    <t>सम्भवतः इलैक्ट्रिक शार्ट होने से</t>
  </si>
  <si>
    <t>सम्भवतः इलैक्ट्रिक शार्ट सर्किट होने से</t>
  </si>
  <si>
    <t>इलैक्ट्रिक शार्ट सर्किट होने से</t>
  </si>
  <si>
    <t>विद्युत ट्रान्सफार्मर में इलैक्ट्रिक शार्ट सर्किट होने से</t>
  </si>
  <si>
    <t>महोदय आग गंगानगर –बसुकेदार मोटर मार्ग के समीप आल्टो कार मे लगी जिसे फायर यूनिट द्वारा MFE से पम्पिंग कर बुझाया गया ।</t>
  </si>
  <si>
    <t>वाहन में ।</t>
  </si>
  <si>
    <t>महोदय आग गैर जनपद चमोली के कस्बा सोनला के समीप BHEL. के स्टोर में आग लगी थी जिसे MFE से पम्पिंग कर जनपद चमोली की फायर यूनिट के साथ सयुक्त रुप से मिलकर बुझाय गया ।</t>
  </si>
  <si>
    <t>सोनला BHEL. के स्टोर ।</t>
  </si>
  <si>
    <t>महोदय भाणाधार रुद्रप्रयाग में मकान में आग लगी थी जिसे मे फायर यूनिट द्वारा MFE से पम्पिंग कर पूर्ण रुप से बुझाया गया ।</t>
  </si>
  <si>
    <t>भाणाधार में मकान मे लगी थी ।</t>
  </si>
  <si>
    <t>महोदय आग जिम कार्बेट सग्राहलय गुलाबराय के समीप गोशाले में घास व लकड़ी के ढ़ेर में लगी थी जिसे मे फायर यूनिट द्वारा MFE से पम्पिंग कर आग को  पूर्ण रुप से बुझाया गया</t>
  </si>
  <si>
    <t>जिम कार्बेट सग्राहलय गुलाबराय के समीप गोशाले में लगी थी ।</t>
  </si>
  <si>
    <t>1,150,000/</t>
  </si>
  <si>
    <t xml:space="preserve">रुद्रप्रयाग </t>
  </si>
  <si>
    <t>16:40 बजे</t>
  </si>
  <si>
    <t>महोदय आग झिरमोली( रैतोली)  के समीप जंगल में लगी थी जिसे फायर यूनिट द्वारा MFE से मोनीटर ब्रांच की सहायता से पम्पिंग कर बुझाया गया ।</t>
  </si>
  <si>
    <t>14:17 बजे</t>
  </si>
  <si>
    <t>महोदय आग फलई गांव निकट अगस्तमुनि के  जंगलो में लगी थी जिसे फायर यूनिट द्वारा MFE से पम्पिंग कर बुझाया गया ।</t>
  </si>
  <si>
    <t>महोदय पुलिस अधीक्षक कैम्प कार्यलय के समीप  के  जंगल में लगी थी जिसे फायर यूनिट द्वारा MFE से पम्पिंग कर बुझाया गया</t>
  </si>
  <si>
    <t>19:38 बजे</t>
  </si>
  <si>
    <t>महोदय आग रैतोली के समीप जंगल में लगी थी  जो पेट्रोल पम्प की तरफ बढ रही थी जिसे फायर यूनिट द्वारा MFE से मोनीटर ब्रांच की सहायता से पम्पिंग कर बुझाया गया ।</t>
  </si>
  <si>
    <t>12:55 बजे</t>
  </si>
  <si>
    <t>महोदय आग जिला अस्पताल के समीप झाडयों में लगी थी जो तेजी से जिला अस्पताल की ओर बढ़ रही थी जिसे फायर यूनिट गुलबाराय व फायर यूनिट रतूड़ा  द्वारा सयुक्त रुप से  MFE से पम्पिंग कर बुझाया गया ।</t>
  </si>
  <si>
    <t>झाडियों में ।</t>
  </si>
  <si>
    <t>14:30 बजे</t>
  </si>
  <si>
    <t>महोदय आग 3 मंजिला निर्मित भवन के निचले फ्लोर में गौशाले में लगी थी जो तेजी से अन्य आवासीय भवनों की ओर बढ़ रही थी जिसे फायर यूनिट गुलबाराय व फायर यूनिट रतूड़ा  द्वारा सयुक्त रुप से  MFE से पम्पिंग कर  बुझाया गया ।</t>
  </si>
  <si>
    <t>संभवत शॉट सर्किट से</t>
  </si>
  <si>
    <t>गौशाले में ।</t>
  </si>
  <si>
    <t>3,40,000/-</t>
  </si>
  <si>
    <t>16,60,000/-</t>
  </si>
  <si>
    <t>14:030 बजे</t>
  </si>
  <si>
    <t>महोदय आग रैतोली के समीप कूडा डम्पिंग जोन में लगी थी  जिस फायर यूनिट गुलाबराय द्वारा MFE से पम्पिंग कर होज पाईप की सहायता से बुझाया गया ।</t>
  </si>
  <si>
    <t>कूड़ा डम्पिंग जोन में ।</t>
  </si>
  <si>
    <t>महोदय, आग कालापौड़ पुलिया रुद्रप्रयाग के समीप कूड़े के ढ़ेर मे लगी जिसे फायर यूनिट द्वारा MFE से पम्पिंग कर बुझाया गया ।</t>
  </si>
  <si>
    <t>कूड़े की आग</t>
  </si>
  <si>
    <t>महोदय, डाट पुल(रुद्रप्रयाग) के पास लिंगवाल ज्वैलर्स दुकान मे आग लगी थी जिसे फायर यूनिट द्वारा MFE से पम्पिंग कर बुझाया गया ।</t>
  </si>
  <si>
    <t>महोदय,सोनप्रयाग स्थित जे0पी0जे0 होटल के पास टैंट से बनी झोपड़ी मे आग लगी थी जिसे फायर यूनिट द्वारा मिनी हाई प्रेशर से पम्पिंग कर होजरील की सहायता से आग को बुझाया गया ।</t>
  </si>
  <si>
    <t>टैंट से बनी झोपड़ी में</t>
  </si>
  <si>
    <t>1,10,000/-</t>
  </si>
  <si>
    <t>महोदय आग पुलिस कैम्प कार्यलय के समीप जंगल में लगी थी जिसे फायर यूनिट द्वारा MFE पम्पिंग से कर बुझाया गया ।</t>
  </si>
  <si>
    <t>महोदय आग विकाश भवन के  के समीप जंगल में लगी थी जिसे फायर यूनिट द्वारा MFE से पम्पिंग कर बुझाया गया ।</t>
  </si>
  <si>
    <t>महोदय आग कलेक्ट्रेट के  के समीप जंगल में लगी थी जिसे फायर यूनिट द्वारा MFE से पम्पिंग कर बुझाया गया</t>
  </si>
  <si>
    <t>महोदय आग कलेक्ट्रेट के  के समीप जंगल में लगी थी जिसे फायर यूनिट द्वारा MFE से पम्पिंग से कर बुझाया गया</t>
  </si>
  <si>
    <t>महोदय आग कलेक्ट्रेट के  के समीप जंगल में सडक के नीचे लगी थी जो कलेक्ट्रेट भवन का ओर बढ़ रही थी  जिसे फायर यूनिट द्वारा से MFE पम्पिंग  कर बुझाया गया</t>
  </si>
  <si>
    <t>महोदय आग गुलाबराय मैदान के समीप जंगल में लगी थी जिसे फायर यूनिट द्वारा MFE से पम्पिंग कर बुझाया गया</t>
  </si>
  <si>
    <t>महोदय आग ग्राम सौंड चौपता के समीप जंगल में लगी थी जिसे फायर यूनिट द्वारा MFE से पम्पिंग कर बुझाया गया ।</t>
  </si>
  <si>
    <t>महोदय आग नगरासू- हरियाली देवी मोटर मार्ग के समीप जंगल में लगी थी जिसे फायर यूनिट द्वारा MFE से पम्पिंग कर बुझाया गया ।</t>
  </si>
  <si>
    <t>महोदय आग तिलवाडा-सतेराखाल मोटर मार्ग पर लगी थी  आग सडक से अधिक दूरी पर होने के कारण फायर टेण्डर से आग बुझाया जान सभंव नही था अतः फायर यूनिट वापस उपस्थित हुयी ।</t>
  </si>
  <si>
    <t>महोदय आग निर्माणाधीन रेलवे टनल कम्पनी मैक्स हाई के समीप जंगल में लगी थी जो तेजी से रेलवे कम्पनी की तरफ बढ़ रही थी जिसे फायर यूनिट गुलबाराय व फायर यूनिट रतूड़ा  द्वारा सयुक्त रुप से  MFE से पम्पिंग कर बुझाया गया ।</t>
  </si>
  <si>
    <t>महोदय आग झीरमोली फौजी ढाबा के समीप जंगल में लगी थी जो बद्रीनाथ नेशनल हाईवे की ओर बढ़ रही थी जिसे फायर यूनिट द्वारा MFE से पम्पिंग कर बुझाया गया ।</t>
  </si>
  <si>
    <t>महोदय आग पुलिस फलई गांव के समीप जंगल में लगी थी जिसे फायर यूनिट द्वारा MFE पम्पिंग से कर बुझाया गया ।</t>
  </si>
  <si>
    <t>महोदय आग पुलिस अधीक्षक कैम्प कार्यालय एवं विकाश भवन के  के समीप जंगल में लगी थी जिसे फायर यूनिट द्वारा MFE से पम्पिंग कर बुझाया गया ।</t>
  </si>
  <si>
    <t>23:55 बजे</t>
  </si>
  <si>
    <t>महोदय आग ग्राम मरोड़ा तोप(घोलतीर)  के समीप जंगल में लगी थी जिसे फायर यूनिट द्वारा MFE से पम्पिंग से कर  एवं बीटिंग कर बुझाया गया ।</t>
  </si>
  <si>
    <t>395000/-</t>
  </si>
  <si>
    <t>22:35 बजे</t>
  </si>
  <si>
    <t>महोदय तूना बौठा रोड़ पर  जंगल में सडक के नीचे लगी थी जो आवासीय भवन की ओर बढ़ रही थी  जिसे फायर यूनिट द्वारा से MFE से 02 टेण्डर पम्पिंग  कर बुझाया गया।</t>
  </si>
  <si>
    <t>19:11 बजे</t>
  </si>
  <si>
    <t>महोदय आग ऊखीमठ के समीप संसारी गांव के  जंगलों में लगी थी जिसे फायर यूनिट द्वारा मिनी हाई प्रेशर होजरील  से पम्पिंग कर बुझाया गया ।</t>
  </si>
  <si>
    <t>1499500/-</t>
  </si>
  <si>
    <t>12:39 बजे</t>
  </si>
  <si>
    <t>महोदय आग बद्रीनाथ नेशनल हाईवे के समीप तिलणी,लमेरी गांव के जंगल में लगी थी जो हाईवे  की ओर बढ़ रही थी  जिसे फायर यूनिट द्वारा MFE से पम्पिंग कर बुझाया गया ।</t>
  </si>
  <si>
    <t>98000/-</t>
  </si>
  <si>
    <t>14:10 बजे</t>
  </si>
  <si>
    <t>महोदय आग ग्राम दरमोड़ा के समीप रेमा गांव के जंगलों में  जंगल में लगी थी जिसे फायर यूनिट द्वारा MFE से पम्पिंग कर वन विभाग के प्लाटेशन को सुरक्षित किया गया बुझाया गया ।</t>
  </si>
  <si>
    <t>149000/-</t>
  </si>
  <si>
    <t>महोदय आग तूना बौठा सडक मार्ग पर अमसारी गांव के जंगल में लगी थी आग सडक से अधिक दूरी पर होने के कारण फायर टेण्डर से आग बुझाया जान सभंव नही था अतः फायर यूनिट वापस उपस्थित हुयी ।</t>
  </si>
  <si>
    <t>महोदय आग पुरानी तहसील गुलाबराय के समीप जंगल झाड़ियों में लगी थी जिसे फायर यूनिट द्वारा MFE पम्पिंग से कर बुझाया गया ।</t>
  </si>
  <si>
    <t>किचन में सिलेण्डर में आग लगना</t>
  </si>
  <si>
    <t>फोरेस्ट फायर</t>
  </si>
  <si>
    <t>rpg-46</t>
  </si>
  <si>
    <t>rpg-47</t>
  </si>
  <si>
    <t>rpg-48</t>
  </si>
  <si>
    <t>Column1</t>
  </si>
  <si>
    <t>Goods</t>
  </si>
  <si>
    <t>घर</t>
  </si>
  <si>
    <t>बस</t>
  </si>
  <si>
    <t>फ्लैट</t>
  </si>
  <si>
    <t>स्कूटी</t>
  </si>
  <si>
    <t>ट्रक</t>
  </si>
  <si>
    <t>फैक्ट्री</t>
  </si>
  <si>
    <t>बाइक</t>
  </si>
  <si>
    <t>झोपड़ी</t>
  </si>
  <si>
    <t>बैंक</t>
  </si>
  <si>
    <t>क्रैन</t>
  </si>
  <si>
    <t>Vehicle Fire</t>
  </si>
  <si>
    <t>Building Fire</t>
  </si>
  <si>
    <t>हॉस्पिटल</t>
  </si>
  <si>
    <t>टैम्पो</t>
  </si>
  <si>
    <t>आधे रास्ते</t>
  </si>
  <si>
    <t>कूड़ें में</t>
  </si>
  <si>
    <t>वाहनों की टक्कर से</t>
  </si>
  <si>
    <t xml:space="preserve">ग्राम थुवामौनी के पास जंगल में  </t>
  </si>
  <si>
    <t xml:space="preserve">चौमेल बैण्ड लोहाघाट के निकट जंगल में  </t>
  </si>
  <si>
    <t xml:space="preserve">देवराड़ी बैण्ड लोहाघाट के निकट जंगल में  </t>
  </si>
  <si>
    <t xml:space="preserve">घूनाघाट पाटी के निकट जंगल में  </t>
  </si>
  <si>
    <t xml:space="preserve">गढ़कोट चम्पावत के निकट जंगल में  </t>
  </si>
  <si>
    <t xml:space="preserve">बाराकोट क्षेत्र के निकट जंगल में  </t>
  </si>
  <si>
    <t xml:space="preserve">पंचेश्वर कोतवाली के निकट जंगल में  </t>
  </si>
  <si>
    <t xml:space="preserve">फोर्टी मायावती लोहाघाट के निकट जंगल में  </t>
  </si>
  <si>
    <t xml:space="preserve">बलाई लोहाघाट के निकट जंगल में  </t>
  </si>
  <si>
    <t xml:space="preserve">ग्राम फोर्टी लोहाघाट के निकट जंगल में  </t>
  </si>
  <si>
    <t xml:space="preserve">मायावती लोहाघाट के निकट जंगल में  </t>
  </si>
  <si>
    <t>भुमलाई लोहाघाट के निकट जंगल में</t>
  </si>
  <si>
    <t>ग्राम बलवाकोट बनबसा के जंगल में आग लगी थी।</t>
  </si>
  <si>
    <t>ककराली गेट टनकपुर के जंगल में आग लगी थी।</t>
  </si>
  <si>
    <t xml:space="preserve">ग्राम स्वाला टनकपुर रोड के निकट जंगल में  </t>
  </si>
  <si>
    <t xml:space="preserve">बनलेख चम्पावत के निकट  </t>
  </si>
  <si>
    <t>स्वाला मन्दिर के निकट जंगल में</t>
  </si>
  <si>
    <t>तहागी पेट्रोल पम्प से आगे नियर ककराली गेट टनकपुर कॉमर्शियल वैन वाहन में आग लगी थी।</t>
  </si>
  <si>
    <t>तवाली गेट टनकपुर के सामने झाड़ियों में आग लगी थी।</t>
  </si>
  <si>
    <t>शारदा बैराज रोड टनकपुर</t>
  </si>
  <si>
    <t>शास्त्री चौक टनकपुर ट्रांसफार्मर में आग लगी थी।</t>
  </si>
  <si>
    <r>
      <t xml:space="preserve">माँ पूर्णागिरि मार्ग </t>
    </r>
    <r>
      <rPr>
        <sz val="12"/>
        <color theme="1"/>
        <rFont val="Aptos"/>
        <family val="2"/>
      </rPr>
      <t xml:space="preserve">SSB </t>
    </r>
    <r>
      <rPr>
        <sz val="10.5"/>
        <color theme="1"/>
        <rFont val="Mangal"/>
        <family val="1"/>
      </rPr>
      <t>कैम्प</t>
    </r>
    <r>
      <rPr>
        <sz val="12"/>
        <color theme="1"/>
        <rFont val="Aptos"/>
        <family val="2"/>
      </rPr>
      <t xml:space="preserve">, </t>
    </r>
    <r>
      <rPr>
        <sz val="10.5"/>
        <color theme="1"/>
        <rFont val="Mangal"/>
        <family val="1"/>
      </rPr>
      <t>वावलीगाड के समीप जंगल में</t>
    </r>
  </si>
  <si>
    <r>
      <t>ग्राम छिनिगोट</t>
    </r>
    <r>
      <rPr>
        <sz val="12"/>
        <color theme="1"/>
        <rFont val="Aptos"/>
        <family val="2"/>
      </rPr>
      <t xml:space="preserve">, </t>
    </r>
    <r>
      <rPr>
        <sz val="10.5"/>
        <color theme="1"/>
        <rFont val="Mangal"/>
        <family val="1"/>
      </rPr>
      <t>आमबाग रोड</t>
    </r>
    <r>
      <rPr>
        <sz val="12"/>
        <color theme="1"/>
        <rFont val="Aptos"/>
        <family val="2"/>
      </rPr>
      <t xml:space="preserve">, </t>
    </r>
    <r>
      <rPr>
        <sz val="10.5"/>
        <color theme="1"/>
        <rFont val="Mangal"/>
        <family val="1"/>
      </rPr>
      <t xml:space="preserve">टनकपुर के जंगल में </t>
    </r>
  </si>
  <si>
    <t xml:space="preserve">चम्पावत मार्ग ग्राम बस्तियाँ टनकपुर के जंगल में </t>
  </si>
  <si>
    <t>कुलेण्ड का पाईप फटने के कारण</t>
  </si>
  <si>
    <t>असत्य सुचना</t>
  </si>
  <si>
    <t>14 बीघा ऋषिकेश में</t>
  </si>
  <si>
    <t xml:space="preserve"> आग छमुण्ड आई.टी.आई. के  समीप जंगल में लगी थी जिसे फायर यूनिट द्वारा आग को पूर्ण रुप से बुझाया गया।  </t>
  </si>
  <si>
    <t xml:space="preserve">नियर वाइन शाप के समीप वाहन UK07AH5130 में लगी थी जिसे फायर यूनिट द्वारा आग को पूर्ण रुप से बुझाया गया।  </t>
  </si>
  <si>
    <t xml:space="preserve"> आग आलु फार्म  धनोल्टी  के  समीप जंगल में लगी थी जिसे फायर यूनिट द्वारा आग को पूर्ण रुप से बुझाया गया।  </t>
  </si>
  <si>
    <t xml:space="preserve"> आग तिलवाडा रोड घनसाली के  समीप जंगल में लगी थी जिसे फायर यूनिट द्वारा पूर्ण रुप से बुझाया गया।  </t>
  </si>
  <si>
    <t xml:space="preserve"> आग कैम्पटी  फाल  के  समीप जंगल में लगी थी जिसे फायर यूनिट द्वारा आग को पूर्ण रुप से बुझाया गया।  </t>
  </si>
  <si>
    <t xml:space="preserve"> आग कोतवाली नई टिहरी  के  समीप जंगल में लगी थी जिसे फायर यूनिट द्वारा आग को पूर्ण रुप से बुझाया गया।  </t>
  </si>
  <si>
    <t xml:space="preserve"> आग ढुंगीदार के समीप जंगल में लगी थी जिसे फायर यूनिट द्वारा आग को पूर्ण रुप से बुझाया गया।  </t>
  </si>
  <si>
    <t xml:space="preserve"> आग जड़धार गांव नागणी के  समीप जंगल में लगी थी जिसे फायर यूनिट द्वारा आग को पूर्ण रुप से बुझाया गया।  </t>
  </si>
  <si>
    <t xml:space="preserve"> आग डाय़जर नई टिहरी  के  समीप जंगल में लगी थी जिसे फायर यूनिट द्वारा आग को पूर्ण रुप से बुझाया गया।  </t>
  </si>
  <si>
    <t xml:space="preserve"> आग ई-ब्लाक ओली  के  समीप जंगल में लगी थी जिसे फायर यूनिट द्वारा आग को पूर्ण रुप से बुझाया गया।  </t>
  </si>
  <si>
    <t xml:space="preserve">आग मसुरी रोङ चोपडियाल गांव में लगी थी जिसे फायर यूनिट द्वारा आग को पूर्ण रुप से बुझाया गया।  </t>
  </si>
  <si>
    <t xml:space="preserve"> आग पशु चिकित्सालय  के  समीप जंगल में लगी थी जिसे फायर यूनिट द्वारा आग को पूर्ण रुप से बुझाया गया।  </t>
  </si>
  <si>
    <t xml:space="preserve"> आग मौलधार  के  समीप झाडियो में लगी थी जिसे फायर यूनिट द्वारा आग को पूर्ण रुप से बुझाया गया।  </t>
  </si>
  <si>
    <t xml:space="preserve"> आग टर्चिंग ग्राउण्ड घनसाली के  समीप जंगल में लगी थी जिसे फायर यूनिट द्वारा आग को पूर्ण रुप से बुझाया गया।  </t>
  </si>
  <si>
    <t xml:space="preserve"> आग जिला अधिकारी कार्यालय  के  समीप झाडियो में लगी थी जिसे फायर यूनिट द्वारा आग को पूर्ण रुप से बुझाया गया।  </t>
  </si>
  <si>
    <t xml:space="preserve"> आग पुलिस लाइन चम्बा के  समीप जंगल में लगी थी जिसे फायर यूनिट द्वारा आग को पूर्ण रुप से बुझाया गया।  </t>
  </si>
  <si>
    <t xml:space="preserve"> आग  पुलिस लाइन चम्बा के  समीप जंगल में लगी थी जिसे फायर यूनिट द्वारा आग को पूर्ण रुप से बुझाया गया।  </t>
  </si>
  <si>
    <t xml:space="preserve">आग सिकरेट वाटर फाल के  समीप जंगल में लगी थी जिसे फायर यूनिट   के पहुंचने से पहले हि स्थानीय लोगो द्वारा  पूर्ण रुप से बुझाया गया।  </t>
  </si>
  <si>
    <t xml:space="preserve"> आग  डीकोन वैली के  समीप जंगल में लगी थी जिसे फायर यूनिट द्वारा आग को पूर्ण रुप से बुझाया गया।  </t>
  </si>
  <si>
    <t xml:space="preserve"> आग आगराखाल  के  समीप जंगल में लगी थी जिसे फायर यूनिट द्वारा आग को पूर्ण रुप से बुझाया गया।  </t>
  </si>
  <si>
    <t xml:space="preserve">आग देवप्रयाग से 07 कि.मी. पहले ऋषिकेश के  समीप जंगल में लगी थी जिसे फायर यूनिट के पहुंचने से पहले हि स्थानीय लोगो द्वारा  पूर्ण रुप से बुझाया गया।  </t>
  </si>
  <si>
    <t xml:space="preserve"> आग  शिवपुरी के  समीप जंगल में लगी थी जंहा फायर यूनिट पहुंचने का रास्ता न होने के कारण फायर यूनिट वापस एफएस पर उपस्थित हुई।  </t>
  </si>
  <si>
    <t>पिथौरागढ</t>
  </si>
  <si>
    <t>06..49</t>
  </si>
  <si>
    <t>06.01.2024</t>
  </si>
  <si>
    <t>06.11.2024</t>
  </si>
  <si>
    <t>06.15.2024</t>
  </si>
  <si>
    <t>06.17.2024</t>
  </si>
  <si>
    <t>फालसिलिंग के तारो में</t>
  </si>
  <si>
    <t>भारतीय स्टेट बैकं पिथारोगढ</t>
  </si>
  <si>
    <t>बौद्ध मंदिर के ऊपर गङकोट वन क्षेत्र में</t>
  </si>
  <si>
    <t xml:space="preserve">चण्ङाक रोङ गैस के निकट </t>
  </si>
  <si>
    <t>गङकोट सुकौली रोङ के ऊपर वन क्षेत्र में</t>
  </si>
  <si>
    <t xml:space="preserve">मेघना होटल से निचे जंगल में </t>
  </si>
  <si>
    <t>06.03.2024</t>
  </si>
  <si>
    <t>06.16.2024</t>
  </si>
  <si>
    <t>06.02.2024</t>
  </si>
  <si>
    <t>06.13.2024</t>
  </si>
  <si>
    <t xml:space="preserve">  </t>
  </si>
  <si>
    <t xml:space="preserve"> आग झुलावगङ नन्दप्रयाग के सामने संगम कन्सट्रक्शन टिन शेड गोदाम में लगी थी जिसको एफएस यूनिट द्वारा पूर्ण रूप बुझा दिया गया है।</t>
  </si>
  <si>
    <t xml:space="preserve"> आग परसारी के समीप वाहन में लगी थी जिसको एफएस यूनिट द्वारा पूर्ण रूप बुझा दिया गया ।</t>
  </si>
  <si>
    <t xml:space="preserve"> आग नगर पालिका जोशीमठ कूड़ा डम्पिंग जोन में लगी थी जिसको एफएस यूनिट द्वारा पूर्ण रूप बुझा दिया गया ।</t>
  </si>
  <si>
    <t xml:space="preserve"> आग बैरास कुण्ड के जंगल में लगी थी जिसको एफएस यूनिट द्वारा पूर्ण रूप बुझा दिया गया ।</t>
  </si>
  <si>
    <t xml:space="preserve"> आग रसोईगाड गैरसैण के जंगल में लगी थी जिसको एफएस यूनिट द्वारा पूर्ण रूप बुझा दिया गया ।</t>
  </si>
  <si>
    <t>आग नगर पालिका जोशीमठ कूड़ा डम्पिंग जोन में लगी थी जिसको एफएस यूनिट द्वारा पूर्ण रूप बुझा दिया गया ।</t>
  </si>
  <si>
    <t xml:space="preserve"> आग चमोली रोड सेलंग गांव के समीप जंगल में लगी थी जिसको एफएस यूनिट द्वारा पूर्ण रूप बुझा दिया गया ।</t>
  </si>
  <si>
    <t xml:space="preserve"> आग चमोली रोड सेलंग गांव के समीप जंगल में लगी थी जिसको एफएस यूनिट व वन विभाग द्वारा पूर्ण रूप बुझा दिया गया ।</t>
  </si>
  <si>
    <t xml:space="preserve"> आग चमोली रोड हेलंग गांव के समीप जंगल में लगी थी जिसको एफएस यूनिट व वन विभाग द्वारा पूर्ण रूप बुझा दिया गया ।</t>
  </si>
  <si>
    <t xml:space="preserve"> आग मारवाडी पुलिस चौकी के समीप नदी पार जंगल में लगी थी जंहा रास्ता न होने के कारण एफएस यूनिट का पहुंचना सम्भव नहीं था  ।</t>
  </si>
  <si>
    <t>आग बद्रीनाथ रोड़ जीरो बैण्ड सेमवाल फिलिंग स्टेशन के नीचे की तरफ जंगल में लगी हुयी थी, जिसे फायर सर्विस यूनिट जोशीमठ द्वारा पूर्ण रूप से बुझाया गया।</t>
  </si>
  <si>
    <t xml:space="preserve"> आग चमोली लंगसी गांव के समीप जंगल में लगी थी। फायर यूनिट जोशीमठ द्वारा आग को पूर्ण रूप से बुझा दिया गया।</t>
  </si>
  <si>
    <t>612/2024</t>
  </si>
  <si>
    <t xml:space="preserve"> आग अम्बे काम्पलेक्स के पीछे झाडियो में लगी थी जिसको एफएस यूनिट द्वारा पूर्ण रूप बुझा दिया गया ।</t>
  </si>
  <si>
    <t>फायर यूनिट लक्ष्मण झूला</t>
  </si>
  <si>
    <t xml:space="preserve"> आग गीता भवन के पीछे गोशाला में लगी थी जिसको एफएस यूनिट द्वारा पूर्ण रूप बुझा दिया गया ।</t>
  </si>
  <si>
    <t>गोशाला में लगी</t>
  </si>
  <si>
    <t xml:space="preserve"> आग परमार्थ निकेतन बिल्डीग के पीछे किचन में लगी थी जिसको एफएस यूनिट द्वारा पूर्ण रूप बुझा दिया गया ।</t>
  </si>
  <si>
    <t xml:space="preserve"> किचन में</t>
  </si>
  <si>
    <t xml:space="preserve"> आग लक्ष्मण झूला थाने  के पास ट्रांसफार्मर में लगी थी जिसको एफएस यूनिट द्वारा पूर्ण रूप बुझा दिया गया ।</t>
  </si>
  <si>
    <t xml:space="preserve">ट्रांसफार्मर में </t>
  </si>
  <si>
    <t xml:space="preserve"> आग लोकमडीपुर ग्रोथ सेन्टर के सामने पेङ पर लगी थी जिसको एफएस यूनिट द्वारा पूर्ण रूप बुझा दिया गया ।</t>
  </si>
  <si>
    <t xml:space="preserve"> पेङ पर</t>
  </si>
  <si>
    <t xml:space="preserve"> आग सम्राट वेडिंग प्वाइंट के अन्दर सिलिग फेन मे लगी थी जिसको एफएस यूनिट द्वारा पूर्ण रूप बुझा दिया गया ।</t>
  </si>
  <si>
    <t xml:space="preserve">सिलिग फेन </t>
  </si>
  <si>
    <t xml:space="preserve"> आग ग्राम कपरोली गोशाला मे लगी थी जिसको एफएस यूनिट द्वारा पूर्ण रूप बुझा दिया गया ।</t>
  </si>
  <si>
    <t>गोशाला मे</t>
  </si>
  <si>
    <t xml:space="preserve"> आग ग्राम झरपानी गोशाला मे लगी थी जिसको एफएस यूनिट द्वारा पूर्ण रूप बुझा दिया गया ।</t>
  </si>
  <si>
    <t xml:space="preserve"> आग ग्राम सालङा के पास जंगल मे लगी थी जिसको एफएस यूनिट द्वारा पूर्ण रूप बुझा दिया गया ।</t>
  </si>
  <si>
    <t xml:space="preserve"> जंगल मे</t>
  </si>
  <si>
    <t xml:space="preserve"> आग देवप्रयाग होटल मुमुक्षु के पास जंगल मे लगी थी जिसको एफएस यूनिट द्वारा पूर्ण रूप बुझा दिया गया ।</t>
  </si>
  <si>
    <t xml:space="preserve"> आग ग्राम भटकोट के पास जंगल मे लगी थी जिसको एफएस यूनिट द्वारा पूर्ण रूप बुझा दिया गया ।</t>
  </si>
  <si>
    <t xml:space="preserve"> आग ग्राम चौङ के पास जंगल मे लगी थी जिसको एफएस यूनिट द्वारा पूर्ण रूप बुझा दिया गया ।</t>
  </si>
  <si>
    <t xml:space="preserve"> आग ग्राम सकेङा के एक मकान मे लगी थी जिसको एफएस यूनिट द्वारा पूर्ण रूप बुझा दिया गया ।</t>
  </si>
  <si>
    <t>मकान मे</t>
  </si>
  <si>
    <t xml:space="preserve"> आग ब्लाक पौडी की बिल्डींग के पास जंगल मे लगी थी जिसको एफएस यूनिट द्वारा पूर्ण रूप बुझा दिया गया ।</t>
  </si>
  <si>
    <t xml:space="preserve"> आग ग्राम गडोली मिशन स्कुल के पास जंगल मे लगी थी जिसको एफएस यूनिट द्वारा पूर्ण रूप बुझा दिया गया ।</t>
  </si>
  <si>
    <t xml:space="preserve"> आग कोर्ट के कर्मचारी क्वाटर के पास जंगल मे लगी थी जिसको एफएस यूनिट द्वारा पूर्ण रूप बुझा दिया गया ।</t>
  </si>
  <si>
    <t xml:space="preserve"> आग चौखाब्बा पटवारी चोकी के पास जंगल मे लगी थी जिसको एफएस यूनिट द्वारा पूर्ण रूप बुझा दिया गया ।</t>
  </si>
  <si>
    <t xml:space="preserve"> आग गडोली के पास जंगल मे लगी थी जिसको एफएस यूनिट द्वारा पूर्ण रूप बुझा दिया गया ।</t>
  </si>
  <si>
    <t xml:space="preserve"> आग चोपरा गाव तिमली के पास जंगल मे लगी थी जिसको एफएस यूनिट द्वारा पूर्ण रूप बुझा दिया गया ।</t>
  </si>
  <si>
    <t xml:space="preserve"> आग अम्बेडकर छात्रावासके पास जंगल मे लगी थी जिसको एफएस यूनिट द्वारा पूर्ण रूप बुझा दिया गया ।</t>
  </si>
  <si>
    <t xml:space="preserve"> आग गहड़ गावके पास जंगल मे लगी थी जिसको एफएस यूनिट द्वारा पूर्ण रूप बुझा दिया गया ।</t>
  </si>
  <si>
    <t xml:space="preserve"> आग  गहड़ गाव के पास जंगल मे लगी थी जिसको एफएस यूनिट द्वारा पूर्ण रूप बुझा दिया गया ।</t>
  </si>
  <si>
    <t xml:space="preserve"> आग देहल चोरी व खान्द्युखाल के पास जंगल मे लगी थी जिसको एफएस यूनिट द्वारा पूर्ण रूप बुझा दिया गया ।</t>
  </si>
  <si>
    <t xml:space="preserve"> आग खोलाचोरी के पास जंगल मे लगी थी जिसको एफएस यूनिट द्वारा पूर्ण रूप बुझा दिया गया ।</t>
  </si>
  <si>
    <t xml:space="preserve"> आग अडवाणी के पास जंगल मे लगी थी जिसको एफएस यूनिट द्वारा पूर्ण रूप बुझा दिया गया ।</t>
  </si>
  <si>
    <t xml:space="preserve"> आगखान्द्युसैन व आचारिखाल के पास जंगल मे लगी थी जिसको एफएस यूनिट द्वारा पूर्ण रूप बुझा दिया गया ।</t>
  </si>
  <si>
    <t xml:space="preserve"> आग मुंडेश्वरखेर्लिंग के पास जंगल मे लगी थी जिसको एफएस यूनिट द्वारा पूर्ण रूप बुझा दिया गया ।</t>
  </si>
  <si>
    <t xml:space="preserve"> आग खान्दुसैन के पास जंगल मे लगी थी जिसको एफएस यूनिट द्वारा पूर्ण रूप बुझा दिया गया ।</t>
  </si>
  <si>
    <t xml:space="preserve"> आग बुअखाल के पास जंगल मे लगी थी जिसको एफएस यूनिट द्वारा पूर्ण रूप बुझा दिया गया ।</t>
  </si>
  <si>
    <t xml:space="preserve"> आग कंडोलिया के पास जंगल मे लगी थी जिसको एफएस यूनिट द्वारा पूर्ण रूप बुझा दिया गया ।</t>
  </si>
  <si>
    <t xml:space="preserve"> आग पालिखाल के पास जंगल मे लगी थी जिसको एफएस यूनिट द्वारा पूर्ण रूप बुझा दिया गया ।</t>
  </si>
  <si>
    <t xml:space="preserve"> आग लक्ष्मीनारायण मंदिर के पास जंगल मे लगी थी जिसको एफएस यूनिट द्वारा पूर्ण रूप बुझा दिया गया ।</t>
  </si>
  <si>
    <t xml:space="preserve"> आग rto ऑफिस के पास जंगल मे लगी थी जिसको एफएस यूनिट द्वारा पूर्ण रूप बुझा दिया गया ।</t>
  </si>
  <si>
    <t xml:space="preserve"> आग गडोली गदेरे के पास जंगल मे लगी थी जिसको एफएस यूनिट द्वारा पूर्ण रूप बुझा दिया गया ।</t>
  </si>
  <si>
    <t xml:space="preserve"> आग अपर चोपड़ा बुअखाल के पास जंगल मे लगी थी जिसको एफएस यूनिट द्वारा पूर्ण रूप बुझा दिया गया ।</t>
  </si>
  <si>
    <t xml:space="preserve"> आग पाली मरोदास के पास जंगल मे लगी थी जिसको एफएस यूनिट द्वारा पूर्ण रूप बुझा दिया गया ।</t>
  </si>
  <si>
    <t xml:space="preserve"> आग सैनिखाल गहड़ गाव  के पास जंगल मे लगी थी जिसको एफएस यूनिट द्वारा पूर्ण रूप बुझा दिया गया ।</t>
  </si>
  <si>
    <t xml:space="preserve"> आग सर्किट हाउस के पास जंगल मे लगी थी जिसको एफएस यूनिट द्वारा पूर्ण रूप बुझा दिया गया ।</t>
  </si>
  <si>
    <t xml:space="preserve"> आग गुरदोरी के पास जंगल मे लगी थी जो  फायरयूनिट की पहुच से दूर थी तो यूनिट वापस fs पर उपस्थित हुए</t>
  </si>
  <si>
    <t xml:space="preserve"> आग ब्लाक व डिग्री कॉलेज के पास जंगल मे लगी थी जिसको एफएस यूनिट द्वारा पूर्ण रूप बुझा दिया गया ।</t>
  </si>
  <si>
    <t xml:space="preserve"> आग ब्लाक के पास जंगल मे लगी थी जिसको एफएस यूनिट द्वारा पूर्ण रूप बुझा दिया गया ।</t>
  </si>
  <si>
    <t xml:space="preserve"> आग ब्लाक  के पास जंगल मे लगी थी जिसको एफएस यूनिट द्वारा पूर्ण रूप बुझा दिया गया ।</t>
  </si>
  <si>
    <t xml:space="preserve"> आग खंदुसैन जेल  के पास जंगल मे लगी थी जिसको एफएस यूनिट द्वारा पूर्ण रूप बुझा दिया गया ।</t>
  </si>
  <si>
    <t xml:space="preserve"> आग जिला चिकित्सालय के पास जंगल मे लगी थी जिसको एफएस यूनिट द्वारा पूर्ण रूप बुझा दिया गया ।</t>
  </si>
  <si>
    <t xml:space="preserve"> आग अद्रिखाल के पास जंगल मे लगी थी जो स्वतःही भूज चुकी थी</t>
  </si>
  <si>
    <t xml:space="preserve"> आग चवीचा गाव भगतराम स्कूल के पास जंगल मे लगी थी जिसको एफएस यूनिट द्वारा पूर्ण रूप बुझा दिया गया ।</t>
  </si>
  <si>
    <t xml:space="preserve"> आग  थाना पौड़ी के पास जंगल मे लगी थी जिसको एफएस यूनिट द्वारा पूर्ण रूप बुझा दिया गया ।</t>
  </si>
  <si>
    <t xml:space="preserve"> आग ब्लाक व rto ऑफिस  के पास जंगल मे लगी थी जिसको एफएस यूनिट द्वारा पूर्ण रूप बुझा दिया गया ।</t>
  </si>
  <si>
    <t xml:space="preserve"> आग सोलर प्लांट सतपुली के पास जंगल मे लगी थी जिसको एफएस यूनिट द्वारा पूर्ण रूप बुझा दिया गया ।</t>
  </si>
  <si>
    <t xml:space="preserve"> आग फतेहपुर लैंड्सडाउन रोड के पास जंगल मे लगी थी जिसको एफएस यूनिट द्वारा पूर्ण रूप बुझा दिया गया ।</t>
  </si>
  <si>
    <t xml:space="preserve"> आग गरुर्चात्ति से आगे के पास जंगल मे लगी थी जिसको एफएस यूनिट द्वारा पूर्ण रूप बुझा दिया गया ।</t>
  </si>
  <si>
    <t xml:space="preserve"> आग गंगाभोग्पुर के पास जंगल मे लगी थी जिसको एफएस यूनिट द्वारा पूर्ण रूप बुझा दिया गया ।</t>
  </si>
  <si>
    <t xml:space="preserve"> आग खेरासैन हॉस्पिटल के पास जंगल मे लगी थी जिसको एफएस यूनिट द्वारा पूर्ण रूप बुझा दिया गया ।</t>
  </si>
  <si>
    <t xml:space="preserve"> आग अम्रोड़ागाव के पास जंगल मे लगी थी जिसको एफएस यूनिट द्वारा पूर्ण रूप बुझा दिया गया ।</t>
  </si>
  <si>
    <t xml:space="preserve"> आग सतपुली तहसील के पास झाड़ियो मे लगी थी जिसको एफएस यूनिट द्वारा पूर्ण रूप बुझा दिया गया ।</t>
  </si>
  <si>
    <t xml:space="preserve"> आग बौसल गाव के पास जंगल  मे लगी थी जिसको एफएस यूनिट द्वारा पूर्ण रूप बुझा दिया गया ।</t>
  </si>
  <si>
    <t xml:space="preserve"> आग कमानदा सतपुली के पास जंगल मे लगी थी जिसको एफएस यूनिट द्वारा पूर्ण रूप बुझा दिया गया ।</t>
  </si>
  <si>
    <t xml:space="preserve"> आग भूतनाथ मंदिर के पास जंगल मे लगी थी जिसको एफएस यूनिट द्वारा पूर्ण रूप बुझा दिया गया ।</t>
  </si>
  <si>
    <t xml:space="preserve"> आग डिंगोली गाव  के पास जंगल मे लगी थी जिसको एफएस यूनिट द्वारा पूर्ण रूप बुझा दिया गया ।</t>
  </si>
  <si>
    <t xml:space="preserve"> आग पराग डेरी के पास जंगल मे लगी थी जिसको एफएस यूनिट द्वारा पूर्ण रूप बुझा दिया गया ।</t>
  </si>
  <si>
    <t xml:space="preserve"> आग भगवती मेमोरियल स्कूल के पास जंगल मे लगी थी जिसको एफएस यूनिट द्वारा पूर्ण रूप बुझा दिया गया ।</t>
  </si>
  <si>
    <t xml:space="preserve"> आग गंगा दर्शन मोड़  के पास जंगल मे लगी थी जिसको एफएस यूनिट द्वारा पूर्ण रूप बुझा दिया गया ।</t>
  </si>
  <si>
    <t xml:space="preserve"> आग वन विभाग के गेस्ट हाउस के पास जंगल मे लगी थी जिसको एफएस यूनिट द्वारा पूर्ण रूप बुझा दिया गया ।</t>
  </si>
  <si>
    <t>आग मेस्सेरस तत्त्वं रिसोर्ट बदलिखाल के पास जंगल मे लगी थी जिसको एफएस यूनिट द्वारा पूर्ण रूप बुझा दिया गया ।</t>
  </si>
  <si>
    <t>कूड़े से रेस्टोरेंट में</t>
  </si>
  <si>
    <t>आग लिंक रोड टैक्सी स्टैंड अल्मोड़ा में में लगी थी जिसको एफएस यूनिट द्वारा पूर्ण रूप बुझा दिया गया ।</t>
  </si>
  <si>
    <t xml:space="preserve"> आग स्युरा पैस्यारी कोसी में एक माकन में लगी थी जिसको एफएस यूनिट द्वारा पूर्ण रूप बुझा दिया गया ।</t>
  </si>
  <si>
    <t xml:space="preserve"> आग लक्ष्मेश्वर के पास जंगल मे लगी थी जिसको एफएस यूनिट द्वारा पूर्ण रूप बुझा दिया गया ।</t>
  </si>
  <si>
    <t xml:space="preserve"> आग केंद्रीय विद्यालय स्यलीधर के पास जंगल मे लगी थी जिसको एफएस यूनिट द्वारा पूर्ण रूप बुझा दिया गया ।</t>
  </si>
  <si>
    <t xml:space="preserve"> आग आयकर भवन  के पास जंगल मे लगी थी जिसको एफएस यूनिट द्वारा पूर्ण रूप बुझा दिया गया ।</t>
  </si>
  <si>
    <t xml:space="preserve"> आग ज्युला पथरिया सोमेश्वर रोड के पास जंगल मे लगी थी जिसको एफएस यूनिट द्वारा पूर्ण रूप बुझा दिया गया ।</t>
  </si>
  <si>
    <t xml:space="preserve"> आग कथ्पुदिया के पास जंगल मे लगी थी जिसको एफएस यूनिट द्वारा पूर्ण रूप बुझा दिया गया ।</t>
  </si>
  <si>
    <t xml:space="preserve"> आग महत गाव के पास जंगल मे लगी थी जिसको एफएस यूनिट द्वारा पूर्ण रूप बुझा दिया गया ।</t>
  </si>
  <si>
    <t xml:space="preserve"> आग पांडेखोला पेट्रोल पंप के पास जंगल मे लगी थी जहा fs यूनिट का वहां पहुँचना संभव नहीं था वन विभाग को सूचित किया गया  ।</t>
  </si>
  <si>
    <t xml:space="preserve"> आग पेत्शल इंटर कॉलेज के पास जंगल मे लगी थी जिसको एफएस यूनिट द्वारा पूर्ण रूप बुझा दिया गया ।</t>
  </si>
  <si>
    <t xml:space="preserve"> आग ए.एन.एम्. ट्रेनिंग सेण्टर के पास जंगल मे लगी थी जिसको एफएस यूनिट द्वारा पूर्ण रूप बुझा दिया गया ।</t>
  </si>
  <si>
    <t xml:space="preserve"> आग कालीमठ  के पास जंगल मे लगी थी जिसको एफएस यूनिट द्वारा पूर्ण रूप बुझा दिया गया ।</t>
  </si>
  <si>
    <t xml:space="preserve"> आग कालीमठ से कसार देवी मंदिर तक के पास जंगल मे लगी थी जिसको एफएस यूनिट द्वारा पूर्ण रूप बुझा दिया गया ।</t>
  </si>
  <si>
    <t xml:space="preserve"> आग कसार देवी के पास जंगल मे लगी थी जिसको एफएस यूनिट द्वारा पूर्ण रूप बुझा दिया गया ।</t>
  </si>
  <si>
    <t xml:space="preserve"> आग कसार देवी  के पास जंगल मे लगी थी जिसको एफएस यूनिट द्वारा पूर्ण रूप बुझा दिया गया ।</t>
  </si>
  <si>
    <t xml:space="preserve"> आग मोहनस कैफ़े कसार देवी के पास जंगल मे लगी थी जिसको एफएस यूनिट द्वारा पूर्ण रूप बुझा दिया गया ।</t>
  </si>
  <si>
    <t xml:space="preserve"> आग वन विभाग के गेस्ट हाउस कटारमल के पास जंगल मे लगी थी जिसको एफएस यूनिट द्वारा पूर्ण रूप बुझा दिया गया ।</t>
  </si>
  <si>
    <t xml:space="preserve"> आग पाताल्देवी के पास जंगल मे लगी थी जिसको एफएस यूनिट द्वारा पूर्ण रूप बुझा दिया गया ।</t>
  </si>
  <si>
    <t xml:space="preserve"> आग कटारमल पी.डब्लू. डी. निरिक्षण भवन के पास जंगल मे लगी थी जिसको एफएस यूनिट द्वारा पूर्ण रूप बुझा दिया गया ।</t>
  </si>
  <si>
    <t xml:space="preserve"> आग कलिधार के पास जंगल मे लगी थी जिसको एफएस यूनिट द्वारा पूर्ण रूप बुझा दिया गया ।</t>
  </si>
  <si>
    <t xml:space="preserve"> आग पताल देवी के पास जंगल मे लगी थी जिसको एफएस यूनिट द्वारा पूर्ण रूप बुझा दिया गया ।</t>
  </si>
  <si>
    <t xml:space="preserve"> आग बिनसर वाइल्ड लाइफ सेंचुरी के पास जंगल मे लगी थी जिसको एफएस यूनिट द्वारा पूर्ण रूप बुझा दिया गया ।</t>
  </si>
  <si>
    <t xml:space="preserve"> आग कालीमठ के पास जंगल मे लगी थी जहा fs यूनिट का वहां पहुँचना संभव नहीं था ।</t>
  </si>
  <si>
    <t xml:space="preserve"> आग  एस०एस०बी० कैंपस ऑफिस के पास जंगल मे लगी थी जिसको एफएस यूनिट द्वारा पूर्ण रूप बुझा दिया गया ।</t>
  </si>
  <si>
    <t xml:space="preserve"> आग पाताल देवी मंदिर के पास जंगल मे लगी थी जिसको एफएस यूनिट द्वारा पूर्ण रूप बुझा दिया गया ।</t>
  </si>
  <si>
    <t xml:space="preserve"> आग कटारमल के पास जंगल मे लगी थी जिसको एफएस यूनिट द्वारा पूर्ण रूप बुझा दिया गया ।</t>
  </si>
  <si>
    <t xml:space="preserve"> आग फलसीमा आई०टी०आई० के पास जंगल मे लगी थी जिसको एफएस यूनिट द्वारा पूर्ण रूप बुझा दिया गया ।</t>
  </si>
  <si>
    <t xml:space="preserve"> आग आई०टी०आई० के पास जंगल मे लगी थी जिसको एफएस यूनिट द्वारा पूर्ण रूप बुझा दिया गया ।</t>
  </si>
  <si>
    <t xml:space="preserve"> आग दोनी डाला करबला के पास जंगल मे लगी थी जिसको एफएस यूनिट द्वारा पूर्ण रूप बुझा दिया गया ।</t>
  </si>
  <si>
    <t xml:space="preserve"> आग लोदिया  के पास जंगल मे लगी थी जिसको एफएस यूनिट द्वारा पूर्ण रूप बुझा दिया गया ।</t>
  </si>
  <si>
    <t xml:space="preserve"> आग पांडे गाव ताकुला के पास जंगल मे लगी थी जिसको एफएस यूनिट द्वारा पूर्ण रूप बुझा दिया गया ।</t>
  </si>
  <si>
    <t xml:space="preserve"> आग कैंट क्षेत्र के पास जंगल मे लगी थी जिसको एफएस यूनिट द्वारा पूर्ण रूप बुझा दिया गया ।</t>
  </si>
  <si>
    <t xml:space="preserve"> आग स्यालीधर के पास जंगल मे लगी थी जहा fs यूनिट का वहां पहुँचना संभव नहीं था ।</t>
  </si>
  <si>
    <t xml:space="preserve"> आग ताकुला के पास जंगल मे लगी थी जिसको एफएस यूनिट द्वारा पूर्ण रूप बुझा दिया गया ।</t>
  </si>
  <si>
    <t xml:space="preserve"> आग सुनोला के पास जंगल मे लगी थी जिसको एफएस यूनिट द्वारा पूर्ण रूप बुझा दिया गया ।</t>
  </si>
  <si>
    <t xml:space="preserve"> आग विशाल मेगा मार्ट के पास जंगल मे लगी थी जिसको एफएस यूनिट द्वारा पूर्ण रूप बुझा दिया गया ।</t>
  </si>
  <si>
    <t xml:space="preserve"> आग स्यलीधर  के पास जंगल मे लगी थी जिसको एफएस यूनिट द्वारा पूर्ण रूप बुझा दिया गया ।</t>
  </si>
  <si>
    <t xml:space="preserve"> आग चितई के पास जंगल मे लगी थी जो यूनिट की पहुच से दूर थी फायर वाचरसे पता किया तो आग पर काबू प् लिया गया था  पूर्ण रूप बुझा दिया गया ।</t>
  </si>
  <si>
    <t xml:space="preserve"> आग मकड़ी आवास विकास के पास जंगल मे लगी थी जिसको एफएस यूनिट द्वारा पूर्ण रूप बुझा दिया गया ।</t>
  </si>
  <si>
    <r>
      <t xml:space="preserve"> मनान सोमेश्वर रोड जंगल में आग की सूचना प्राप्त हुई एफ</t>
    </r>
    <r>
      <rPr>
        <sz val="12"/>
        <color theme="1"/>
        <rFont val="Aptos"/>
        <family val="2"/>
      </rPr>
      <t>0</t>
    </r>
    <r>
      <rPr>
        <sz val="10.5"/>
        <color theme="1"/>
        <rFont val="Mangal"/>
        <family val="1"/>
      </rPr>
      <t>एस</t>
    </r>
    <r>
      <rPr>
        <sz val="12"/>
        <color theme="1"/>
        <rFont val="Aptos"/>
        <family val="2"/>
      </rPr>
      <t>0</t>
    </r>
    <r>
      <rPr>
        <sz val="10.5"/>
        <color theme="1"/>
        <rFont val="Mangal"/>
        <family val="1"/>
      </rPr>
      <t xml:space="preserve"> यूनिट ने होजरील की सहायता से आग को पूर्ण रूप से बुझाया।</t>
    </r>
  </si>
  <si>
    <t xml:space="preserve"> आग दिनापनी के पास जंगल मे लगी थी जिसको एफएस यूनिट द्वारा पूर्ण रूप बुझा दिया गया ।</t>
  </si>
  <si>
    <t xml:space="preserve"> आग जीवी पन्त संसथान कोसी के पास जंगल मे लगी थी जिसको एफएस यूनिट द्वारा पूर्ण रूप बुझा दिया गया ।</t>
  </si>
  <si>
    <t xml:space="preserve"> आग सैल बैंड के पास जंगल मे लगी थी जिसको एफएस यूनिट द्वारा पूर्ण रूप बुझा दिया गया ।</t>
  </si>
  <si>
    <t xml:space="preserve"> आग बेठुली अयारपानी के पास जंगल मे लगी थी जो भुत तेज बारिश होने के कारण स्वयं बुझ गयी थी  ।</t>
  </si>
  <si>
    <t xml:space="preserve"> आग कालीधर  के पास जंगल मे लगी थी fs यूनिट द्वारा ढुंढने पर आग खी नहीं मिली  ।</t>
  </si>
  <si>
    <t xml:space="preserve"> आग अयारपनी बिनसर के पास जंगल मे लगी थी जिसको एफएस यूनिट व वन  विभाग द्वारा पूर्ण रूप बुझा दिया गया ।</t>
  </si>
  <si>
    <t xml:space="preserve"> आग नारी निकेतन बख के पास जंगल मे लगी थी जिसको एफएस यूनिट द्वारा पूर्ण रूप बुझा दिया गया ।</t>
  </si>
  <si>
    <t>घरो  में</t>
  </si>
  <si>
    <t>मजखाली के जंगल में लगी आग घरो तक पहुच गयी थी जिसको एफएस यूनिट द्वारा पूर्ण रूप बुझा दिया गया ।</t>
  </si>
  <si>
    <t>लालकुर्ती  के जंगल में लगी आग घरो तक पहुच गयी थी जिसको एफएस यूनिट द्वारा पूर्ण रूप बुझा दिया गया ।</t>
  </si>
  <si>
    <t xml:space="preserve"> आग एला ग्रामसभा भातोरा द्वाराहाट रोड के पास खड़े दो वाहनों मे लगी थी जिसको एफएस यूनिट द्वारा पूर्ण रूप बुझा दिया गया ।</t>
  </si>
  <si>
    <t>जंगल की आग का घरो तक पहुँचना</t>
  </si>
  <si>
    <t xml:space="preserve"> आग बेस्ट व्यू होटल के पास जंगल मे लगी थी जिसको एफएस यूनिट द्वारा पूर्ण रूप बुझा दिया गया ।</t>
  </si>
  <si>
    <t xml:space="preserve"> आग दिगोटी मजखाली के पास जंगल मे लगी थी जिसको एफएस यूनिट द्वारा पूर्ण रूप बुझा दिया गया ।</t>
  </si>
  <si>
    <t xml:space="preserve"> आग एम०एच० होस्पितल के पास जंगल मे लगी थी जिसको एफएस यूनिट द्वारा पूर्ण रूप बुझा दिया गया ।</t>
  </si>
  <si>
    <t xml:space="preserve"> आग रिकॉर्ड ऑफिस के पास जंगल मे लगी थी जिसको एफएस यूनिट द्वारा पूर्ण रूप बुझा दिया गया ।</t>
  </si>
  <si>
    <t xml:space="preserve"> आग शोकियाथल के पास जंगल मे लगी थी जिसको एफएस यूनिट द्वारा पूर्ण रूप बुझा दिया गया ।</t>
  </si>
  <si>
    <t xml:space="preserve"> आग झुला देवी के पास जंगल मे लगी थी जिसको एफएस यूनिट द्वारा पूर्ण रूप बुझा दिया गया ।</t>
  </si>
  <si>
    <t xml:space="preserve"> आग खनियाके पास जंगल मे लगी थी जिसको एफएस यूनिट द्वारा पूर्ण रूप बुझा दिया गया ।</t>
  </si>
  <si>
    <t xml:space="preserve"> आग सोमनाथ ग्राउंड के पास जंगल मे लगी थी जिसको एफएस यूनिट द्वारा पूर्ण रूप बुझा दिया गया ।</t>
  </si>
  <si>
    <t xml:space="preserve"> आग रिकार्ड ऑफिस के पास जंगल मे लगी थी जिसको एफएस यूनिट द्वारा पूर्ण रूप बुझा दिया गया ।</t>
  </si>
  <si>
    <t xml:space="preserve"> आग मालरोड कुमाऊ विहार के पास जंगल मे लगी थी जिसको एफएस यूनिट द्वारा पूर्ण रूप बुझा दिया गया ।</t>
  </si>
  <si>
    <t xml:space="preserve"> आग कानोसा स्कूल के पास जंगल मे लगी थी जिसको एफएस यूनिट द्वारा पूर्ण रूप बुझा दिया गया ।</t>
  </si>
  <si>
    <t xml:space="preserve"> आग कुमाऊ विहार  के पास जंगल मे लगी थी जिसको एफएस यूनिट द्वारा पूर्ण रूप बुझा दिया गया ।</t>
  </si>
  <si>
    <t xml:space="preserve"> आग डिग्री कॉलेज के पास जंगल मे लगी थी जिसको एफएस यूनिट द्वारा पूर्ण रूप बुझा दिया गया ।</t>
  </si>
  <si>
    <t xml:space="preserve"> आग गनियाघोली वर्कशॉप के पास जंगल मे लगी थी जिसको एफएस यूनिट द्वारा पूर्ण रूप बुझा दिया गया ।</t>
  </si>
  <si>
    <t xml:space="preserve"> आग सि०एस०डी० के पास जंगल मे लगी थी जिसको एफएस यूनिट द्वारा पूर्ण रूप बुझा दिया गया ।</t>
  </si>
  <si>
    <t xml:space="preserve"> आग झुला देवी  के पास जंगल मे लगी थी जिसको एफएस यूनिट द्वारा पूर्ण रूप बुझा दिया गया ।</t>
  </si>
  <si>
    <t xml:space="preserve"> आग ड्रग फैक्ट्रीके पास जंगल मे लगी थी जिसको एफएस यूनिट द्वारा पूर्ण रूप बुझा दिया गया ।</t>
  </si>
  <si>
    <t xml:space="preserve"> आग चाइना व्यू  के पास जंगल मे लगी थी जिसको एफएस यूनिट द्वारा पूर्ण रूप बुझा दिया गया ।</t>
  </si>
  <si>
    <t xml:space="preserve"> आग  चोकुनी के पास जंगल मे लगी थी जिसको एफएस यूनिट द्वारा पूर्ण रूप बुझा दिया गया ।</t>
  </si>
  <si>
    <t xml:space="preserve"> आग पन्याली गाव के पास जंगल मे लगी थी जिसको एफएस यूनिट द्वारा पूर्ण रूप बुझा दिया गया ।</t>
  </si>
  <si>
    <t xml:space="preserve"> आग  बिनसर के पास जंगल मे लगी थी जिसको एफएस यूनिट द्वारा पूर्ण रूप बुझा दिया गया ।</t>
  </si>
  <si>
    <t xml:space="preserve"> आग चाइना व्यू के पास जंगल मे लगी थी जिसको छावनी यूनिट द्वारा पूर्ण रूप बुझा दिया गया था  ।</t>
  </si>
  <si>
    <t xml:space="preserve"> आग कठपुडियाके पास जंगल मे लगी थी जिसको एफएस यूनिट द्वारा पूर्ण रूप बुझा दिया गया ।</t>
  </si>
  <si>
    <t xml:space="preserve"> आग द्वार्सो  के पास जंगल मे लगी थी जहा पहुँचना संभव नहीं था फायर यूनिट वापस fs पर उपस्थित हुई  ।</t>
  </si>
  <si>
    <t xml:space="preserve"> आग नैनी पॉवर हाउस के पास जंगल मे लगी थी जिसको एफएस यूनिट द्वारा पूर्ण रूप बुझा दिया गया ।</t>
  </si>
  <si>
    <t xml:space="preserve"> आग नैनी के पास जंगल मे लगी थी जिसको एफएस यूनिट द्वारा पूर्ण रूप बुझा दिया गया ।</t>
  </si>
  <si>
    <t xml:space="preserve"> आग चौकनी के पास जंगल मे लगी थी जिसको एफएस यूनिट द्वारा पूर्ण रूप बुझा दिया गया ।</t>
  </si>
  <si>
    <t xml:space="preserve">आकलन किया जा रहा है </t>
  </si>
  <si>
    <t xml:space="preserve">रिलान्स पेट्रोल पंप के पास </t>
  </si>
  <si>
    <t>झाड़ियो में</t>
  </si>
  <si>
    <t>रिन्गोड़ा गर्जिया रोड</t>
  </si>
  <si>
    <t>गर्जिया चौकी से आगे ग्राम सुंदर खल</t>
  </si>
  <si>
    <t>गोशाला में</t>
  </si>
  <si>
    <t>शिवलाल पुर रामगर</t>
  </si>
  <si>
    <t xml:space="preserve">पिरूल धारा पुलिस चौकी के पहले </t>
  </si>
  <si>
    <t>निकट कार्बेट तस्क रट्रेल रिसोर्ट सवाल्दे</t>
  </si>
  <si>
    <t>काशीपुर रोड रामनगर</t>
  </si>
  <si>
    <t>पापड़ी पिरूल धारा</t>
  </si>
  <si>
    <t>गोबर के ढेर में</t>
  </si>
  <si>
    <t>गुलर घटी रामनगर</t>
  </si>
  <si>
    <t>कोताभाग रोड रामनगर</t>
  </si>
  <si>
    <t>पेड़ में</t>
  </si>
  <si>
    <t>गिनतीगाव कोताभाग</t>
  </si>
  <si>
    <t>काशीपुर रोड हल्दुआ बैरियर  पिरूल धारा के पास</t>
  </si>
  <si>
    <t>मालधन रोड हाथीडंगर जंगलात चौकी के पास</t>
  </si>
  <si>
    <t>आग पेड़ में में लगी थी जिसको एफएस यूनिट द्वारा पूर्ण रूप बुझा दिया गया ।</t>
  </si>
  <si>
    <t xml:space="preserve"> ट्रांसफार्मर में</t>
  </si>
  <si>
    <t>आग ट्रांसफार्मर में लगी थी जिसको एफएस यूनिट द्वारा पूर्ण रूप बुझा दिया गया ।</t>
  </si>
  <si>
    <t>आग झोपडी में लगी थी जिसको एफएस यूनिट द्वारा पूर्ण रूप बुझा दिया गया ।</t>
  </si>
  <si>
    <t>आग झाड़ियो में लगी थी जिसको एफएस यूनिट द्वारा पूर्ण रूप बुझा दिया गया ।</t>
  </si>
  <si>
    <t>आग कूड़े  में लगी थी जिसको एफएस यूनिट द्वारा पूर्ण रूप बुझा दिया गया ।</t>
  </si>
  <si>
    <t>आग  झाड़ियो में लगी थी जिसको एफएस यूनिट द्वारा पूर्ण रूप बुझा दिया गया ।</t>
  </si>
  <si>
    <t>आग  गन्ने के खेत में लगी थी जिसको एफएस यूनिट द्वारा पूर्ण रूप बुझा दिया गया ।</t>
  </si>
  <si>
    <t xml:space="preserve"> गन्ने के खेत में</t>
  </si>
  <si>
    <t>आग रजाई गद्दे के दुकान में लगी थी जिसको एफएस यूनिट द्वारा पूर्ण रूप बुझा दिया गया ।</t>
  </si>
  <si>
    <t>रजाई गद्दे के दुकान में</t>
  </si>
  <si>
    <t>आग खाली प्लाट में लगी थी जिसको एफएस यूनिट द्वारा पूर्ण रूप बुझा दिया गया ।</t>
  </si>
  <si>
    <t>आग रजाई गद्दे के दुकान  में लगी थी जिसको एफएस यूनिट द्वारा पूर्ण रूप बुझा दिया गया ।</t>
  </si>
  <si>
    <t xml:space="preserve">दुकान  में </t>
  </si>
  <si>
    <t>आग किचन में लगी थी जिसको एफएस यूनिट द्वारा पूर्ण रूप बुझा दिया गया ।</t>
  </si>
  <si>
    <t>आग बिजली के तारो में लगी थी जिसको एफएस यूनिट द्वारा पूर्ण रूप बुझा दिया गया ।</t>
  </si>
  <si>
    <t xml:space="preserve">बिजली के तारो में </t>
  </si>
  <si>
    <t>आग सूर्य सर्विस सेंटर में लगी थी जिसको एफएस यूनिट द्वारा पूर्ण रूप बुझा दिया गया ।</t>
  </si>
  <si>
    <t>सर्विस सेंटर में</t>
  </si>
  <si>
    <t>आग कार में लगी थी जिसको एफएस यूनिट द्वारा पूर्ण रूप बुझा दिया गया ।</t>
  </si>
  <si>
    <t>इंडियन आयल के पास हल्दुचौद लालकुआ</t>
  </si>
  <si>
    <t>टांडा बैरियर के पास</t>
  </si>
  <si>
    <t>भाग जाला गोलापार</t>
  </si>
  <si>
    <t>हरिपुर जमन बेलबावा चौकी के पास</t>
  </si>
  <si>
    <t>रामपुर रोड टांडा बैरियर अ मोड़ के पास</t>
  </si>
  <si>
    <t>बेलबावामंदिर के पास</t>
  </si>
  <si>
    <t>मल्लीताल नैनीताल</t>
  </si>
  <si>
    <t>भीमताल नैनीताल</t>
  </si>
  <si>
    <t>फायर यूनिट तल्लीताल भीमताल पहुची तो सुचना प्राप्त हुई की आग बुझा दी गयी है fs यूनिट वापस fs पर उपस्थित हुए</t>
  </si>
  <si>
    <t>आग dsv कैंपस झाड़ियो में लगी थी जिसको एफएस यूनिट द्वारा पूर्ण रूप बुझा दिया गया ।</t>
  </si>
  <si>
    <t>आग निकट अरविंदो आश्रम के पेड़ में लगी थी जिसको एफएस यूनिट द्वारा पूर्ण रूप बुझा दिया गया ।</t>
  </si>
  <si>
    <t>आग निकट ब्लू बुक होटल जंगल में लगी थी जो फायर यूनिट के पहुचने से पहले ही बुझा दी गयी थी</t>
  </si>
  <si>
    <t>आग हनुमानगाड़ी मनोरा गाव में जंगल में लगी थी जो फायर यूनिट के पहुचने से पहले ही बुझा दी गयी थी</t>
  </si>
  <si>
    <t>आग फर्सोली गोलुधा रजंगल में लगी थी जिसको एफएस यूनिट द्वारा पूर्ण रूप बुझा दिया गया ।</t>
  </si>
  <si>
    <t>आग निकट पुलिस चौकी मंगोली जंगल में लगी थी जिसको एफएस यूनिट द्वारा पूर्ण रूप बुझा दिया गया ।</t>
  </si>
  <si>
    <t>आग बेतालघट जंगल से दो कमरों में लगी थी जिसको एफएस यूनिट द्वारा पूर्ण रूप बुझा दिया गया ।</t>
  </si>
  <si>
    <t>आग केंचिधाम मंदिर के पास जंगल में लगी थी जो फायर यूनिट के पहुचने से पहले ही बुझा दी गयी थी</t>
  </si>
  <si>
    <t>आग रुसी बैंड बाईपास जंगल में लगी थी जिसको एफएस यूनिट द्वारा पूर्ण रूप बुझा दिया गया ।</t>
  </si>
  <si>
    <t>आग मंगोली पुलिस चौकी जंगल में लगी थी जिसको एफएस यूनिट द्वारा पूर्ण रूप बुझा दिया गया ।</t>
  </si>
  <si>
    <t>आग भूमिया धार खुफी गाव जंगल में लगी थी जिसको एफएस यूनिट द्वारा पूर्ण रूप बुझा दिया गया ।</t>
  </si>
  <si>
    <t>आग केंचिधाम हर्ताप्पा रोड जंगल में लगी थी जिसको एफएस यूनिट द्वारा पूर्ण रूप बुझा दिया गया ।</t>
  </si>
  <si>
    <t>आग घोडाखाल मंदिर जंगल में लगी थी जिसको एफएस यूनिट द्वारा पूर्ण रूप बुझा दिया गया ।</t>
  </si>
  <si>
    <t>आग निग्लात केंचिधाम रोड जंगल में लगी थी जिसको एफएस यूनिट द्वारा पूर्ण रूप बुझा दिया गया ।</t>
  </si>
  <si>
    <t>आग केन फील्ड हॉस्टल शेरवूड जंगल में लगी थी जिसको एफएस यूनिट द्वारा पूर्ण रूप बुझा दिया गया ।</t>
  </si>
  <si>
    <t>आग आम पडाव दो गाव जंगल में लगी थी जिसको एफएस यूनिट द्वारा पूर्ण रूप बुझा दिया गया ।</t>
  </si>
  <si>
    <t>आग पाडली कुसोली जंगल में लगी थी जिसको एफएस यूनिट द्वारा पूर्ण रूप बुझा दिया गया ।</t>
  </si>
  <si>
    <t>आग दुन्गासिल छेत्र जंगल में लगी थी जिसको एफएस यूनिट द्वारा पूर्ण रूप बुझा दिया गया ।</t>
  </si>
  <si>
    <t>आग विनायक से आगे चौकी जंगल में लगी थी जिसको एफएस यूनिट द्वारा पूर्ण रूप बुझा दिया गया ।</t>
  </si>
  <si>
    <t>आग पदमपुरी जंगल में लगी थी जिसको एफएस यूनिट द्वारा पूर्ण रूप बुझा दिया गया ।</t>
  </si>
  <si>
    <t>आग उमागारग्राम सभा डाक केडाला रोड रामगढ जंगल में लगी थी जहा फायर यूनिट का पहुच पाना संभव नहीं था</t>
  </si>
  <si>
    <t>आग नाथुवानखान रामगढ जंगल में लगी थी जिसको स्थानिय लोगो द्वारा बुझा दिया गया</t>
  </si>
  <si>
    <t>आग घोडाखाल मंदिर  जंगल में लगी थी जहा पहुच पाना संभव नहीं था  ।</t>
  </si>
  <si>
    <t>16.06.2024</t>
  </si>
  <si>
    <t>18.06.2024</t>
  </si>
  <si>
    <t>19.06.2024</t>
  </si>
  <si>
    <t>22.06.2024</t>
  </si>
  <si>
    <t>23.06.2024</t>
  </si>
  <si>
    <t>25.06.2024</t>
  </si>
  <si>
    <t>29.06.2024</t>
  </si>
  <si>
    <t xml:space="preserve">हरिद्वार रोड ट्रेन्चिंग ग्राउंड कूड़े के ढेर में </t>
  </si>
  <si>
    <t xml:space="preserve">संयुक्त यात्रा बस अड्डा ऋषिकेश वर्कशॉप में खड़े वाहनों में </t>
  </si>
  <si>
    <t xml:space="preserve">योग नगरी रेलवे स्टेशन ऋषिकेश के समीप  सूखे पत्तो में </t>
  </si>
  <si>
    <t xml:space="preserve">सूखे पतों में </t>
  </si>
  <si>
    <t xml:space="preserve">आई०डी०पी०एल० लीवर कॉलोनी में कूड़े के ढेर में </t>
  </si>
  <si>
    <t xml:space="preserve">नटराज चोक जय श्री फार्म के समीप गाडियों में </t>
  </si>
  <si>
    <t xml:space="preserve">गाडियों में </t>
  </si>
  <si>
    <t xml:space="preserve">जलती हुई स्कूटी के अन्य वाहनों के समपर्क में आने से </t>
  </si>
  <si>
    <t xml:space="preserve">बैराज रोड स्तार्दिया केमिकल फैक्ट्री की झाड़ियो में </t>
  </si>
  <si>
    <t xml:space="preserve">गोविन्द नगर ट्रेन्चिंग ग्राउंड कूड़े  के ढेर में </t>
  </si>
  <si>
    <t xml:space="preserve">श्यामपुर मार्किट के समीप झाड़ियो में </t>
  </si>
  <si>
    <t xml:space="preserve">हरिद्वार रोड 72 सीधी के पास खोके में </t>
  </si>
  <si>
    <t xml:space="preserve">आई०डी०पी०एल० फैक्ट्री परिसर में </t>
  </si>
  <si>
    <t xml:space="preserve">हिंदुस्तान नेशनल गिलास हरिद्वार रोड के समीप झाड़ियो में </t>
  </si>
  <si>
    <t xml:space="preserve">आमबाग ऋषिकेश गली नंबर 02 विदुत पोल में </t>
  </si>
  <si>
    <t xml:space="preserve">संभवत इलेक्ट्रिक शोर्ट शर्किट </t>
  </si>
  <si>
    <t xml:space="preserve">आवास विकास कॉलोनी ऋषिकेश विदुत ट्रांसफार्मर के निचे घास फूस में </t>
  </si>
  <si>
    <t xml:space="preserve">खोके में </t>
  </si>
  <si>
    <t xml:space="preserve">विद्युत्  पोल में </t>
  </si>
  <si>
    <t xml:space="preserve">घास फूस में </t>
  </si>
  <si>
    <t xml:space="preserve">नगर निगम कार्यालय ऋषिकेश के समीप विद्युत् पोल की तारो में </t>
  </si>
  <si>
    <t xml:space="preserve">विद्युत् पोल की तारो में </t>
  </si>
  <si>
    <t xml:space="preserve">निर्मल ब्लाक बी विस्थापित ऋषिकेश विद्युत् पोल में लगी मीटर में </t>
  </si>
  <si>
    <t xml:space="preserve"> फैक्ट्री परिसर में </t>
  </si>
  <si>
    <t xml:space="preserve">पुलिस चौकी आई०डी०पि०एल० के समीप झाड़ियो में </t>
  </si>
  <si>
    <t xml:space="preserve">हरिपुर कला देव संस्कृति विश्विद्यालय के समीप पेड़ में </t>
  </si>
  <si>
    <t xml:space="preserve">पेड़ में </t>
  </si>
  <si>
    <t xml:space="preserve">हरिद्वार रोड साईं घाट के समीप पोल में </t>
  </si>
  <si>
    <t xml:space="preserve">ऋषिकेश अभिनव पेट्रोल पंप के समीप </t>
  </si>
  <si>
    <t xml:space="preserve">मीरानगर बपुग्राम विदुयतपोल में </t>
  </si>
  <si>
    <t xml:space="preserve">रायवाला रेलवे लाइन के समीप झाड़ियो में </t>
  </si>
  <si>
    <t>सम्भवतः  लापरवाही</t>
  </si>
  <si>
    <t xml:space="preserve">सेलाकुई </t>
  </si>
  <si>
    <t>13/6/2024</t>
  </si>
  <si>
    <t>14/6/2024</t>
  </si>
  <si>
    <t>15/6/2024</t>
  </si>
  <si>
    <t>16/6/2024</t>
  </si>
  <si>
    <t>17/6/2024</t>
  </si>
  <si>
    <t>18/6/2024</t>
  </si>
  <si>
    <t>19/6/2024</t>
  </si>
  <si>
    <t>22/6/2024</t>
  </si>
  <si>
    <t>29/6/2024</t>
  </si>
  <si>
    <t>30/6/2024</t>
  </si>
  <si>
    <t xml:space="preserve">टापरवेअर  कंपनी के पीछे कबाड़ में </t>
  </si>
  <si>
    <t xml:space="preserve">सेलाकुई खाटू श्याम मंदिर के पीछे बिजली के पोल में </t>
  </si>
  <si>
    <t xml:space="preserve"> पोल में </t>
  </si>
  <si>
    <t xml:space="preserve">राजारोड तेलपुरा घटनास्थल पहुचकर fs यूनिट ने पहुचकर देखा की आग खी पर नहीं लगी है व कॉलर का नौ स्विच ऑफ पाया गया </t>
  </si>
  <si>
    <t xml:space="preserve">असत्य सूचना </t>
  </si>
  <si>
    <t xml:space="preserve">न्यागाव पुलिस चौकी के समीप खली प्लाट में झाड़ियो में आग लगी थी </t>
  </si>
  <si>
    <t xml:space="preserve">सघनपौधा केंद्र भाऊवाला के लेमोनग्रास में आग लगी थी  </t>
  </si>
  <si>
    <t xml:space="preserve">वेल्डिंग करते समय चिनगारियो से </t>
  </si>
  <si>
    <t xml:space="preserve">लेमोनग्रास में </t>
  </si>
  <si>
    <t xml:space="preserve">ग्राम कोटडा कल्यानपुर के पास झाड़ियो में </t>
  </si>
  <si>
    <t xml:space="preserve">आज्ञात </t>
  </si>
  <si>
    <t xml:space="preserve">सहसपुर सभावाला में दीपक गुप्ता के माकन में आग लगी थी </t>
  </si>
  <si>
    <t xml:space="preserve">माकन में </t>
  </si>
  <si>
    <t xml:space="preserve">आधोयोगिक छेत्र सेलाकुई हिंदुस्तान कंपनी के पास खली प्लाट  में आग लगी थी </t>
  </si>
  <si>
    <t>प्लाट  में</t>
  </si>
  <si>
    <t xml:space="preserve">आग डुंगा के पेड़ में लगी थी </t>
  </si>
  <si>
    <t xml:space="preserve"> पेड़ में </t>
  </si>
  <si>
    <t xml:space="preserve">आग सहसपुर के गैस गोदाम के पास कबाड़ के गोदाम में लगी थी </t>
  </si>
  <si>
    <t>कबाड़ के गोदाम में</t>
  </si>
  <si>
    <t xml:space="preserve">आग डुंगा के झाड़ियो में लगी थी </t>
  </si>
  <si>
    <t xml:space="preserve">धुलकोट के पास शीशम बाड़ा  रोड में कार में  आग लगी थी  </t>
  </si>
  <si>
    <t xml:space="preserve">कार में  </t>
  </si>
  <si>
    <t xml:space="preserve">आग कोटरा बिर्सनी भौवाला में आम के बगीचे  में लगी थी </t>
  </si>
  <si>
    <t>बगीचे  में</t>
  </si>
  <si>
    <t xml:space="preserve">ठाकुर पुर रोड झाझरा के पास कूड़े के ढेर में लगी थी </t>
  </si>
  <si>
    <t xml:space="preserve">आग एल्टस स्कूल के पास ट्रांसफार्मर में लगी थी </t>
  </si>
  <si>
    <t xml:space="preserve">आग बयावाला सेलाकुई के पस झाड़ियो में </t>
  </si>
  <si>
    <t xml:space="preserve">शिवमंदिर गली में माकन में आग लगी थी </t>
  </si>
  <si>
    <t xml:space="preserve"> माकन में</t>
  </si>
  <si>
    <t xml:space="preserve">बहादुर पुर  सेलाकुई क्व पास आम के बगीचे में आग लगी थी </t>
  </si>
  <si>
    <t xml:space="preserve">बयावाला गुरुस्वारा क्व पास खली प्लाट में झाड़ियो मइ आग लगी थी </t>
  </si>
  <si>
    <t xml:space="preserve">डी वी एस स्कूल के सर्वर रूम में आग लगी थी </t>
  </si>
  <si>
    <t xml:space="preserve"> सर्वर रूम में</t>
  </si>
  <si>
    <t xml:space="preserve">कोतामपुर परवल सहसपुर में आग माकन में लगी थी </t>
  </si>
  <si>
    <t xml:space="preserve">शंकर पुर सहसपुर में कबाड़ के गोदाम में आग लगी थी </t>
  </si>
  <si>
    <t xml:space="preserve">आग राजा रोड वैष्णोमंदिर सेलाकुई जंगल में लगी थी जिसको हौज की सहायता से व पीट पाटकर पूर्ण रूप  से बुझाया गया व आग से कोई जनहानि नहीं हुई </t>
  </si>
  <si>
    <t xml:space="preserve">आग मांडू वाला के  जंगल में लगी थी जिसको हौज की सहायता से व पीट पाटकर पूर्ण रूप  से बुझाया गया व आग से कोई जनहानि नहीं हुई </t>
  </si>
  <si>
    <t xml:space="preserve">आग कोटरा बिर्स्नी  सेलाकुई जंगल में लगी थी जिसको हौज की सहायता से व पीट पाटकर पूर्ण रूप  से बुझाया गया व आग से कोई जनहानि नहीं हुई </t>
  </si>
  <si>
    <t xml:space="preserve">आग डी आई एमएस सेलाकुई जंगल में लगी थी जिसको हौज की सहायता से व पीट पाटकर पूर्ण रूप  से बुझाया गया व आग से कोई जनहानि नहीं हुई </t>
  </si>
  <si>
    <t xml:space="preserve">आगगर्ल्स पॉलिटेक्निक सिधोवाला सेलाकुई जंगल में लगी थी जिसको हौज की सहायता से व पीट पाटकर पूर्ण रूप  से बुझाया गया व आग से कोई जनहानि नहीं हुई </t>
  </si>
  <si>
    <t xml:space="preserve">आग मंदुवाला कोठरी  सेलाकुई जंगल में लगी थी जिसको हौज की सहायता से व पीट पाटकर पूर्ण रूप  से बुझाया गया व आग से कोई जनहानि नहीं हुई </t>
  </si>
  <si>
    <t xml:space="preserve">आग भाऊ वाला  सेलाकुई जंगल में लगी थी जिसको हौज की सहायता से व पीट पाटकर पूर्ण रूप  से बुझाया गया व आग से कोई जनहानि नहीं हुई </t>
  </si>
  <si>
    <t xml:space="preserve">आग ग्राम खैराद नैनबाग में  जंगल में लगी थी जिसको हौज की सहायता से व पीट पाटकर पूर्ण रूप  से बुझाया गया व आग से कोई जनहानि नहीं हुई  </t>
  </si>
  <si>
    <t xml:space="preserve">आग बट्टा गाव  निकट शिअव्ल्या मंदिर  जंगल में लगी थी जिसको हौज की सहायता से व पीट पाटकर पूर्ण रूप  से बुझाया गया व आग से कोई जनहानि नहीं हुई </t>
  </si>
  <si>
    <t xml:space="preserve">आग कैम्पटी फल नियर थाना  जंगल में लगी थी जिसको हौज की सहायता से व पीट पाटकर पूर्ण रूप  से बुझाया गया व आग से कोई जनहानि नहीं हुई </t>
  </si>
  <si>
    <t xml:space="preserve">आग मसूरी इंटरनेशनल स्छोल के पास जंगल में लगी थी जिसको हौज की सहायता से व पीट पाटकर पूर्ण रूप  से बुझाया गया व आग से कोई जनहानि नहीं हुई </t>
  </si>
  <si>
    <t xml:space="preserve">आग गुरुनानक स्कूल रोड  जंगल में लगी थी जिसको हौज की सहायता से व पीट पाटकर पूर्ण रूप  से बुझाया गया व आग से कोई जनहानि नहीं हुई </t>
  </si>
  <si>
    <t xml:space="preserve">आग डमू गाव मसूरी देहरादून रोड पर मैगी पॉइंट  के किचन में सिलिंडर में लगी थी </t>
  </si>
  <si>
    <t>किचन 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</si>
</sst>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56" x14ac:knownFonts="1">
    <font>
      <sz val="11"/>
      <color theme="1"/>
      <name val="Calibri"/>
      <family val="2"/>
      <scheme val="minor"/>
    </font>
    <font>
      <b/>
      <sz val="12"/>
      <color theme="1"/>
      <name val="Kruti Dev 010"/>
    </font>
    <font>
      <b/>
      <sz val="14"/>
      <color theme="1"/>
      <name val="Kruti Dev 010"/>
    </font>
    <font>
      <sz val="11"/>
      <color theme="1"/>
      <name val="Kruti Dev 010"/>
    </font>
    <font>
      <sz val="12"/>
      <color theme="1"/>
      <name val="Kruti Dev 010"/>
    </font>
    <font>
      <b/>
      <sz val="11"/>
      <color theme="1"/>
      <name val="Kruti Dev 010"/>
    </font>
    <font>
      <sz val="10"/>
      <color theme="1"/>
      <name val="Kruti Dev 010"/>
    </font>
    <font>
      <sz val="10"/>
      <color theme="1"/>
      <name val="Cambria"/>
      <family val="1"/>
    </font>
    <font>
      <b/>
      <sz val="10"/>
      <color theme="1"/>
      <name val="Times New Roman"/>
      <family val="1"/>
    </font>
    <font>
      <b/>
      <sz val="1"/>
      <color theme="1"/>
      <name val="Kruti Dev 010"/>
    </font>
    <font>
      <b/>
      <sz val="12"/>
      <color theme="1"/>
      <name val="Aparajita"/>
      <family val="1"/>
    </font>
    <font>
      <b/>
      <sz val="14"/>
      <color theme="1"/>
      <name val="Kokila"/>
      <family val="2"/>
    </font>
    <font>
      <sz val="11"/>
      <color theme="1"/>
      <name val="Kokila"/>
      <family val="2"/>
    </font>
    <font>
      <sz val="10"/>
      <color theme="1"/>
      <name val="Times New Roman"/>
      <family val="1"/>
    </font>
    <font>
      <sz val="12"/>
      <color theme="1"/>
      <name val="Times New Roman"/>
      <family val="1"/>
    </font>
    <font>
      <sz val="14"/>
      <color theme="1"/>
      <name val="Kokila"/>
      <family val="2"/>
    </font>
    <font>
      <sz val="16"/>
      <color theme="1"/>
      <name val="Kokila"/>
      <family val="2"/>
    </font>
    <font>
      <b/>
      <sz val="13"/>
      <color theme="1"/>
      <name val="Kruti Dev 016"/>
    </font>
    <font>
      <b/>
      <u/>
      <sz val="13"/>
      <color theme="1"/>
      <name val="Kruti Dev 016"/>
    </font>
    <font>
      <b/>
      <sz val="11"/>
      <color theme="1"/>
      <name val="Kruti Dev 016"/>
    </font>
    <font>
      <b/>
      <sz val="10"/>
      <color theme="1"/>
      <name val="Kruti Dev 016"/>
    </font>
    <font>
      <sz val="10"/>
      <color theme="1"/>
      <name val="Kruti Dev 016"/>
    </font>
    <font>
      <sz val="12"/>
      <color theme="1"/>
      <name val="Kruti Dev 016"/>
    </font>
    <font>
      <sz val="10"/>
      <color rgb="FF000000"/>
      <name val="Calibri"/>
      <family val="2"/>
    </font>
    <font>
      <b/>
      <sz val="10"/>
      <color theme="1"/>
      <name val="Arial"/>
      <family val="2"/>
    </font>
    <font>
      <b/>
      <u/>
      <sz val="11"/>
      <color theme="1"/>
      <name val="Kruti Dev 016"/>
    </font>
    <font>
      <sz val="14"/>
      <color theme="1"/>
      <name val="Kruti Dev 016"/>
    </font>
    <font>
      <b/>
      <sz val="14"/>
      <color theme="1"/>
      <name val="Kruti Dev 016"/>
    </font>
    <font>
      <sz val="14"/>
      <color theme="1"/>
      <name val="Times New Roman"/>
      <family val="1"/>
    </font>
    <font>
      <b/>
      <sz val="12"/>
      <color theme="1"/>
      <name val="Kruti Dev 016"/>
    </font>
    <font>
      <sz val="10"/>
      <color rgb="FF000000"/>
      <name val="Arial"/>
      <family val="2"/>
    </font>
    <font>
      <b/>
      <sz val="14"/>
      <color rgb="FF000000"/>
      <name val="Kruti Dev 016"/>
    </font>
    <font>
      <b/>
      <sz val="10"/>
      <color rgb="FF000000"/>
      <name val="Calibri"/>
      <family val="2"/>
    </font>
    <font>
      <sz val="14"/>
      <color rgb="FF000000"/>
      <name val="Kokila"/>
      <family val="2"/>
    </font>
    <font>
      <sz val="14"/>
      <color rgb="FFFF0000"/>
      <name val="Kokila"/>
      <family val="2"/>
    </font>
    <font>
      <sz val="14"/>
      <color rgb="FF1F1F1F"/>
      <name val="Kokila"/>
      <family val="2"/>
    </font>
    <font>
      <b/>
      <sz val="14"/>
      <name val="Kokila"/>
      <family val="2"/>
    </font>
    <font>
      <sz val="14"/>
      <name val="Kokila"/>
      <family val="2"/>
    </font>
    <font>
      <b/>
      <sz val="11"/>
      <color theme="1"/>
      <name val="Calibri"/>
      <family val="2"/>
      <scheme val="minor"/>
    </font>
    <font>
      <b/>
      <sz val="16"/>
      <color theme="1"/>
      <name val="Kokila"/>
      <family val="2"/>
    </font>
    <font>
      <b/>
      <sz val="20"/>
      <color theme="1"/>
      <name val="Calibri"/>
      <family val="2"/>
      <scheme val="minor"/>
    </font>
    <font>
      <b/>
      <sz val="16"/>
      <name val="Kokila"/>
      <family val="2"/>
    </font>
    <font>
      <sz val="16"/>
      <name val="Kokila"/>
      <family val="2"/>
    </font>
    <font>
      <b/>
      <sz val="11"/>
      <color rgb="FFFF0000"/>
      <name val="Calibri"/>
      <family val="2"/>
      <scheme val="minor"/>
    </font>
    <font>
      <b/>
      <sz val="16"/>
      <color rgb="FFFF0000"/>
      <name val="Kokila"/>
      <family val="2"/>
    </font>
    <font>
      <sz val="8"/>
      <name val="Calibri"/>
      <family val="2"/>
      <scheme val="minor"/>
    </font>
    <font>
      <b/>
      <sz val="16"/>
      <color theme="0"/>
      <name val="Kokila"/>
      <family val="2"/>
    </font>
    <font>
      <sz val="13"/>
      <color theme="1"/>
      <name val="Kokila"/>
      <family val="2"/>
    </font>
    <font>
      <sz val="13"/>
      <color theme="1"/>
      <name val="Calibri"/>
      <family val="2"/>
      <scheme val="minor"/>
    </font>
    <font>
      <sz val="13"/>
      <color theme="1"/>
      <name val="Mangal"/>
      <family val="1"/>
    </font>
    <font>
      <sz val="11"/>
      <color theme="1"/>
      <name val="Calibri"/>
      <family val="2"/>
      <scheme val="minor"/>
    </font>
    <font>
      <sz val="20"/>
      <color theme="1"/>
      <name val="Kokila"/>
      <family val="2"/>
    </font>
    <font>
      <sz val="12"/>
      <color theme="1"/>
      <name val="Aptos"/>
      <family val="2"/>
    </font>
    <font>
      <sz val="10.5"/>
      <color theme="1"/>
      <name val="Mangal"/>
      <family val="1"/>
    </font>
    <font>
      <sz val="14"/>
      <color theme="1"/>
      <name val="Calibri"/>
      <family val="2"/>
      <scheme val="minor"/>
    </font>
    <font>
      <sz val="14"/>
      <color theme="1"/>
      <name val="Kokila"/>
    </font>
  </fonts>
  <fills count="5">
    <fill>
      <patternFill patternType="none"/>
    </fill>
    <fill>
      <patternFill patternType="gray125"/>
    </fill>
    <fill>
      <patternFill patternType="solid">
        <fgColor theme="5" tint="0.79998168889431442"/>
        <bgColor theme="5" tint="0.79998168889431442"/>
      </patternFill>
    </fill>
    <fill>
      <patternFill patternType="solid">
        <fgColor theme="9"/>
        <bgColor theme="9"/>
      </patternFill>
    </fill>
    <fill>
      <patternFill patternType="solid">
        <fgColor rgb="FFFFFF00"/>
        <bgColor indexed="64"/>
      </patternFill>
    </fill>
  </fills>
  <borders count="55">
    <border>
      <left/>
      <right/>
      <top/>
      <bottom/>
      <diagonal/>
    </border>
    <border>
      <left style="double">
        <color indexed="64"/>
      </left>
      <right style="medium">
        <color indexed="64"/>
      </right>
      <top style="double">
        <color indexed="64"/>
      </top>
      <bottom/>
      <diagonal/>
    </border>
    <border>
      <left style="double">
        <color indexed="64"/>
      </left>
      <right style="medium">
        <color indexed="64"/>
      </right>
      <top/>
      <bottom style="medium">
        <color indexed="64"/>
      </bottom>
      <diagonal/>
    </border>
    <border>
      <left/>
      <right style="medium">
        <color indexed="64"/>
      </right>
      <top style="double">
        <color indexed="64"/>
      </top>
      <bottom style="medium">
        <color indexed="64"/>
      </bottom>
      <diagonal/>
    </border>
    <border>
      <left/>
      <right style="medium">
        <color indexed="64"/>
      </right>
      <top/>
      <bottom style="medium">
        <color indexed="64"/>
      </bottom>
      <diagonal/>
    </border>
    <border>
      <left/>
      <right style="double">
        <color indexed="64"/>
      </right>
      <top style="double">
        <color indexed="64"/>
      </top>
      <bottom style="medium">
        <color indexed="64"/>
      </bottom>
      <diagonal/>
    </border>
    <border>
      <left/>
      <right style="double">
        <color indexed="64"/>
      </right>
      <top/>
      <bottom style="medium">
        <color indexed="64"/>
      </bottom>
      <diagonal/>
    </border>
    <border>
      <left/>
      <right style="medium">
        <color indexed="64"/>
      </right>
      <top/>
      <bottom style="double">
        <color indexed="64"/>
      </bottom>
      <diagonal/>
    </border>
    <border>
      <left style="double">
        <color indexed="64"/>
      </left>
      <right style="medium">
        <color indexed="64"/>
      </right>
      <top/>
      <bottom/>
      <diagonal/>
    </border>
    <border>
      <left/>
      <right style="double">
        <color indexed="64"/>
      </right>
      <top/>
      <bottom style="double">
        <color indexed="64"/>
      </bottom>
      <diagonal/>
    </border>
    <border>
      <left style="medium">
        <color indexed="64"/>
      </left>
      <right style="medium">
        <color indexed="64"/>
      </right>
      <top style="double">
        <color indexed="64"/>
      </top>
      <bottom/>
      <diagonal/>
    </border>
    <border>
      <left style="medium">
        <color indexed="64"/>
      </left>
      <right style="medium">
        <color indexed="64"/>
      </right>
      <top/>
      <bottom style="medium">
        <color indexed="64"/>
      </bottom>
      <diagonal/>
    </border>
    <border>
      <left style="medium">
        <color indexed="64"/>
      </left>
      <right/>
      <top style="double">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double">
        <color indexed="64"/>
      </right>
      <top style="medium">
        <color indexed="64"/>
      </top>
      <bottom/>
      <diagonal/>
    </border>
    <border>
      <left style="medium">
        <color indexed="64"/>
      </left>
      <right style="double">
        <color indexed="64"/>
      </right>
      <top/>
      <bottom style="medium">
        <color indexed="64"/>
      </bottom>
      <diagonal/>
    </border>
    <border>
      <left style="double">
        <color indexed="64"/>
      </left>
      <right/>
      <top/>
      <bottom style="double">
        <color indexed="64"/>
      </bottom>
      <diagonal/>
    </border>
    <border>
      <left/>
      <right/>
      <top/>
      <bottom style="double">
        <color indexed="64"/>
      </bottom>
      <diagonal/>
    </border>
    <border>
      <left style="double">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style="double">
        <color indexed="64"/>
      </top>
      <bottom style="medium">
        <color rgb="FF000000"/>
      </bottom>
      <diagonal/>
    </border>
    <border>
      <left/>
      <right/>
      <top style="double">
        <color indexed="64"/>
      </top>
      <bottom style="medium">
        <color rgb="FF000000"/>
      </bottom>
      <diagonal/>
    </border>
    <border>
      <left/>
      <right style="medium">
        <color rgb="FF000000"/>
      </right>
      <top/>
      <bottom style="medium">
        <color rgb="FF000000"/>
      </bottom>
      <diagonal/>
    </border>
    <border>
      <left/>
      <right style="medium">
        <color rgb="FF000000"/>
      </right>
      <top/>
      <bottom/>
      <diagonal/>
    </border>
    <border>
      <left/>
      <right style="medium">
        <color indexed="64"/>
      </right>
      <top/>
      <bottom style="medium">
        <color rgb="FF000000"/>
      </bottom>
      <diagonal/>
    </border>
    <border>
      <left style="medium">
        <color indexed="64"/>
      </left>
      <right/>
      <top style="double">
        <color indexed="64"/>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indexed="64"/>
      </right>
      <top style="medium">
        <color rgb="FF000000"/>
      </top>
      <bottom/>
      <diagonal/>
    </border>
    <border>
      <left style="medium">
        <color rgb="FF000000"/>
      </left>
      <right style="medium">
        <color indexed="64"/>
      </right>
      <top/>
      <bottom style="medium">
        <color rgb="FF000000"/>
      </bottom>
      <diagonal/>
    </border>
    <border>
      <left style="thin">
        <color indexed="64"/>
      </left>
      <right style="thin">
        <color indexed="64"/>
      </right>
      <top style="thin">
        <color indexed="64"/>
      </top>
      <bottom style="thin">
        <color indexed="64"/>
      </bottom>
      <diagonal/>
    </border>
    <border>
      <left/>
      <right style="medium">
        <color rgb="FF000000"/>
      </right>
      <top style="medium">
        <color rgb="FF000000"/>
      </top>
      <bottom style="medium">
        <color rgb="FF000000"/>
      </bottom>
      <diagonal/>
    </border>
    <border>
      <left/>
      <right style="medium">
        <color indexed="64"/>
      </right>
      <top style="medium">
        <color rgb="FF000000"/>
      </top>
      <bottom style="medium">
        <color indexed="64"/>
      </bottom>
      <diagonal/>
    </border>
    <border>
      <left style="medium">
        <color rgb="FF000000"/>
      </left>
      <right/>
      <top style="medium">
        <color rgb="FF000000"/>
      </top>
      <bottom style="medium">
        <color indexed="64"/>
      </bottom>
      <diagonal/>
    </border>
    <border>
      <left style="medium">
        <color indexed="64"/>
      </left>
      <right/>
      <top style="medium">
        <color rgb="FF000000"/>
      </top>
      <bottom style="medium">
        <color indexed="64"/>
      </bottom>
      <diagonal/>
    </border>
    <border>
      <left/>
      <right style="medium">
        <color rgb="FF000000"/>
      </right>
      <top style="medium">
        <color rgb="FF000000"/>
      </top>
      <bottom style="medium">
        <color indexed="64"/>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bottom/>
      <diagonal/>
    </border>
    <border>
      <left style="medium">
        <color indexed="64"/>
      </left>
      <right style="medium">
        <color indexed="64"/>
      </right>
      <top style="medium">
        <color rgb="FF000000"/>
      </top>
      <bottom/>
      <diagonal/>
    </border>
    <border>
      <left style="medium">
        <color indexed="64"/>
      </left>
      <right style="medium">
        <color indexed="64"/>
      </right>
      <top/>
      <bottom style="medium">
        <color rgb="FF000000"/>
      </bottom>
      <diagonal/>
    </border>
    <border>
      <left style="medium">
        <color indexed="64"/>
      </left>
      <right style="medium">
        <color rgb="FF000000"/>
      </right>
      <top style="medium">
        <color rgb="FF000000"/>
      </top>
      <bottom/>
      <diagonal/>
    </border>
    <border>
      <left style="medium">
        <color indexed="64"/>
      </left>
      <right style="medium">
        <color rgb="FF000000"/>
      </right>
      <top/>
      <bottom style="medium">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5"/>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50" fillId="0" borderId="0" applyFont="0" applyFill="0" applyBorder="0" applyAlignment="0" applyProtection="0"/>
  </cellStyleXfs>
  <cellXfs count="308">
    <xf numFmtId="0" fontId="0" fillId="0" borderId="0" xfId="0"/>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3" fillId="0" borderId="4" xfId="0" applyFont="1" applyBorder="1" applyAlignment="1">
      <alignment horizontal="center" vertical="center" wrapText="1"/>
    </xf>
    <xf numFmtId="0" fontId="4" fillId="0" borderId="4" xfId="0" applyFont="1" applyBorder="1" applyAlignment="1">
      <alignment horizontal="center" vertical="center" wrapText="1"/>
    </xf>
    <xf numFmtId="0" fontId="3" fillId="0" borderId="6" xfId="0" applyFont="1" applyBorder="1" applyAlignment="1">
      <alignment horizontal="center" vertical="center" wrapText="1"/>
    </xf>
    <xf numFmtId="0" fontId="4" fillId="0" borderId="4" xfId="0" applyFont="1" applyBorder="1" applyAlignment="1">
      <alignment horizontal="justify" vertical="center" wrapText="1"/>
    </xf>
    <xf numFmtId="0" fontId="2" fillId="0" borderId="4" xfId="0" applyFont="1" applyBorder="1" applyAlignment="1">
      <alignment horizontal="center" vertical="center" wrapText="1"/>
    </xf>
    <xf numFmtId="0" fontId="2" fillId="0" borderId="6" xfId="0" applyFont="1" applyBorder="1" applyAlignment="1">
      <alignment horizontal="center" vertical="center" wrapText="1"/>
    </xf>
    <xf numFmtId="0" fontId="1" fillId="0" borderId="6" xfId="0" applyFont="1" applyBorder="1" applyAlignment="1">
      <alignment horizontal="center" vertical="center" wrapText="1"/>
    </xf>
    <xf numFmtId="14" fontId="4" fillId="0" borderId="4" xfId="0" applyNumberFormat="1" applyFont="1" applyBorder="1" applyAlignment="1">
      <alignment horizontal="center" vertical="center" wrapText="1"/>
    </xf>
    <xf numFmtId="0" fontId="5" fillId="0" borderId="7" xfId="0" applyFont="1" applyBorder="1" applyAlignment="1">
      <alignment horizontal="center" vertical="center" wrapText="1"/>
    </xf>
    <xf numFmtId="0" fontId="5" fillId="0" borderId="7" xfId="0" applyFont="1" applyBorder="1" applyAlignment="1">
      <alignment vertical="center" wrapText="1"/>
    </xf>
    <xf numFmtId="0" fontId="5" fillId="0" borderId="9" xfId="0" applyFont="1" applyBorder="1" applyAlignment="1">
      <alignment vertical="center" wrapText="1"/>
    </xf>
    <xf numFmtId="0" fontId="9" fillId="0" borderId="25" xfId="0" applyFont="1" applyBorder="1" applyAlignment="1">
      <alignment horizontal="center" vertical="center" wrapText="1"/>
    </xf>
    <xf numFmtId="0" fontId="1" fillId="0" borderId="24"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9" xfId="0" applyFont="1" applyBorder="1" applyAlignment="1">
      <alignment horizontal="center" vertical="center" wrapText="1"/>
    </xf>
    <xf numFmtId="0" fontId="0" fillId="0" borderId="0" xfId="0" applyAlignment="1">
      <alignment vertical="center"/>
    </xf>
    <xf numFmtId="14" fontId="16" fillId="0" borderId="0" xfId="0" applyNumberFormat="1" applyFont="1" applyAlignment="1">
      <alignment horizontal="center" vertical="center"/>
    </xf>
    <xf numFmtId="0" fontId="12" fillId="0" borderId="0" xfId="0" applyFont="1" applyAlignment="1">
      <alignment horizontal="center"/>
    </xf>
    <xf numFmtId="164" fontId="16" fillId="0" borderId="0" xfId="0" applyNumberFormat="1" applyFont="1" applyAlignment="1">
      <alignment horizontal="center" vertical="center"/>
    </xf>
    <xf numFmtId="164" fontId="16" fillId="0" borderId="0" xfId="0" applyNumberFormat="1" applyFont="1" applyAlignment="1">
      <alignment vertical="center"/>
    </xf>
    <xf numFmtId="0" fontId="15" fillId="0" borderId="32" xfId="0" applyFont="1" applyBorder="1" applyAlignment="1">
      <alignment vertical="center" wrapText="1"/>
    </xf>
    <xf numFmtId="0" fontId="11" fillId="0" borderId="32" xfId="0" applyFont="1" applyBorder="1" applyAlignment="1">
      <alignment horizontal="center" vertical="center" wrapText="1"/>
    </xf>
    <xf numFmtId="0" fontId="15" fillId="0" borderId="32" xfId="0" applyFont="1" applyBorder="1" applyAlignment="1">
      <alignment horizontal="center" vertical="center" wrapText="1"/>
    </xf>
    <xf numFmtId="0" fontId="0" fillId="0" borderId="0" xfId="0" applyAlignment="1">
      <alignment horizontal="right" vertical="center"/>
    </xf>
    <xf numFmtId="0" fontId="15" fillId="0" borderId="0" xfId="0" applyFont="1" applyAlignment="1">
      <alignment horizontal="center" vertical="center"/>
    </xf>
    <xf numFmtId="0" fontId="15" fillId="0" borderId="0" xfId="0" applyFont="1"/>
    <xf numFmtId="0" fontId="17" fillId="0" borderId="0" xfId="0" applyFont="1" applyAlignment="1">
      <alignment horizontal="left" vertical="center" indent="15"/>
    </xf>
    <xf numFmtId="0" fontId="20" fillId="0" borderId="26" xfId="0" applyFont="1" applyBorder="1" applyAlignment="1">
      <alignment horizontal="center" vertical="center" wrapText="1"/>
    </xf>
    <xf numFmtId="0" fontId="20" fillId="0" borderId="24" xfId="0" applyFont="1" applyBorder="1" applyAlignment="1">
      <alignment horizontal="center" vertical="center" wrapText="1"/>
    </xf>
    <xf numFmtId="0" fontId="20" fillId="0" borderId="29" xfId="0" applyFont="1" applyBorder="1" applyAlignment="1">
      <alignment horizontal="center" vertical="center" wrapText="1"/>
    </xf>
    <xf numFmtId="0" fontId="20" fillId="0" borderId="24" xfId="0" applyFont="1" applyBorder="1" applyAlignment="1">
      <alignment horizontal="justify" vertical="center" wrapText="1"/>
    </xf>
    <xf numFmtId="0" fontId="21" fillId="0" borderId="24" xfId="0" applyFont="1" applyBorder="1" applyAlignment="1">
      <alignment vertical="center" wrapText="1"/>
    </xf>
    <xf numFmtId="0" fontId="20" fillId="0" borderId="24" xfId="0" applyFont="1" applyBorder="1" applyAlignment="1">
      <alignment vertical="center" wrapText="1"/>
    </xf>
    <xf numFmtId="0" fontId="20" fillId="0" borderId="26" xfId="0" applyFont="1" applyBorder="1" applyAlignment="1">
      <alignment vertical="center" wrapText="1"/>
    </xf>
    <xf numFmtId="14" fontId="20" fillId="0" borderId="24" xfId="0" applyNumberFormat="1" applyFont="1" applyBorder="1" applyAlignment="1">
      <alignment horizontal="center" vertical="center" wrapText="1"/>
    </xf>
    <xf numFmtId="0" fontId="13" fillId="0" borderId="24" xfId="0" applyFont="1" applyBorder="1" applyAlignment="1">
      <alignment vertical="center" wrapText="1"/>
    </xf>
    <xf numFmtId="14" fontId="20" fillId="0" borderId="24" xfId="0" applyNumberFormat="1" applyFont="1" applyBorder="1" applyAlignment="1">
      <alignment horizontal="justify" vertical="center" wrapText="1"/>
    </xf>
    <xf numFmtId="0" fontId="22" fillId="0" borderId="24" xfId="0" applyFont="1" applyBorder="1" applyAlignment="1">
      <alignment vertical="center" wrapText="1"/>
    </xf>
    <xf numFmtId="14" fontId="19" fillId="0" borderId="24" xfId="0" applyNumberFormat="1" applyFont="1" applyBorder="1" applyAlignment="1">
      <alignment horizontal="justify" vertical="center" wrapText="1"/>
    </xf>
    <xf numFmtId="0" fontId="14" fillId="0" borderId="24" xfId="0" applyFont="1" applyBorder="1" applyAlignment="1">
      <alignment vertical="center" wrapText="1"/>
    </xf>
    <xf numFmtId="0" fontId="20" fillId="0" borderId="29" xfId="0" applyFont="1" applyBorder="1" applyAlignment="1">
      <alignment horizontal="justify" vertical="center" wrapText="1"/>
    </xf>
    <xf numFmtId="0" fontId="23" fillId="0" borderId="24" xfId="0" applyFont="1" applyBorder="1" applyAlignment="1">
      <alignment vertical="center" wrapText="1"/>
    </xf>
    <xf numFmtId="0" fontId="19" fillId="0" borderId="0" xfId="0" applyFont="1" applyAlignment="1">
      <alignment vertical="center"/>
    </xf>
    <xf numFmtId="0" fontId="19" fillId="0" borderId="0" xfId="0" applyFont="1" applyAlignment="1">
      <alignment horizontal="left" vertical="center" indent="15"/>
    </xf>
    <xf numFmtId="0" fontId="13" fillId="0" borderId="24" xfId="0" applyFont="1" applyBorder="1" applyAlignment="1">
      <alignment horizontal="center" vertical="center" wrapText="1"/>
    </xf>
    <xf numFmtId="0" fontId="19" fillId="0" borderId="0" xfId="0" applyFont="1" applyAlignment="1">
      <alignment horizontal="justify" vertical="center"/>
    </xf>
    <xf numFmtId="0" fontId="17" fillId="0" borderId="0" xfId="0" applyFont="1" applyAlignment="1">
      <alignment vertical="center"/>
    </xf>
    <xf numFmtId="0" fontId="18" fillId="0" borderId="0" xfId="0" applyFont="1" applyAlignment="1">
      <alignment vertical="center"/>
    </xf>
    <xf numFmtId="0" fontId="26" fillId="0" borderId="24" xfId="0" applyFont="1" applyBorder="1" applyAlignment="1">
      <alignment vertical="center" wrapText="1"/>
    </xf>
    <xf numFmtId="0" fontId="27" fillId="0" borderId="24" xfId="0" applyFont="1" applyBorder="1" applyAlignment="1">
      <alignment horizontal="center" vertical="center" wrapText="1"/>
    </xf>
    <xf numFmtId="0" fontId="29" fillId="0" borderId="24" xfId="0" applyFont="1" applyBorder="1" applyAlignment="1">
      <alignment horizontal="center" vertical="center" wrapText="1"/>
    </xf>
    <xf numFmtId="0" fontId="21" fillId="0" borderId="24" xfId="0" applyFont="1" applyBorder="1" applyAlignment="1">
      <alignment horizontal="center" vertical="center" wrapText="1"/>
    </xf>
    <xf numFmtId="0" fontId="20" fillId="0" borderId="29" xfId="0" applyFont="1" applyBorder="1" applyAlignment="1">
      <alignment vertical="center" wrapText="1"/>
    </xf>
    <xf numFmtId="0" fontId="21" fillId="0" borderId="24" xfId="0" applyFont="1" applyBorder="1" applyAlignment="1">
      <alignment horizontal="justify" vertical="center" wrapText="1"/>
    </xf>
    <xf numFmtId="0" fontId="26" fillId="0" borderId="24" xfId="0" applyFont="1" applyBorder="1" applyAlignment="1">
      <alignment horizontal="justify" vertical="center" wrapText="1"/>
    </xf>
    <xf numFmtId="0" fontId="13" fillId="0" borderId="26" xfId="0" applyFont="1" applyBorder="1" applyAlignment="1">
      <alignment vertical="center" wrapText="1"/>
    </xf>
    <xf numFmtId="0" fontId="13" fillId="0" borderId="24" xfId="0" applyFont="1" applyBorder="1" applyAlignment="1">
      <alignment horizontal="justify" vertical="center" wrapText="1"/>
    </xf>
    <xf numFmtId="0" fontId="27" fillId="0" borderId="24" xfId="0" applyFont="1" applyBorder="1" applyAlignment="1">
      <alignment horizontal="justify" vertical="center" wrapText="1"/>
    </xf>
    <xf numFmtId="0" fontId="14" fillId="0" borderId="24" xfId="0" applyFont="1" applyBorder="1" applyAlignment="1">
      <alignment horizontal="justify" vertical="center" wrapText="1"/>
    </xf>
    <xf numFmtId="14" fontId="20" fillId="0" borderId="24" xfId="0" applyNumberFormat="1" applyFont="1" applyBorder="1" applyAlignment="1">
      <alignment vertical="center" wrapText="1"/>
    </xf>
    <xf numFmtId="0" fontId="28" fillId="0" borderId="24" xfId="0" applyFont="1" applyBorder="1" applyAlignment="1">
      <alignment horizontal="center" vertical="center" wrapText="1"/>
    </xf>
    <xf numFmtId="0" fontId="26" fillId="0" borderId="24" xfId="0" applyFont="1" applyBorder="1" applyAlignment="1">
      <alignment horizontal="center" vertical="center" wrapText="1"/>
    </xf>
    <xf numFmtId="0" fontId="30" fillId="0" borderId="24" xfId="0" applyFont="1" applyBorder="1" applyAlignment="1">
      <alignment horizontal="center" vertical="center" wrapText="1"/>
    </xf>
    <xf numFmtId="0" fontId="6" fillId="0" borderId="24" xfId="0" applyFont="1" applyBorder="1" applyAlignment="1">
      <alignment horizontal="right" vertical="center" wrapText="1"/>
    </xf>
    <xf numFmtId="0" fontId="20" fillId="0" borderId="40" xfId="0" applyFont="1" applyBorder="1" applyAlignment="1">
      <alignment horizontal="center" vertical="center" wrapText="1"/>
    </xf>
    <xf numFmtId="0" fontId="20" fillId="0" borderId="25" xfId="0" applyFont="1" applyBorder="1" applyAlignment="1">
      <alignment horizontal="center" vertical="center" wrapText="1"/>
    </xf>
    <xf numFmtId="16" fontId="20" fillId="0" borderId="24" xfId="0" applyNumberFormat="1" applyFont="1" applyBorder="1" applyAlignment="1">
      <alignment vertical="center" wrapText="1"/>
    </xf>
    <xf numFmtId="0" fontId="20" fillId="0" borderId="24" xfId="0" applyFont="1" applyBorder="1" applyAlignment="1">
      <alignment horizontal="left" vertical="center" wrapText="1" indent="5"/>
    </xf>
    <xf numFmtId="0" fontId="31" fillId="0" borderId="24" xfId="0" applyFont="1" applyBorder="1" applyAlignment="1">
      <alignment horizontal="center" vertical="center" wrapText="1"/>
    </xf>
    <xf numFmtId="0" fontId="20" fillId="0" borderId="24" xfId="0" applyFont="1" applyBorder="1" applyAlignment="1">
      <alignment horizontal="right" vertical="center" wrapText="1"/>
    </xf>
    <xf numFmtId="0" fontId="6" fillId="0" borderId="24" xfId="0" applyFont="1" applyBorder="1" applyAlignment="1">
      <alignment vertical="center" wrapText="1"/>
    </xf>
    <xf numFmtId="0" fontId="6" fillId="0" borderId="24" xfId="0" applyFont="1" applyBorder="1" applyAlignment="1">
      <alignment horizontal="center" vertical="center" wrapText="1"/>
    </xf>
    <xf numFmtId="0" fontId="20" fillId="0" borderId="40" xfId="0" applyFont="1" applyBorder="1" applyAlignment="1">
      <alignment vertical="center" wrapText="1"/>
    </xf>
    <xf numFmtId="0" fontId="23" fillId="0" borderId="24" xfId="0" applyFont="1" applyBorder="1" applyAlignment="1">
      <alignment horizontal="center" vertical="center" wrapText="1"/>
    </xf>
    <xf numFmtId="14" fontId="8" fillId="0" borderId="24" xfId="0" applyNumberFormat="1" applyFont="1" applyBorder="1" applyAlignment="1">
      <alignment horizontal="center" vertical="center" wrapText="1"/>
    </xf>
    <xf numFmtId="0" fontId="25" fillId="0" borderId="0" xfId="0" applyFont="1" applyAlignment="1">
      <alignment horizontal="justify" vertical="center"/>
    </xf>
    <xf numFmtId="0" fontId="6" fillId="0" borderId="24" xfId="0" applyFont="1" applyBorder="1" applyAlignment="1">
      <alignment horizontal="justify" vertical="center" wrapText="1"/>
    </xf>
    <xf numFmtId="0" fontId="32" fillId="0" borderId="24" xfId="0" applyFont="1" applyBorder="1" applyAlignment="1">
      <alignment horizontal="center" vertical="center" wrapText="1"/>
    </xf>
    <xf numFmtId="0" fontId="20" fillId="0" borderId="36" xfId="0" applyFont="1" applyBorder="1" applyAlignment="1">
      <alignment vertical="center" wrapText="1"/>
    </xf>
    <xf numFmtId="0" fontId="20" fillId="0" borderId="34" xfId="0" applyFont="1" applyBorder="1" applyAlignment="1">
      <alignment vertical="center" wrapText="1"/>
    </xf>
    <xf numFmtId="0" fontId="20" fillId="0" borderId="28" xfId="0" applyFont="1" applyBorder="1" applyAlignment="1">
      <alignment vertical="center" wrapText="1"/>
    </xf>
    <xf numFmtId="0" fontId="20" fillId="0" borderId="30" xfId="0" applyFont="1" applyBorder="1" applyAlignment="1">
      <alignment vertical="center" wrapText="1"/>
    </xf>
    <xf numFmtId="0" fontId="20" fillId="0" borderId="41" xfId="0" applyFont="1" applyBorder="1" applyAlignment="1">
      <alignment vertical="center" wrapText="1"/>
    </xf>
    <xf numFmtId="0" fontId="20" fillId="0" borderId="43" xfId="0" applyFont="1" applyBorder="1" applyAlignment="1">
      <alignment vertical="center" wrapText="1"/>
    </xf>
    <xf numFmtId="0" fontId="20" fillId="0" borderId="31" xfId="0" applyFont="1" applyBorder="1" applyAlignment="1">
      <alignment vertical="center" wrapText="1"/>
    </xf>
    <xf numFmtId="0" fontId="20" fillId="0" borderId="42" xfId="0" applyFont="1" applyBorder="1" applyAlignment="1">
      <alignment vertical="center" wrapText="1"/>
    </xf>
    <xf numFmtId="0" fontId="20" fillId="0" borderId="44" xfId="0" applyFont="1" applyBorder="1" applyAlignment="1">
      <alignment vertical="center" wrapText="1"/>
    </xf>
    <xf numFmtId="0" fontId="20" fillId="0" borderId="37" xfId="0" applyFont="1" applyBorder="1" applyAlignment="1">
      <alignment vertical="center" wrapText="1"/>
    </xf>
    <xf numFmtId="0" fontId="20" fillId="0" borderId="39" xfId="0" applyFont="1" applyBorder="1" applyAlignment="1">
      <alignment vertical="center" wrapText="1"/>
    </xf>
    <xf numFmtId="0" fontId="20" fillId="0" borderId="38" xfId="0" applyFont="1" applyBorder="1" applyAlignment="1">
      <alignment vertical="center" wrapText="1"/>
    </xf>
    <xf numFmtId="0" fontId="20" fillId="0" borderId="33" xfId="0" applyFont="1" applyBorder="1" applyAlignment="1">
      <alignment vertical="center" wrapText="1"/>
    </xf>
    <xf numFmtId="0" fontId="20" fillId="0" borderId="35" xfId="0" applyFont="1" applyBorder="1" applyAlignment="1">
      <alignment vertical="center" wrapText="1"/>
    </xf>
    <xf numFmtId="14" fontId="20" fillId="0" borderId="28" xfId="0" applyNumberFormat="1" applyFont="1" applyBorder="1" applyAlignment="1">
      <alignment vertical="center" wrapText="1"/>
    </xf>
    <xf numFmtId="14" fontId="20" fillId="0" borderId="29" xfId="0" applyNumberFormat="1" applyFont="1" applyBorder="1" applyAlignment="1">
      <alignment vertical="center" wrapText="1"/>
    </xf>
    <xf numFmtId="0" fontId="6" fillId="0" borderId="28" xfId="0" applyFont="1" applyBorder="1" applyAlignment="1">
      <alignment vertical="center" wrapText="1"/>
    </xf>
    <xf numFmtId="0" fontId="6" fillId="0" borderId="29" xfId="0" applyFont="1" applyBorder="1" applyAlignment="1">
      <alignment vertical="center" wrapText="1"/>
    </xf>
    <xf numFmtId="0" fontId="0" fillId="0" borderId="0" xfId="0" applyAlignment="1">
      <alignment horizontal="center" vertical="center"/>
    </xf>
    <xf numFmtId="0" fontId="15" fillId="0" borderId="0" xfId="0" applyFont="1" applyAlignment="1">
      <alignment horizontal="center"/>
    </xf>
    <xf numFmtId="0" fontId="15" fillId="0" borderId="32" xfId="0" applyFont="1" applyBorder="1" applyAlignment="1">
      <alignment horizontal="center" vertical="center"/>
    </xf>
    <xf numFmtId="0" fontId="11" fillId="0" borderId="32" xfId="0" applyFont="1" applyBorder="1" applyAlignment="1">
      <alignment horizontal="justify" vertical="center" wrapText="1"/>
    </xf>
    <xf numFmtId="0" fontId="11" fillId="0" borderId="32" xfId="0" applyFont="1" applyBorder="1" applyAlignment="1">
      <alignment vertical="center" wrapText="1"/>
    </xf>
    <xf numFmtId="0" fontId="33" fillId="0" borderId="32" xfId="0" applyFont="1" applyBorder="1" applyAlignment="1">
      <alignment horizontal="center" vertical="center" wrapText="1"/>
    </xf>
    <xf numFmtId="14" fontId="15" fillId="0" borderId="32" xfId="0" applyNumberFormat="1" applyFont="1" applyBorder="1" applyAlignment="1">
      <alignment horizontal="center" vertical="center" wrapText="1"/>
    </xf>
    <xf numFmtId="20" fontId="15" fillId="0" borderId="32" xfId="0" applyNumberFormat="1" applyFont="1" applyBorder="1" applyAlignment="1">
      <alignment horizontal="center" vertical="center" wrapText="1"/>
    </xf>
    <xf numFmtId="14" fontId="15" fillId="0" borderId="32" xfId="0" applyNumberFormat="1" applyFont="1" applyBorder="1" applyAlignment="1">
      <alignment vertical="center" wrapText="1"/>
    </xf>
    <xf numFmtId="16" fontId="15" fillId="0" borderId="32" xfId="0" applyNumberFormat="1" applyFont="1" applyBorder="1" applyAlignment="1">
      <alignment horizontal="center" vertical="center" wrapText="1"/>
    </xf>
    <xf numFmtId="17" fontId="15" fillId="0" borderId="32" xfId="0" applyNumberFormat="1" applyFont="1" applyBorder="1" applyAlignment="1">
      <alignment horizontal="center" vertical="center" wrapText="1"/>
    </xf>
    <xf numFmtId="0" fontId="15" fillId="0" borderId="32" xfId="0" applyFont="1" applyBorder="1" applyAlignment="1">
      <alignment vertical="center"/>
    </xf>
    <xf numFmtId="0" fontId="15" fillId="0" borderId="32" xfId="0" applyFont="1" applyBorder="1" applyAlignment="1">
      <alignment horizontal="center"/>
    </xf>
    <xf numFmtId="0" fontId="15" fillId="0" borderId="32" xfId="0" applyFont="1" applyBorder="1" applyAlignment="1">
      <alignment horizontal="right" vertical="center" wrapText="1"/>
    </xf>
    <xf numFmtId="0" fontId="34" fillId="0" borderId="32" xfId="0" applyFont="1" applyBorder="1" applyAlignment="1">
      <alignment horizontal="center" vertical="center" wrapText="1"/>
    </xf>
    <xf numFmtId="0" fontId="33" fillId="0" borderId="32" xfId="0" applyFont="1" applyBorder="1" applyAlignment="1">
      <alignment horizontal="right" vertical="center"/>
    </xf>
    <xf numFmtId="0" fontId="33" fillId="0" borderId="32" xfId="0" applyFont="1" applyBorder="1" applyAlignment="1">
      <alignment vertical="center"/>
    </xf>
    <xf numFmtId="0" fontId="33" fillId="0" borderId="32" xfId="0" applyFont="1" applyBorder="1" applyAlignment="1">
      <alignment horizontal="center" vertical="center"/>
    </xf>
    <xf numFmtId="0" fontId="11" fillId="0" borderId="32" xfId="0" applyFont="1" applyBorder="1" applyAlignment="1">
      <alignment horizontal="right" vertical="center" wrapText="1"/>
    </xf>
    <xf numFmtId="0" fontId="35" fillId="0" borderId="32" xfId="0" applyFont="1" applyBorder="1" applyAlignment="1">
      <alignment horizontal="center" vertical="center"/>
    </xf>
    <xf numFmtId="0" fontId="15" fillId="0" borderId="32" xfId="0" applyFont="1" applyBorder="1" applyAlignment="1">
      <alignment horizontal="justify" vertical="center" wrapText="1"/>
    </xf>
    <xf numFmtId="14" fontId="15" fillId="0" borderId="32" xfId="0" applyNumberFormat="1" applyFont="1" applyBorder="1" applyAlignment="1">
      <alignment horizontal="justify" vertical="center" wrapText="1"/>
    </xf>
    <xf numFmtId="0" fontId="15" fillId="0" borderId="32" xfId="0" applyFont="1" applyBorder="1" applyAlignment="1">
      <alignment horizontal="left" vertical="center" wrapText="1"/>
    </xf>
    <xf numFmtId="0" fontId="33" fillId="0" borderId="32" xfId="0" applyFont="1" applyBorder="1" applyAlignment="1">
      <alignment horizontal="left" vertical="center" wrapText="1"/>
    </xf>
    <xf numFmtId="0" fontId="0" fillId="0" borderId="0" xfId="0" applyAlignment="1">
      <alignment horizontal="left"/>
    </xf>
    <xf numFmtId="0" fontId="11" fillId="0" borderId="32" xfId="0" applyFont="1" applyBorder="1" applyAlignment="1">
      <alignment vertical="center"/>
    </xf>
    <xf numFmtId="0" fontId="11" fillId="0" borderId="32" xfId="0" applyFont="1" applyBorder="1" applyAlignment="1">
      <alignment horizontal="center" vertical="center"/>
    </xf>
    <xf numFmtId="0" fontId="35" fillId="0" borderId="32" xfId="0" applyFont="1" applyBorder="1" applyAlignment="1">
      <alignment vertical="center"/>
    </xf>
    <xf numFmtId="0" fontId="15" fillId="0" borderId="32" xfId="0" applyFont="1" applyBorder="1" applyAlignment="1">
      <alignment horizontal="justify" vertical="center"/>
    </xf>
    <xf numFmtId="0" fontId="15" fillId="0" borderId="32" xfId="0" applyFont="1" applyBorder="1"/>
    <xf numFmtId="3" fontId="15" fillId="0" borderId="32" xfId="0" applyNumberFormat="1" applyFont="1" applyBorder="1" applyAlignment="1">
      <alignment horizontal="right" vertical="center" wrapText="1"/>
    </xf>
    <xf numFmtId="0" fontId="15" fillId="0" borderId="0" xfId="0" applyFont="1" applyAlignment="1">
      <alignment horizontal="right" vertical="center"/>
    </xf>
    <xf numFmtId="0" fontId="15" fillId="0" borderId="0" xfId="0" applyFont="1" applyAlignment="1">
      <alignment horizontal="right"/>
    </xf>
    <xf numFmtId="0" fontId="36" fillId="0" borderId="32" xfId="0" applyFont="1" applyBorder="1" applyAlignment="1">
      <alignment vertical="center" wrapText="1"/>
    </xf>
    <xf numFmtId="0" fontId="36" fillId="0" borderId="32" xfId="0" applyFont="1" applyBorder="1" applyAlignment="1">
      <alignment horizontal="right" vertical="center" wrapText="1"/>
    </xf>
    <xf numFmtId="0" fontId="36" fillId="0" borderId="32" xfId="0" applyFont="1" applyBorder="1" applyAlignment="1">
      <alignment horizontal="center" vertical="center" wrapText="1"/>
    </xf>
    <xf numFmtId="0" fontId="37" fillId="0" borderId="32" xfId="0" applyFont="1" applyBorder="1" applyAlignment="1">
      <alignment vertical="center" wrapText="1"/>
    </xf>
    <xf numFmtId="14" fontId="37" fillId="0" borderId="32" xfId="0" applyNumberFormat="1" applyFont="1" applyBorder="1" applyAlignment="1">
      <alignment horizontal="center" vertical="center" wrapText="1"/>
    </xf>
    <xf numFmtId="164" fontId="37" fillId="0" borderId="32" xfId="0" applyNumberFormat="1" applyFont="1" applyBorder="1" applyAlignment="1">
      <alignment horizontal="center" vertical="center" wrapText="1"/>
    </xf>
    <xf numFmtId="0" fontId="37" fillId="0" borderId="32" xfId="0" applyFont="1" applyBorder="1" applyAlignment="1">
      <alignment horizontal="center" vertical="center" wrapText="1"/>
    </xf>
    <xf numFmtId="0" fontId="37" fillId="0" borderId="32" xfId="0" applyFont="1" applyBorder="1" applyAlignment="1">
      <alignment horizontal="right" vertical="center" wrapText="1"/>
    </xf>
    <xf numFmtId="3" fontId="37" fillId="0" borderId="32" xfId="0" applyNumberFormat="1" applyFont="1" applyBorder="1" applyAlignment="1">
      <alignment horizontal="right" vertical="center" wrapText="1"/>
    </xf>
    <xf numFmtId="0" fontId="37" fillId="0" borderId="32" xfId="0" applyFont="1" applyBorder="1" applyAlignment="1">
      <alignment horizontal="justify" vertical="center" wrapText="1"/>
    </xf>
    <xf numFmtId="164" fontId="37" fillId="0" borderId="32" xfId="0" applyNumberFormat="1" applyFont="1" applyBorder="1" applyAlignment="1">
      <alignment vertical="center" wrapText="1"/>
    </xf>
    <xf numFmtId="0" fontId="15" fillId="0" borderId="45" xfId="0" applyFont="1" applyBorder="1" applyAlignment="1">
      <alignment horizontal="center" vertical="center" wrapText="1"/>
    </xf>
    <xf numFmtId="0" fontId="15" fillId="0" borderId="45" xfId="0" applyFont="1" applyBorder="1" applyAlignment="1">
      <alignment vertical="center" wrapText="1"/>
    </xf>
    <xf numFmtId="0" fontId="15" fillId="0" borderId="46" xfId="0" applyFont="1" applyBorder="1" applyAlignment="1">
      <alignment horizontal="center" vertical="center" wrapText="1"/>
    </xf>
    <xf numFmtId="0" fontId="15" fillId="0" borderId="47" xfId="0" applyFont="1" applyBorder="1" applyAlignment="1">
      <alignment horizontal="center" vertical="center" wrapText="1"/>
    </xf>
    <xf numFmtId="0" fontId="15" fillId="0" borderId="48" xfId="0" applyFont="1" applyBorder="1" applyAlignment="1">
      <alignment horizontal="justify" vertical="center" wrapText="1"/>
    </xf>
    <xf numFmtId="0" fontId="15" fillId="0" borderId="48" xfId="0" applyFont="1" applyBorder="1" applyAlignment="1">
      <alignment horizontal="center" vertical="center" wrapText="1"/>
    </xf>
    <xf numFmtId="0" fontId="15" fillId="0" borderId="48" xfId="0" applyFont="1" applyBorder="1" applyAlignment="1">
      <alignment horizontal="left" vertical="center" wrapText="1"/>
    </xf>
    <xf numFmtId="0" fontId="15" fillId="0" borderId="49" xfId="0" applyFont="1" applyBorder="1" applyAlignment="1">
      <alignment horizontal="center" vertical="center" wrapText="1"/>
    </xf>
    <xf numFmtId="0" fontId="15" fillId="0" borderId="50" xfId="0" applyFont="1" applyBorder="1" applyAlignment="1">
      <alignment horizontal="center" vertical="center" wrapText="1"/>
    </xf>
    <xf numFmtId="0" fontId="15" fillId="0" borderId="51" xfId="0" applyFont="1" applyBorder="1" applyAlignment="1">
      <alignment horizontal="center" vertical="center" wrapText="1"/>
    </xf>
    <xf numFmtId="20" fontId="15" fillId="0" borderId="51" xfId="0" applyNumberFormat="1" applyFont="1" applyBorder="1" applyAlignment="1">
      <alignment horizontal="center" vertical="center" wrapText="1"/>
    </xf>
    <xf numFmtId="0" fontId="15" fillId="0" borderId="51" xfId="0" applyFont="1" applyBorder="1" applyAlignment="1">
      <alignment horizontal="left" vertical="center" wrapText="1"/>
    </xf>
    <xf numFmtId="0" fontId="15" fillId="0" borderId="52" xfId="0" applyFont="1" applyBorder="1" applyAlignment="1">
      <alignment horizontal="center" vertical="center" wrapText="1"/>
    </xf>
    <xf numFmtId="14" fontId="15" fillId="0" borderId="48" xfId="0" applyNumberFormat="1" applyFont="1" applyBorder="1" applyAlignment="1">
      <alignment horizontal="center" vertical="center" wrapText="1"/>
    </xf>
    <xf numFmtId="14" fontId="15" fillId="0" borderId="51" xfId="0" applyNumberFormat="1" applyFont="1" applyBorder="1" applyAlignment="1">
      <alignment horizontal="center" vertical="center" wrapText="1"/>
    </xf>
    <xf numFmtId="14" fontId="0" fillId="0" borderId="0" xfId="0" applyNumberFormat="1" applyAlignment="1">
      <alignment horizontal="center" vertical="center"/>
    </xf>
    <xf numFmtId="3" fontId="15" fillId="0" borderId="32" xfId="0" applyNumberFormat="1" applyFont="1" applyBorder="1" applyAlignment="1">
      <alignment horizontal="center" vertical="center" wrapText="1"/>
    </xf>
    <xf numFmtId="20" fontId="15" fillId="0" borderId="32" xfId="0" applyNumberFormat="1" applyFont="1" applyBorder="1" applyAlignment="1">
      <alignment vertical="center" wrapText="1"/>
    </xf>
    <xf numFmtId="0" fontId="16" fillId="0" borderId="0" xfId="0" applyFont="1"/>
    <xf numFmtId="0" fontId="16" fillId="0" borderId="0" xfId="0" applyFont="1" applyAlignment="1">
      <alignment horizontal="center" vertical="center"/>
    </xf>
    <xf numFmtId="0" fontId="16" fillId="0" borderId="45" xfId="0" applyFont="1" applyBorder="1" applyAlignment="1">
      <alignment horizontal="center" vertical="center"/>
    </xf>
    <xf numFmtId="0" fontId="16" fillId="0" borderId="32" xfId="0" applyFont="1" applyBorder="1"/>
    <xf numFmtId="0" fontId="16" fillId="0" borderId="50" xfId="0" applyFont="1" applyBorder="1" applyAlignment="1">
      <alignment horizontal="center" vertical="center"/>
    </xf>
    <xf numFmtId="0" fontId="16" fillId="0" borderId="51" xfId="0" applyFont="1" applyBorder="1"/>
    <xf numFmtId="0" fontId="16" fillId="0" borderId="51" xfId="0" applyFont="1" applyBorder="1" applyAlignment="1">
      <alignment horizontal="center" vertical="center"/>
    </xf>
    <xf numFmtId="0" fontId="16" fillId="0" borderId="46" xfId="0" applyFont="1" applyBorder="1" applyAlignment="1">
      <alignment horizontal="center" vertical="center"/>
    </xf>
    <xf numFmtId="0" fontId="16" fillId="0" borderId="52" xfId="0" applyFont="1" applyBorder="1" applyAlignment="1">
      <alignment horizontal="center" vertical="center"/>
    </xf>
    <xf numFmtId="0" fontId="16" fillId="0" borderId="32" xfId="0" applyFont="1" applyBorder="1" applyAlignment="1">
      <alignment horizontal="center"/>
    </xf>
    <xf numFmtId="0" fontId="16" fillId="0" borderId="47" xfId="0" applyFont="1" applyBorder="1" applyAlignment="1">
      <alignment horizontal="center" vertical="center" wrapText="1"/>
    </xf>
    <xf numFmtId="0" fontId="16" fillId="0" borderId="48" xfId="0" applyFont="1" applyBorder="1" applyAlignment="1">
      <alignment horizontal="center" vertical="center" wrapText="1"/>
    </xf>
    <xf numFmtId="0" fontId="16" fillId="0" borderId="49" xfId="0" applyFont="1" applyBorder="1" applyAlignment="1">
      <alignment horizontal="center" vertical="center" wrapText="1"/>
    </xf>
    <xf numFmtId="0" fontId="15" fillId="0" borderId="0" xfId="0" applyFont="1" applyAlignment="1">
      <alignment horizontal="left"/>
    </xf>
    <xf numFmtId="0" fontId="15" fillId="0" borderId="32" xfId="0" applyFont="1" applyBorder="1" applyAlignment="1">
      <alignment vertical="top" wrapText="1"/>
    </xf>
    <xf numFmtId="0" fontId="15" fillId="0" borderId="32" xfId="0" applyFont="1" applyBorder="1" applyAlignment="1">
      <alignment horizontal="left"/>
    </xf>
    <xf numFmtId="3" fontId="15" fillId="0" borderId="32" xfId="0" applyNumberFormat="1" applyFont="1" applyBorder="1" applyAlignment="1">
      <alignment vertical="center" wrapText="1"/>
    </xf>
    <xf numFmtId="3" fontId="15" fillId="0" borderId="32" xfId="0" applyNumberFormat="1" applyFont="1" applyBorder="1" applyAlignment="1">
      <alignment horizontal="justify" vertical="center" wrapText="1"/>
    </xf>
    <xf numFmtId="0" fontId="0" fillId="0" borderId="0" xfId="0" applyAlignment="1">
      <alignment horizontal="center"/>
    </xf>
    <xf numFmtId="0" fontId="11" fillId="0" borderId="32" xfId="0" applyFont="1" applyBorder="1" applyAlignment="1">
      <alignment horizontal="left" vertical="center" wrapText="1"/>
    </xf>
    <xf numFmtId="0" fontId="11" fillId="0" borderId="0" xfId="0" applyFont="1"/>
    <xf numFmtId="3" fontId="15" fillId="0" borderId="32" xfId="0" applyNumberFormat="1" applyFont="1" applyBorder="1" applyAlignment="1">
      <alignment horizontal="left" vertical="center" wrapText="1"/>
    </xf>
    <xf numFmtId="0" fontId="16" fillId="0" borderId="46" xfId="0" applyFont="1" applyBorder="1" applyAlignment="1">
      <alignment horizontal="center"/>
    </xf>
    <xf numFmtId="14" fontId="11" fillId="0" borderId="32" xfId="0" applyNumberFormat="1" applyFont="1" applyBorder="1" applyAlignment="1">
      <alignment horizontal="center" vertical="center" wrapText="1"/>
    </xf>
    <xf numFmtId="14" fontId="15" fillId="0" borderId="32" xfId="0" applyNumberFormat="1" applyFont="1" applyBorder="1"/>
    <xf numFmtId="14" fontId="15" fillId="0" borderId="32" xfId="0" applyNumberFormat="1" applyFont="1" applyBorder="1" applyAlignment="1">
      <alignment vertical="center"/>
    </xf>
    <xf numFmtId="20" fontId="15" fillId="0" borderId="32" xfId="0" applyNumberFormat="1" applyFont="1" applyBorder="1" applyAlignment="1">
      <alignment vertical="center"/>
    </xf>
    <xf numFmtId="0" fontId="0" fillId="0" borderId="0" xfId="0" applyAlignment="1">
      <alignment wrapText="1"/>
    </xf>
    <xf numFmtId="0" fontId="11" fillId="0" borderId="53" xfId="0" applyFont="1" applyBorder="1" applyAlignment="1">
      <alignment horizontal="center" vertical="center" wrapText="1"/>
    </xf>
    <xf numFmtId="0" fontId="11" fillId="0" borderId="45" xfId="0" applyFont="1" applyBorder="1" applyAlignment="1">
      <alignment horizontal="center" vertical="center" wrapText="1"/>
    </xf>
    <xf numFmtId="20" fontId="34" fillId="0" borderId="32" xfId="0" applyNumberFormat="1" applyFont="1" applyBorder="1" applyAlignment="1">
      <alignment horizontal="center" vertical="center" wrapText="1"/>
    </xf>
    <xf numFmtId="0" fontId="34" fillId="0" borderId="32" xfId="0" applyFont="1" applyBorder="1" applyAlignment="1">
      <alignment horizontal="justify" vertical="center" wrapText="1"/>
    </xf>
    <xf numFmtId="0" fontId="34" fillId="0" borderId="32" xfId="0" applyFont="1" applyBorder="1" applyAlignment="1">
      <alignment vertical="center" wrapText="1"/>
    </xf>
    <xf numFmtId="0" fontId="38" fillId="0" borderId="0" xfId="0" applyFont="1" applyAlignment="1">
      <alignment horizontal="center" vertical="center"/>
    </xf>
    <xf numFmtId="0" fontId="39" fillId="0" borderId="32" xfId="0" applyFont="1" applyBorder="1"/>
    <xf numFmtId="0" fontId="39" fillId="0" borderId="32" xfId="0" applyFont="1" applyBorder="1" applyAlignment="1">
      <alignment horizontal="center" vertical="center"/>
    </xf>
    <xf numFmtId="0" fontId="41" fillId="2" borderId="32" xfId="0" applyFont="1" applyFill="1" applyBorder="1" applyAlignment="1">
      <alignment horizontal="center" vertical="center"/>
    </xf>
    <xf numFmtId="0" fontId="42" fillId="2" borderId="32" xfId="0" applyFont="1" applyFill="1" applyBorder="1" applyAlignment="1">
      <alignment vertical="center"/>
    </xf>
    <xf numFmtId="0" fontId="16" fillId="0" borderId="32" xfId="0" applyFont="1" applyBorder="1" applyAlignment="1">
      <alignment horizontal="center" vertical="center"/>
    </xf>
    <xf numFmtId="0" fontId="41" fillId="0" borderId="32" xfId="0" applyFont="1" applyBorder="1" applyAlignment="1">
      <alignment horizontal="center" vertical="center"/>
    </xf>
    <xf numFmtId="0" fontId="42" fillId="0" borderId="32" xfId="0" applyFont="1" applyBorder="1" applyAlignment="1">
      <alignment vertical="center"/>
    </xf>
    <xf numFmtId="0" fontId="38" fillId="0" borderId="32" xfId="0" applyFont="1" applyBorder="1"/>
    <xf numFmtId="0" fontId="38" fillId="0" borderId="32" xfId="0" applyFont="1" applyBorder="1" applyAlignment="1">
      <alignment horizontal="center" vertical="center"/>
    </xf>
    <xf numFmtId="0" fontId="43" fillId="0" borderId="0" xfId="0" applyFont="1" applyAlignment="1">
      <alignment horizontal="center" vertical="center"/>
    </xf>
    <xf numFmtId="0" fontId="44" fillId="0" borderId="32" xfId="0" applyFont="1" applyBorder="1" applyAlignment="1">
      <alignment horizontal="center" vertical="center"/>
    </xf>
    <xf numFmtId="0" fontId="43" fillId="0" borderId="32" xfId="0" applyFont="1" applyBorder="1" applyAlignment="1">
      <alignment horizontal="center" vertical="center"/>
    </xf>
    <xf numFmtId="0" fontId="43" fillId="0" borderId="0" xfId="0" applyFont="1"/>
    <xf numFmtId="0" fontId="15" fillId="0" borderId="32" xfId="0" applyFont="1" applyBorder="1" applyAlignment="1">
      <alignment wrapText="1"/>
    </xf>
    <xf numFmtId="14" fontId="15" fillId="0" borderId="32" xfId="0" applyNumberFormat="1" applyFont="1" applyBorder="1" applyAlignment="1">
      <alignment horizontal="center" vertical="center"/>
    </xf>
    <xf numFmtId="0" fontId="46" fillId="3" borderId="32" xfId="0" applyFont="1" applyFill="1" applyBorder="1" applyAlignment="1">
      <alignment horizontal="center" vertical="center" wrapText="1"/>
    </xf>
    <xf numFmtId="0" fontId="46" fillId="3" borderId="46" xfId="0" applyFont="1" applyFill="1" applyBorder="1" applyAlignment="1">
      <alignment horizontal="center" vertical="center" wrapText="1"/>
    </xf>
    <xf numFmtId="0" fontId="11" fillId="0" borderId="47" xfId="0" applyFont="1" applyBorder="1" applyAlignment="1">
      <alignment horizontal="center" vertical="center" wrapText="1"/>
    </xf>
    <xf numFmtId="0" fontId="11" fillId="0" borderId="48" xfId="0" applyFont="1" applyBorder="1" applyAlignment="1">
      <alignment horizontal="justify" vertical="center" wrapText="1"/>
    </xf>
    <xf numFmtId="0" fontId="11" fillId="0" borderId="48" xfId="0" applyFont="1" applyBorder="1" applyAlignment="1">
      <alignment horizontal="center" vertical="center" wrapText="1"/>
    </xf>
    <xf numFmtId="14" fontId="11" fillId="0" borderId="48" xfId="0" applyNumberFormat="1" applyFont="1" applyBorder="1" applyAlignment="1">
      <alignment horizontal="center" vertical="center" wrapText="1"/>
    </xf>
    <xf numFmtId="0" fontId="11" fillId="0" borderId="48" xfId="0" applyFont="1" applyBorder="1" applyAlignment="1">
      <alignment horizontal="left" vertical="center" wrapText="1"/>
    </xf>
    <xf numFmtId="0" fontId="11" fillId="0" borderId="49" xfId="0" applyFont="1" applyBorder="1" applyAlignment="1">
      <alignment horizontal="center" vertical="center" wrapText="1"/>
    </xf>
    <xf numFmtId="0" fontId="47" fillId="0" borderId="45" xfId="0" applyFont="1" applyBorder="1" applyAlignment="1">
      <alignment vertical="center" wrapText="1"/>
    </xf>
    <xf numFmtId="0" fontId="47" fillId="0" borderId="32" xfId="0" applyFont="1" applyBorder="1" applyAlignment="1">
      <alignment vertical="center" wrapText="1"/>
    </xf>
    <xf numFmtId="14" fontId="47" fillId="0" borderId="32" xfId="0" applyNumberFormat="1" applyFont="1" applyBorder="1" applyAlignment="1">
      <alignment horizontal="center" vertical="center" wrapText="1"/>
    </xf>
    <xf numFmtId="20" fontId="47" fillId="0" borderId="32" xfId="0" applyNumberFormat="1" applyFont="1" applyBorder="1" applyAlignment="1">
      <alignment horizontal="center" vertical="center" wrapText="1"/>
    </xf>
    <xf numFmtId="0" fontId="47" fillId="0" borderId="32" xfId="0" applyFont="1" applyBorder="1" applyAlignment="1">
      <alignment horizontal="center" vertical="center" wrapText="1"/>
    </xf>
    <xf numFmtId="3" fontId="47" fillId="0" borderId="32" xfId="0" applyNumberFormat="1" applyFont="1" applyBorder="1" applyAlignment="1">
      <alignment horizontal="center" vertical="center" wrapText="1"/>
    </xf>
    <xf numFmtId="0" fontId="47" fillId="0" borderId="46" xfId="0" applyFont="1" applyBorder="1" applyAlignment="1">
      <alignment horizontal="center" vertical="center" wrapText="1"/>
    </xf>
    <xf numFmtId="0" fontId="48" fillId="0" borderId="32" xfId="0" applyFont="1" applyBorder="1" applyAlignment="1">
      <alignment horizontal="center" vertical="center" wrapText="1"/>
    </xf>
    <xf numFmtId="0" fontId="49" fillId="0" borderId="32" xfId="0" applyFont="1" applyBorder="1" applyAlignment="1">
      <alignment horizontal="center" vertical="center" wrapText="1"/>
    </xf>
    <xf numFmtId="0" fontId="47" fillId="0" borderId="51" xfId="0" applyFont="1" applyBorder="1" applyAlignment="1">
      <alignment vertical="center" wrapText="1"/>
    </xf>
    <xf numFmtId="0" fontId="47" fillId="0" borderId="51" xfId="0" applyFont="1" applyBorder="1" applyAlignment="1">
      <alignment horizontal="center" vertical="center" wrapText="1"/>
    </xf>
    <xf numFmtId="0" fontId="47" fillId="0" borderId="52" xfId="0" applyFont="1" applyBorder="1" applyAlignment="1">
      <alignment horizontal="center" vertical="center" wrapText="1"/>
    </xf>
    <xf numFmtId="14" fontId="15" fillId="0" borderId="32" xfId="0" applyNumberFormat="1" applyFont="1" applyBorder="1" applyAlignment="1">
      <alignment horizontal="center"/>
    </xf>
    <xf numFmtId="14" fontId="47" fillId="0" borderId="51" xfId="0" applyNumberFormat="1" applyFont="1" applyBorder="1" applyAlignment="1">
      <alignment horizontal="center" vertical="center" wrapText="1"/>
    </xf>
    <xf numFmtId="14" fontId="0" fillId="0" borderId="0" xfId="0" applyNumberFormat="1" applyAlignment="1">
      <alignment horizontal="center"/>
    </xf>
    <xf numFmtId="20" fontId="47" fillId="0" borderId="51" xfId="0" applyNumberFormat="1" applyFont="1" applyBorder="1" applyAlignment="1">
      <alignment horizontal="center" vertical="center" wrapText="1"/>
    </xf>
    <xf numFmtId="0" fontId="16" fillId="0" borderId="52" xfId="0" applyFont="1" applyBorder="1" applyAlignment="1">
      <alignment horizontal="center"/>
    </xf>
    <xf numFmtId="0" fontId="51" fillId="0" borderId="32" xfId="0" applyFont="1" applyBorder="1"/>
    <xf numFmtId="9" fontId="51" fillId="0" borderId="32" xfId="1" applyFont="1" applyBorder="1"/>
    <xf numFmtId="0" fontId="51" fillId="4" borderId="32" xfId="0" applyFont="1" applyFill="1" applyBorder="1"/>
    <xf numFmtId="0" fontId="11" fillId="0" borderId="46" xfId="0" applyFont="1" applyBorder="1" applyAlignment="1">
      <alignment horizontal="center" vertical="center" wrapText="1"/>
    </xf>
    <xf numFmtId="0" fontId="15" fillId="0" borderId="46" xfId="0" applyFont="1" applyBorder="1" applyAlignment="1">
      <alignment vertical="center" wrapText="1"/>
    </xf>
    <xf numFmtId="3" fontId="15" fillId="0" borderId="51" xfId="0" applyNumberFormat="1" applyFont="1" applyBorder="1" applyAlignment="1">
      <alignment horizontal="center" vertical="center" wrapText="1"/>
    </xf>
    <xf numFmtId="0" fontId="53" fillId="0" borderId="0" xfId="0" applyFont="1" applyAlignment="1">
      <alignment vertical="center"/>
    </xf>
    <xf numFmtId="0" fontId="53" fillId="0" borderId="0" xfId="0" applyFont="1"/>
    <xf numFmtId="0" fontId="15" fillId="0" borderId="46" xfId="0" applyFont="1" applyBorder="1" applyAlignment="1">
      <alignment wrapText="1"/>
    </xf>
    <xf numFmtId="0" fontId="15" fillId="0" borderId="45" xfId="0" applyFont="1" applyBorder="1" applyAlignment="1">
      <alignment vertical="top"/>
    </xf>
    <xf numFmtId="0" fontId="15" fillId="0" borderId="32" xfId="0" applyFont="1" applyBorder="1" applyAlignment="1">
      <alignment vertical="top"/>
    </xf>
    <xf numFmtId="14" fontId="15" fillId="0" borderId="32" xfId="0" applyNumberFormat="1" applyFont="1" applyBorder="1" applyAlignment="1">
      <alignment vertical="top"/>
    </xf>
    <xf numFmtId="20" fontId="54" fillId="0" borderId="32" xfId="0" applyNumberFormat="1" applyFont="1" applyBorder="1" applyAlignment="1">
      <alignment vertical="top"/>
    </xf>
    <xf numFmtId="20" fontId="15" fillId="0" borderId="32" xfId="0" applyNumberFormat="1" applyFont="1" applyBorder="1" applyAlignment="1">
      <alignment vertical="top"/>
    </xf>
    <xf numFmtId="0" fontId="15" fillId="0" borderId="46" xfId="0" applyFont="1" applyBorder="1" applyAlignment="1">
      <alignment vertical="top" wrapText="1"/>
    </xf>
    <xf numFmtId="0" fontId="53" fillId="0" borderId="0" xfId="0" applyFont="1" applyAlignment="1">
      <alignment vertical="center" wrapText="1"/>
    </xf>
    <xf numFmtId="0" fontId="55" fillId="0" borderId="32" xfId="0" applyFont="1" applyBorder="1" applyAlignment="1">
      <alignment horizontal="justify" vertical="center" wrapText="1"/>
    </xf>
    <xf numFmtId="0" fontId="15" fillId="0" borderId="32" xfId="0" applyFont="1" applyBorder="1" applyAlignment="1">
      <alignment horizontal="center" wrapText="1"/>
    </xf>
    <xf numFmtId="0" fontId="15" fillId="0" borderId="54" xfId="0" applyFont="1" applyBorder="1" applyAlignment="1">
      <alignment vertical="center" wrapText="1"/>
    </xf>
    <xf numFmtId="0" fontId="15" fillId="0" borderId="32" xfId="0" applyFont="1" applyBorder="1" applyAlignment="1">
      <alignment horizontal="justify" vertical="top" wrapText="1"/>
    </xf>
    <xf numFmtId="20" fontId="15" fillId="0" borderId="32" xfId="0" applyNumberFormat="1" applyFont="1" applyBorder="1" applyAlignment="1">
      <alignment horizontal="center" vertical="center"/>
    </xf>
    <xf numFmtId="20" fontId="15" fillId="0" borderId="32" xfId="0" applyNumberFormat="1" applyFont="1" applyBorder="1" applyAlignment="1">
      <alignment horizontal="center" vertical="top"/>
    </xf>
    <xf numFmtId="0" fontId="15" fillId="0" borderId="54" xfId="0" applyFont="1" applyBorder="1" applyAlignment="1">
      <alignment horizontal="center" vertical="center" wrapText="1"/>
    </xf>
    <xf numFmtId="0" fontId="15" fillId="0" borderId="0" xfId="0" applyFont="1" applyAlignment="1">
      <alignment horizontal="left" wrapText="1"/>
    </xf>
    <xf numFmtId="0" fontId="15" fillId="0" borderId="0" xfId="0" applyFont="1" applyAlignment="1">
      <alignment horizontal="left" vertical="center" wrapText="1"/>
    </xf>
    <xf numFmtId="0" fontId="15" fillId="0" borderId="0" xfId="0" applyFont="1" applyAlignment="1">
      <alignment vertical="center" wrapText="1"/>
    </xf>
    <xf numFmtId="0" fontId="15" fillId="0" borderId="0" xfId="0" applyFont="1" applyAlignment="1">
      <alignment horizontal="left" vertical="center"/>
    </xf>
    <xf numFmtId="14" fontId="15" fillId="0" borderId="0" xfId="0" applyNumberFormat="1" applyFont="1" applyAlignment="1">
      <alignment horizontal="left" vertical="center"/>
    </xf>
    <xf numFmtId="20" fontId="15" fillId="0" borderId="0" xfId="0" applyNumberFormat="1" applyFont="1" applyAlignment="1">
      <alignment horizontal="left" vertical="center"/>
    </xf>
    <xf numFmtId="0" fontId="0" fillId="0" borderId="0" xfId="0" applyAlignment="1">
      <alignment horizontal="left" vertical="center"/>
    </xf>
    <xf numFmtId="0" fontId="15" fillId="0" borderId="54" xfId="0" applyFont="1" applyBorder="1" applyAlignment="1">
      <alignment horizontal="left" vertical="center" wrapText="1"/>
    </xf>
    <xf numFmtId="0" fontId="0" fillId="0" borderId="0" xfId="0" applyAlignment="1">
      <alignment horizontal="center" vertical="top"/>
    </xf>
    <xf numFmtId="0" fontId="15" fillId="0" borderId="32" xfId="0" applyFont="1" applyBorder="1" applyAlignment="1">
      <alignment horizontal="center" vertical="top" wrapText="1"/>
    </xf>
    <xf numFmtId="0" fontId="15" fillId="0" borderId="0" xfId="0" applyFont="1" applyAlignment="1">
      <alignment horizontal="center" vertical="top" wrapText="1"/>
    </xf>
    <xf numFmtId="14" fontId="15" fillId="0" borderId="0" xfId="0" applyNumberFormat="1" applyFont="1" applyAlignment="1">
      <alignment horizontal="center" vertical="top"/>
    </xf>
    <xf numFmtId="0" fontId="15" fillId="0" borderId="0" xfId="0" applyFont="1" applyAlignment="1">
      <alignment horizontal="center" vertical="top"/>
    </xf>
    <xf numFmtId="20" fontId="15" fillId="0" borderId="0" xfId="0" applyNumberFormat="1" applyFont="1" applyAlignment="1">
      <alignment horizontal="center" vertical="top"/>
    </xf>
    <xf numFmtId="0" fontId="40" fillId="0" borderId="0" xfId="0" applyFont="1" applyAlignment="1">
      <alignment horizontal="center"/>
    </xf>
    <xf numFmtId="0" fontId="39" fillId="0" borderId="46" xfId="0" applyFont="1" applyBorder="1" applyAlignment="1">
      <alignment horizontal="center" vertical="center"/>
    </xf>
    <xf numFmtId="0" fontId="39" fillId="0" borderId="45" xfId="0" applyFont="1" applyBorder="1" applyAlignment="1">
      <alignment horizontal="center" vertical="center"/>
    </xf>
    <xf numFmtId="0" fontId="1" fillId="0" borderId="12" xfId="0" applyFont="1" applyBorder="1" applyAlignment="1">
      <alignment horizontal="center" vertical="center" wrapText="1"/>
    </xf>
    <xf numFmtId="0" fontId="1" fillId="0" borderId="5" xfId="0" applyFont="1" applyBorder="1" applyAlignment="1">
      <alignment horizontal="center" vertical="center" wrapText="1"/>
    </xf>
    <xf numFmtId="0" fontId="1" fillId="0" borderId="28"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3"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 xfId="0" applyFont="1" applyBorder="1" applyAlignment="1">
      <alignment horizontal="center" vertical="center" wrapText="1"/>
    </xf>
    <xf numFmtId="0" fontId="1" fillId="0" borderId="8" xfId="0" applyFont="1" applyBorder="1" applyAlignment="1">
      <alignment horizontal="center" vertical="center" wrapText="1"/>
    </xf>
    <xf numFmtId="0" fontId="1" fillId="0" borderId="2"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21"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5" xfId="0" applyFont="1" applyBorder="1" applyAlignment="1">
      <alignment horizontal="center" vertical="center" wrapText="1"/>
    </xf>
  </cellXfs>
  <cellStyles count="2">
    <cellStyle name="Normal" xfId="0" builtinId="0"/>
    <cellStyle name="Percent" xfId="1" builtinId="5"/>
  </cellStyles>
  <dxfs count="104">
    <dxf>
      <numFmt numFmtId="165" formatCode="\-"/>
      <fill>
        <patternFill patternType="none">
          <bgColor auto="1"/>
        </patternFill>
      </fill>
    </dxf>
    <dxf>
      <fill>
        <patternFill>
          <bgColor theme="9" tint="0.39994506668294322"/>
        </patternFill>
      </fill>
    </dxf>
    <dxf>
      <fill>
        <patternFill>
          <bgColor rgb="FFFFC000"/>
        </patternFill>
      </fill>
    </dxf>
    <dxf>
      <fill>
        <patternFill>
          <bgColor rgb="FFFFFF00"/>
        </patternFill>
      </fill>
    </dxf>
    <dxf>
      <fill>
        <patternFill>
          <bgColor rgb="FF00B0F0"/>
        </patternFill>
      </fill>
    </dxf>
    <dxf>
      <numFmt numFmtId="165" formatCode="\-"/>
    </dxf>
    <dxf>
      <fill>
        <patternFill patternType="none">
          <fgColor indexed="64"/>
          <bgColor auto="1"/>
        </patternFill>
      </fill>
      <border diagonalUp="0" diagonalDown="0" outline="0">
        <left style="thin">
          <color indexed="64"/>
        </left>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theme="1"/>
        <name val="Kokil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theme="1"/>
        <name val="Kokila"/>
        <family val="2"/>
        <scheme val="none"/>
      </font>
      <numFmt numFmtId="166" formatCode="dd/mm/yyyy"/>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theme="1"/>
        <name val="Kokil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dxf>
    <dxf>
      <border>
        <bottom style="thin">
          <color indexed="64"/>
        </bottom>
      </border>
    </dxf>
    <dxf>
      <font>
        <b/>
        <i val="0"/>
        <strike val="0"/>
        <condense val="0"/>
        <extend val="0"/>
        <outline val="0"/>
        <shadow val="0"/>
        <u val="none"/>
        <vertAlign val="baseline"/>
        <sz val="14"/>
        <color theme="1"/>
        <name val="Kokil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Kokila"/>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numFmt numFmtId="167" formatCode="hh:mm"/>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numFmt numFmtId="166"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Kokila"/>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Kokila"/>
        <family val="2"/>
        <scheme val="none"/>
      </font>
    </dxf>
    <dxf>
      <border>
        <bottom style="thin">
          <color indexed="64"/>
        </bottom>
      </border>
    </dxf>
    <dxf>
      <font>
        <b val="0"/>
        <i val="0"/>
        <strike val="0"/>
        <condense val="0"/>
        <extend val="0"/>
        <outline val="0"/>
        <shadow val="0"/>
        <u val="none"/>
        <vertAlign val="baseline"/>
        <sz val="16"/>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solidFill>
                  <a:srgbClr val="FF0000"/>
                </a:solidFill>
              </a:rPr>
              <a:t>Reason of Fire Incident</a:t>
            </a:r>
          </a:p>
        </c:rich>
      </c:tx>
      <c:overlay val="0"/>
      <c:spPr>
        <a:solidFill>
          <a:sysClr val="window" lastClr="FFFFFF"/>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4B5D-444D-B3A2-CD914D3D5F41}"/>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3D5-4986-A0B8-BD35703FB97F}"/>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3D5-4986-A0B8-BD35703FB97F}"/>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A3D5-4986-A0B8-BD35703FB97F}"/>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A3D5-4986-A0B8-BD35703FB97F}"/>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A3D5-4986-A0B8-BD35703FB97F}"/>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A3D5-4986-A0B8-BD35703FB97F}"/>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A3D5-4986-A0B8-BD35703FB97F}"/>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A3D5-4986-A0B8-BD35703FB97F}"/>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A3D5-4986-A0B8-BD35703FB97F}"/>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72B3-43B0-AD24-09E942EBCD8B}"/>
              </c:ext>
            </c:extLst>
          </c:dPt>
          <c:dLbls>
            <c:numFmt formatCode="0.00%" sourceLinked="0"/>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Sheet1!$R$26:$R$36</c:f>
              <c:strCache>
                <c:ptCount val="11"/>
                <c:pt idx="0">
                  <c:v>शॉर्ट सर्किट</c:v>
                </c:pt>
                <c:pt idx="1">
                  <c:v>गैस लीकेज</c:v>
                </c:pt>
                <c:pt idx="2">
                  <c:v>ओवर हीटिंग</c:v>
                </c:pt>
                <c:pt idx="3">
                  <c:v>आतिशबाजी</c:v>
                </c:pt>
                <c:pt idx="4">
                  <c:v>नरई जलाने से</c:v>
                </c:pt>
                <c:pt idx="5">
                  <c:v>धूम्रपान</c:v>
                </c:pt>
                <c:pt idx="6">
                  <c:v>लापरवाही</c:v>
                </c:pt>
                <c:pt idx="7">
                  <c:v>जान-बूझकर</c:v>
                </c:pt>
                <c:pt idx="8">
                  <c:v>अज्ञात</c:v>
                </c:pt>
                <c:pt idx="9">
                  <c:v>कारण अंकित नहीं है</c:v>
                </c:pt>
                <c:pt idx="10">
                  <c:v>फोरेस्ट फायर</c:v>
                </c:pt>
              </c:strCache>
            </c:strRef>
          </c:cat>
          <c:val>
            <c:numRef>
              <c:f>Sheet1!$S$26:$S$36</c:f>
              <c:numCache>
                <c:formatCode>General</c:formatCode>
                <c:ptCount val="11"/>
                <c:pt idx="0">
                  <c:v>71</c:v>
                </c:pt>
                <c:pt idx="1">
                  <c:v>8</c:v>
                </c:pt>
                <c:pt idx="2">
                  <c:v>2</c:v>
                </c:pt>
                <c:pt idx="3">
                  <c:v>1</c:v>
                </c:pt>
                <c:pt idx="4">
                  <c:v>0</c:v>
                </c:pt>
                <c:pt idx="5">
                  <c:v>88</c:v>
                </c:pt>
                <c:pt idx="6">
                  <c:v>58</c:v>
                </c:pt>
                <c:pt idx="7">
                  <c:v>0</c:v>
                </c:pt>
                <c:pt idx="8">
                  <c:v>31</c:v>
                </c:pt>
                <c:pt idx="9">
                  <c:v>105</c:v>
                </c:pt>
                <c:pt idx="10">
                  <c:v>470</c:v>
                </c:pt>
              </c:numCache>
            </c:numRef>
          </c:val>
          <c:extLst>
            <c:ext xmlns:c16="http://schemas.microsoft.com/office/drawing/2014/chart" uri="{C3380CC4-5D6E-409C-BE32-E72D297353CC}">
              <c16:uniqueId val="{00000000-4B5D-444D-B3A2-CD914D3D5F41}"/>
            </c:ext>
          </c:extLst>
        </c:ser>
        <c:dLbls>
          <c:dLblPos val="bestFit"/>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81080133712927582"/>
          <c:y val="0.20893027416516755"/>
          <c:w val="0.1810553403951542"/>
          <c:h val="0.4988580547281776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200" b="1" i="0" u="none" strike="noStrike" kern="1200" baseline="0">
              <a:solidFill>
                <a:srgbClr val="002060"/>
              </a:solidFill>
              <a:latin typeface="Kokila" panose="020B0604020202020204" pitchFamily="34" charset="0"/>
              <a:ea typeface="+mn-ea"/>
              <a:cs typeface="Kokila"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30480</xdr:colOff>
      <xdr:row>0</xdr:row>
      <xdr:rowOff>0</xdr:rowOff>
    </xdr:from>
    <xdr:to>
      <xdr:col>15</xdr:col>
      <xdr:colOff>190500</xdr:colOff>
      <xdr:row>21</xdr:row>
      <xdr:rowOff>182880</xdr:rowOff>
    </xdr:to>
    <xdr:graphicFrame macro="">
      <xdr:nvGraphicFramePr>
        <xdr:cNvPr id="4" name="Chart 3">
          <a:extLst>
            <a:ext uri="{FF2B5EF4-FFF2-40B4-BE49-F238E27FC236}">
              <a16:creationId xmlns:a16="http://schemas.microsoft.com/office/drawing/2014/main" id="{E8520135-66D4-23D4-54C0-E6C81BDC34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A03D45-BAF9-4DA9-A27E-B2A09722EB64}" name="Table2" displayName="Table2" ref="B25:O39" totalsRowCount="1" headerRowDxfId="103" dataDxfId="101" headerRowBorderDxfId="102" tableBorderDxfId="100" totalsRowBorderDxfId="99">
  <autoFilter ref="B25:O38" xr:uid="{11A03D45-BAF9-4DA9-A27E-B2A09722EB64}"/>
  <tableColumns count="14">
    <tableColumn id="1" xr3:uid="{322F115C-AC47-431F-91FA-A6EB5BB705D0}" name="क्र0 सं0" totalsRowLabel="Total" dataDxfId="98" totalsRowDxfId="97"/>
    <tableColumn id="2" xr3:uid="{F1CF2349-19AD-49A9-8E1A-30B0B85F876D}" name="जनपद" dataDxfId="96" totalsRowDxfId="95"/>
    <tableColumn id="3" xr3:uid="{108830EA-5E5C-474E-8D05-58474CFD323C}" name="शॉर्ट सर्किट" totalsRowFunction="sum" dataDxfId="94" totalsRowDxfId="93">
      <calculatedColumnFormula>COUNTIFS(Table1[जनपद],Table2[[#This Row],[जनपद]],Table1[कारण],Table2[[#Headers],[शॉर्ट सर्किट]])</calculatedColumnFormula>
    </tableColumn>
    <tableColumn id="10" xr3:uid="{68DF062D-1E54-43D3-94AE-8B337F558D41}" name="गैस लीकेज" totalsRowFunction="sum" dataDxfId="92" totalsRowDxfId="91">
      <calculatedColumnFormula>COUNTIFS(Table1[जनपद],Table2[[#This Row],[जनपद]],Table1[कारण],Table2[[#Headers],[गैस लीकेज]])</calculatedColumnFormula>
    </tableColumn>
    <tableColumn id="4" xr3:uid="{773CAE2C-62AE-4082-ADFF-0613AB734B05}" name="ओवर हीटिंग" totalsRowFunction="sum" dataDxfId="90" totalsRowDxfId="89">
      <calculatedColumnFormula>COUNTIFS(Table1[जनपद],Table2[[#This Row],[जनपद]],Table1[कारण],Table2[[#Headers],[ओवर हीटिंग]])</calculatedColumnFormula>
    </tableColumn>
    <tableColumn id="5" xr3:uid="{044A2307-15CB-4400-8FA9-1A323C04719C}" name="आतिशबाजी" totalsRowFunction="sum" dataDxfId="88" totalsRowDxfId="87">
      <calculatedColumnFormula>COUNTIFS(Table1[जनपद],Table2[[#This Row],[जनपद]],Table1[कारण],Table2[[#Headers],[आतिशबाजी]])</calculatedColumnFormula>
    </tableColumn>
    <tableColumn id="13" xr3:uid="{C6BA5E88-EFA4-4914-A7C1-5199E55443C7}" name="नरई जलाने से" totalsRowFunction="sum" dataDxfId="86" totalsRowDxfId="85">
      <calculatedColumnFormula>COUNTIFS(Table1[जनपद],Table2[[#This Row],[जनपद]],Table1[कारण],Table2[[#Headers],[नरई जलाने से]])</calculatedColumnFormula>
    </tableColumn>
    <tableColumn id="11" xr3:uid="{210329EA-5A70-4C5B-A617-25FA7BE94BFF}" name="धूम्रपान" totalsRowFunction="sum" dataDxfId="84" totalsRowDxfId="83">
      <calculatedColumnFormula>COUNTIFS(Table1[जनपद],Table2[[#This Row],[जनपद]],Table1[कारण],Table2[[#Headers],[धूम्रपान]])</calculatedColumnFormula>
    </tableColumn>
    <tableColumn id="6" xr3:uid="{1A76D02A-8CCD-4216-A8FE-300937AF3352}" name="लापरवाही" totalsRowFunction="sum" dataDxfId="82" totalsRowDxfId="81">
      <calculatedColumnFormula>COUNTIFS(Table1[जनपद],Table2[[#This Row],[जनपद]],Table1[कारण],Table2[[#Headers],[लापरवाही]])</calculatedColumnFormula>
    </tableColumn>
    <tableColumn id="7" xr3:uid="{7F033A68-0C87-487D-B56F-0BAB2AF5EB10}" name="जान-बूझकर" totalsRowFunction="sum" dataDxfId="80" totalsRowDxfId="79">
      <calculatedColumnFormula>COUNTIFS(Table1[जनपद],Table2[[#This Row],[जनपद]],Table1[कारण],Table2[[#Headers],[जान-बूझकर]])</calculatedColumnFormula>
    </tableColumn>
    <tableColumn id="8" xr3:uid="{6D0AAD0B-0A1A-432B-825F-51AAB95300A5}" name="अज्ञात" totalsRowFunction="sum" dataDxfId="78" totalsRowDxfId="77">
      <calculatedColumnFormula>COUNTIFS(Table1[जनपद],Table2[[#This Row],[जनपद]],Table1[कारण],Table2[[#Headers],[अज्ञात]])</calculatedColumnFormula>
    </tableColumn>
    <tableColumn id="12" xr3:uid="{91FCC30C-A949-4A03-88E4-DDDB993DCF84}" name="कारण अंकित नहीं है" totalsRowFunction="sum" dataDxfId="76" totalsRowDxfId="75">
      <calculatedColumnFormula>COUNTIFS(Table1[जनपद],Table2[[#This Row],[जनपद]],Table1[कारण],"")</calculatedColumnFormula>
    </tableColumn>
    <tableColumn id="14" xr3:uid="{BA20F6F6-0903-4221-8871-43291B64449C}" name="जंगल" totalsRowFunction="sum" dataDxfId="74" totalsRowDxfId="73">
      <calculatedColumnFormula>COUNTIFS(Table1[जनपद],Table2[[#This Row],[जनपद]],Table1[कारण],Table2[[#Headers],[जंगल]])</calculatedColumnFormula>
    </tableColumn>
    <tableColumn id="9" xr3:uid="{ED7D1300-D0E2-426F-AFC7-F0A4A82EBEF5}" name="कुल" totalsRowFunction="sum" dataDxfId="72" totalsRowDxfId="71">
      <calculatedColumnFormula>SUM(Table2[[#This Row],[शॉर्ट सर्किट]:[कारण अंकित नहीं है]])</calculatedColumnFormula>
    </tableColumn>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8951F5-6AE6-4E43-B9CD-3C1C4B8A4595}" name="Table1" displayName="Table1" ref="B2:T481" totalsRowShown="0" headerRowDxfId="70" dataDxfId="68" headerRowBorderDxfId="69" tableBorderDxfId="67" totalsRowBorderDxfId="66">
  <autoFilter ref="B2:T481" xr:uid="{7B8951F5-6AE6-4E43-B9CD-3C1C4B8A4595}"/>
  <sortState xmlns:xlrd2="http://schemas.microsoft.com/office/spreadsheetml/2017/richdata2" ref="B3:T481">
    <sortCondition ref="F2:F481"/>
  </sortState>
  <tableColumns count="19">
    <tableColumn id="1" xr3:uid="{6B2EEC4F-BF2F-4D83-8921-94F095554D19}" name="क्र." dataDxfId="65" totalsRowDxfId="64"/>
    <tableColumn id="17" xr3:uid="{E37475A1-40A6-4047-A50C-6D57A0F01242}" name="क्र.2" dataDxfId="63" totalsRowDxfId="62"/>
    <tableColumn id="2" xr3:uid="{43CC3159-DB8F-4912-A90F-41519896DF74}" name="जनपद" dataDxfId="61" totalsRowDxfId="60"/>
    <tableColumn id="3" xr3:uid="{1722AFAE-816C-426D-826C-B35FC61B2785}" name="(जिस फायर स्टेशन क्षेत्रार्न्तागत अग्निकाण्ड हुआ हो)" dataDxfId="59" totalsRowDxfId="58"/>
    <tableColumn id="4" xr3:uid="{627DD2BB-3B22-459F-AE68-85C255E80FE5}" name="अग्निकाण्ड का दिनांक" dataDxfId="57" totalsRowDxfId="56"/>
    <tableColumn id="5" xr3:uid="{594A91A0-95DE-485E-A848-50C96FC95BDA}" name="समय" dataDxfId="55" totalsRowDxfId="54"/>
    <tableColumn id="6" xr3:uid="{E07F235E-74D7-438B-9C4F-C72406F2890F}" name="घटनास्थल का संक्षेप्त विवरण" dataDxfId="53" totalsRowDxfId="52"/>
    <tableColumn id="7" xr3:uid="{D031B77D-A398-4768-83A7-C597C8BE1979}" name="अग्निकाण्ड का कारण" dataDxfId="51" totalsRowDxfId="50"/>
    <tableColumn id="18" xr3:uid="{5B2FBB31-AEA0-47D0-9773-1041D333EB35}" name="कारण" dataDxfId="49" totalsRowDxfId="48"/>
    <tableColumn id="8" xr3:uid="{8D4B4AEC-E84D-4E36-866B-8547C0C6E710}" name="अग्निकाण्ड का प्रकार (आग किस वस्तु में लगी है)" dataDxfId="47" totalsRowDxfId="46"/>
    <tableColumn id="19" xr3:uid="{D71E8A77-A12C-4A65-A071-BFAFDC7B25E3}" name="Goods" dataDxfId="45" totalsRowDxfId="44"/>
    <tableColumn id="9" xr3:uid="{58C50981-7D26-48FB-8DAB-B7C0E44EA17D}" name="अनुमानित क्षति सम्पति (फायर रिपोर्ट के आधार पर)" dataDxfId="43" totalsRowDxfId="42"/>
    <tableColumn id="10" xr3:uid="{FD91E285-E69B-4681-82F5-E02B0A64502E}" name="अनुमानित बचायी गई सम्पति" dataDxfId="41" totalsRowDxfId="40"/>
    <tableColumn id="11" xr3:uid="{ED3C2C30-2B26-4E37-81C0-BDFEAAB8829F}" name="जीव मरे (मनुष्य)" dataDxfId="39" totalsRowDxfId="38"/>
    <tableColumn id="12" xr3:uid="{8CD085F6-13E8-41E3-B5D1-3C1B126BC88A}" name="जीव मरे (पशु)" dataDxfId="37" totalsRowDxfId="36"/>
    <tableColumn id="13" xr3:uid="{CE7647F0-48B6-4315-9B06-4966FB5E4960}" name="जीव घायल (मनुष्य)" dataDxfId="35" totalsRowDxfId="34"/>
    <tableColumn id="14" xr3:uid="{C8201005-3136-411E-A3CE-205907930442}" name="जीव घायल (पशु)" dataDxfId="33" totalsRowDxfId="32"/>
    <tableColumn id="15" xr3:uid="{4506E0B5-9D27-49F4-81E9-B3E7F04E342C}" name="जीव बचे (मनुष्य)" dataDxfId="31" totalsRowDxfId="30"/>
    <tableColumn id="16" xr3:uid="{BFE27AF6-C440-4D3E-A8EC-ADC52A59E443}" name="जीव बचे (पशु)" dataDxfId="29" totalsRowDxfId="28"/>
  </tableColumns>
  <tableStyleInfo name="TableStyleLight1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FDD6B6-AB91-45CF-B721-0D197E0AEF70}" name="Table3" displayName="Table3" ref="B2:R37" totalsRowShown="0" headerRowDxfId="27" dataDxfId="25" headerRowBorderDxfId="26" tableBorderDxfId="24" totalsRowBorderDxfId="23">
  <autoFilter ref="B2:R37" xr:uid="{C7FDD6B6-AB91-45CF-B721-0D197E0AEF70}"/>
  <sortState xmlns:xlrd2="http://schemas.microsoft.com/office/spreadsheetml/2017/richdata2" ref="B3:R37">
    <sortCondition ref="E2:E37"/>
  </sortState>
  <tableColumns count="17">
    <tableColumn id="1" xr3:uid="{FCDDD03D-9E07-49B7-A996-C8D043241C8F}" name="क्र." dataDxfId="22"/>
    <tableColumn id="2" xr3:uid="{65CD7B8C-5786-40B2-B302-D673BBEEB26A}" name="जनपद" dataDxfId="21"/>
    <tableColumn id="3" xr3:uid="{64CBB492-C11B-4FD2-813B-D630BFD7E5A0}" name="(जिस फायर स्टेशन क्षेत्रार्न्तागत अग्निकाण्ड हुआ हो)" dataDxfId="20"/>
    <tableColumn id="4" xr3:uid="{BD6036E1-7570-425C-BE3F-8B2A39B0A155}" name="अग्निकाण्ड का दिनांक" dataDxfId="19"/>
    <tableColumn id="5" xr3:uid="{9849A8A9-57E7-4CBE-BE9E-72393597F3AA}" name="समय" dataDxfId="18"/>
    <tableColumn id="6" xr3:uid="{E764A766-375E-4DA6-A3FB-7492FB38C933}" name="घटनास्थल का संक्षेप्त विवरण" dataDxfId="17"/>
    <tableColumn id="7" xr3:uid="{08B7CAA5-A2C0-4219-92B6-123E12A11175}" name="अग्निकाण्ड का कारण" dataDxfId="16"/>
    <tableColumn id="17" xr3:uid="{D3095B37-8C34-4AAF-A7BF-E1DC5F76708D}" name="Column1" dataDxfId="15"/>
    <tableColumn id="8" xr3:uid="{37B509DC-CFAD-445C-85BF-75F39EE689DC}" name="अग्निकाण्ड का कारण (आग किस वस्तु में लगी है)" dataDxfId="14"/>
    <tableColumn id="9" xr3:uid="{E298E71F-CD0C-44B6-A00A-A8BFCCBAC331}" name="अनुमानित क्षति सम्पति (फायर रिपोर्ट के आधार पर)" dataDxfId="13"/>
    <tableColumn id="10" xr3:uid="{849B94F9-273E-4D70-B6DB-723200D2A9B1}" name="अनुमानित बचायी गई सम्पति" dataDxfId="12"/>
    <tableColumn id="11" xr3:uid="{2130836C-BF1B-4D6C-A62F-ED122F8C7A39}" name="जीव मरे (मनुष्य)" dataDxfId="11"/>
    <tableColumn id="12" xr3:uid="{3799C348-DD14-4566-8E17-95B10F5EB5F1}" name="जीव मरे (पशु)" dataDxfId="10"/>
    <tableColumn id="13" xr3:uid="{D48D5F67-EC57-4F0B-A2C8-CA800F64E45D}" name="जीव घायल (मनुष्य)" dataDxfId="9"/>
    <tableColumn id="14" xr3:uid="{93E0EEB4-DF32-46B0-9F60-83593E03C5A6}" name="जीव घायल (पशु)" dataDxfId="8"/>
    <tableColumn id="15" xr3:uid="{ACA13ECB-26D2-4F47-8790-FA275C3EB232}" name="जीव बचे (मनुष्य)" dataDxfId="7"/>
    <tableColumn id="16" xr3:uid="{35CAC3E9-5804-42B6-8B21-844DF81CBB59}" name="जीव बचे (पशु)" dataDxfId="6"/>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D2A81-E956-4C66-8FA2-0AD3366D11B7}">
  <dimension ref="B25:S53"/>
  <sheetViews>
    <sheetView topLeftCell="A19" workbookViewId="0">
      <selection activeCell="D26" sqref="D26"/>
    </sheetView>
  </sheetViews>
  <sheetFormatPr defaultColWidth="9.140625" defaultRowHeight="21.75" x14ac:dyDescent="0.4"/>
  <cols>
    <col min="1" max="1" width="5" style="164" customWidth="1"/>
    <col min="2" max="2" width="7.5703125" style="164" customWidth="1"/>
    <col min="3" max="3" width="12.42578125" style="164" bestFit="1" customWidth="1"/>
    <col min="4" max="4" width="10" style="164" customWidth="1"/>
    <col min="5" max="5" width="8.140625" style="164" customWidth="1"/>
    <col min="6" max="6" width="10.42578125" style="164" customWidth="1"/>
    <col min="7" max="7" width="8.7109375" style="164" customWidth="1"/>
    <col min="8" max="8" width="10.42578125" style="164" customWidth="1"/>
    <col min="9" max="9" width="10" style="164" customWidth="1"/>
    <col min="10" max="10" width="10.42578125" style="164" customWidth="1"/>
    <col min="11" max="11" width="11.140625" style="164" customWidth="1"/>
    <col min="12" max="12" width="8.5703125" style="164" bestFit="1" customWidth="1"/>
    <col min="13" max="14" width="11.85546875" style="164" customWidth="1"/>
    <col min="15" max="15" width="9.42578125" style="165" customWidth="1"/>
    <col min="16" max="17" width="9.140625" style="164"/>
    <col min="18" max="18" width="18.28515625" style="164" bestFit="1" customWidth="1"/>
    <col min="19" max="16384" width="9.140625" style="164"/>
  </cols>
  <sheetData>
    <row r="25" spans="2:19" ht="42" customHeight="1" x14ac:dyDescent="0.4">
      <c r="B25" s="174" t="s">
        <v>4837</v>
      </c>
      <c r="C25" s="175" t="s">
        <v>77</v>
      </c>
      <c r="D25" s="175" t="s">
        <v>385</v>
      </c>
      <c r="E25" s="175" t="s">
        <v>1899</v>
      </c>
      <c r="F25" s="175" t="s">
        <v>2010</v>
      </c>
      <c r="G25" s="175" t="s">
        <v>3216</v>
      </c>
      <c r="H25" s="175" t="s">
        <v>403</v>
      </c>
      <c r="I25" s="175" t="s">
        <v>4168</v>
      </c>
      <c r="J25" s="175" t="s">
        <v>1904</v>
      </c>
      <c r="K25" s="175" t="s">
        <v>4833</v>
      </c>
      <c r="L25" s="175" t="s">
        <v>406</v>
      </c>
      <c r="M25" s="176" t="s">
        <v>5799</v>
      </c>
      <c r="N25" s="176" t="s">
        <v>2448</v>
      </c>
      <c r="O25" s="176" t="s">
        <v>4834</v>
      </c>
    </row>
    <row r="26" spans="2:19" ht="23.25" x14ac:dyDescent="0.4">
      <c r="B26" s="166">
        <v>1</v>
      </c>
      <c r="C26" s="167" t="s">
        <v>4824</v>
      </c>
      <c r="D26" s="173">
        <f>COUNTIFS(Table1[जनपद],Table2[[#This Row],[जनपद]],Table1[कारण],Table2[[#Headers],[शॉर्ट सर्किट]])</f>
        <v>0</v>
      </c>
      <c r="E26" s="173">
        <f>COUNTIFS(Table1[जनपद],Table2[[#This Row],[जनपद]],Table1[कारण],Table2[[#Headers],[गैस लीकेज]])</f>
        <v>0</v>
      </c>
      <c r="F26" s="173">
        <f>COUNTIFS(Table1[जनपद],Table2[[#This Row],[जनपद]],Table1[कारण],Table2[[#Headers],[ओवर हीटिंग]])</f>
        <v>0</v>
      </c>
      <c r="G26" s="173">
        <f>COUNTIFS(Table1[जनपद],Table2[[#This Row],[जनपद]],Table1[कारण],Table2[[#Headers],[आतिशबाजी]])</f>
        <v>0</v>
      </c>
      <c r="H26" s="173">
        <f>COUNTIFS(Table1[जनपद],Table2[[#This Row],[जनपद]],Table1[कारण],Table2[[#Headers],[नरई जलाने से]])</f>
        <v>0</v>
      </c>
      <c r="I26" s="173">
        <f>COUNTIFS(Table1[जनपद],Table2[[#This Row],[जनपद]],Table1[कारण],Table2[[#Headers],[धूम्रपान]])</f>
        <v>0</v>
      </c>
      <c r="J26" s="173">
        <f>COUNTIFS(Table1[जनपद],Table2[[#This Row],[जनपद]],Table1[कारण],Table2[[#Headers],[लापरवाही]])</f>
        <v>0</v>
      </c>
      <c r="K26" s="173">
        <f>COUNTIFS(Table1[जनपद],Table2[[#This Row],[जनपद]],Table1[कारण],Table2[[#Headers],[जान-बूझकर]])</f>
        <v>0</v>
      </c>
      <c r="L26" s="173">
        <f>COUNTIFS(Table1[जनपद],Table2[[#This Row],[जनपद]],Table1[कारण],Table2[[#Headers],[अज्ञात]])</f>
        <v>0</v>
      </c>
      <c r="M26" s="186">
        <f>COUNTIFS(Table1[जनपद],Table2[[#This Row],[जनपद]],Table1[कारण],"")</f>
        <v>0</v>
      </c>
      <c r="N26" s="186">
        <f>COUNTIFS(Table1[जनपद],Table2[[#This Row],[जनपद]],Table1[कारण],Table2[[#Headers],[जंगल]])</f>
        <v>0</v>
      </c>
      <c r="O26" s="171">
        <f>SUM(Table2[[#This Row],[शॉर्ट सर्किट]:[कारण अंकित नहीं है]])</f>
        <v>0</v>
      </c>
      <c r="R26" s="213" t="s">
        <v>385</v>
      </c>
      <c r="S26" s="164">
        <f>Table2[[#Totals],[शॉर्ट सर्किट]]</f>
        <v>71</v>
      </c>
    </row>
    <row r="27" spans="2:19" ht="23.25" x14ac:dyDescent="0.4">
      <c r="B27" s="166">
        <v>2</v>
      </c>
      <c r="C27" s="167" t="s">
        <v>4825</v>
      </c>
      <c r="D27" s="173">
        <f>COUNTIFS(Table1[जनपद],Table2[[#This Row],[जनपद]],Table1[कारण],Table2[[#Headers],[शॉर्ट सर्किट]])</f>
        <v>0</v>
      </c>
      <c r="E27" s="173">
        <f>COUNTIFS(Table1[जनपद],Table2[[#This Row],[जनपद]],Table1[कारण],Table2[[#Headers],[गैस लीकेज]])</f>
        <v>0</v>
      </c>
      <c r="F27" s="173">
        <f>COUNTIFS(Table1[जनपद],Table2[[#This Row],[जनपद]],Table1[कारण],Table2[[#Headers],[ओवर हीटिंग]])</f>
        <v>0</v>
      </c>
      <c r="G27" s="173">
        <f>COUNTIFS(Table1[जनपद],Table2[[#This Row],[जनपद]],Table1[कारण],Table2[[#Headers],[आतिशबाजी]])</f>
        <v>0</v>
      </c>
      <c r="H27" s="173">
        <f>COUNTIFS(Table1[जनपद],Table2[[#This Row],[जनपद]],Table1[कारण],Table2[[#Headers],[नरई जलाने से]])</f>
        <v>0</v>
      </c>
      <c r="I27" s="173">
        <f>COUNTIFS(Table1[जनपद],Table2[[#This Row],[जनपद]],Table1[कारण],Table2[[#Headers],[धूम्रपान]])</f>
        <v>0</v>
      </c>
      <c r="J27" s="173">
        <f>COUNTIFS(Table1[जनपद],Table2[[#This Row],[जनपद]],Table1[कारण],Table2[[#Headers],[लापरवाही]])</f>
        <v>0</v>
      </c>
      <c r="K27" s="173">
        <f>COUNTIFS(Table1[जनपद],Table2[[#This Row],[जनपद]],Table1[कारण],Table2[[#Headers],[जान-बूझकर]])</f>
        <v>0</v>
      </c>
      <c r="L27" s="173">
        <f>COUNTIFS(Table1[जनपद],Table2[[#This Row],[जनपद]],Table1[कारण],Table2[[#Headers],[अज्ञात]])</f>
        <v>0</v>
      </c>
      <c r="M27" s="186">
        <f>COUNTIFS(Table1[जनपद],Table2[[#This Row],[जनपद]],Table1[कारण],"")</f>
        <v>22</v>
      </c>
      <c r="N27" s="186">
        <f>COUNTIFS(Table1[जनपद],Table2[[#This Row],[जनपद]],Table1[कारण],Table2[[#Headers],[जंगल]])</f>
        <v>0</v>
      </c>
      <c r="O27" s="171">
        <f>SUM(Table2[[#This Row],[शॉर्ट सर्किट]:[कारण अंकित नहीं है]])</f>
        <v>22</v>
      </c>
      <c r="R27" s="213" t="s">
        <v>1899</v>
      </c>
      <c r="S27" s="164">
        <f>Table2[[#Totals],[गैस लीकेज]]</f>
        <v>8</v>
      </c>
    </row>
    <row r="28" spans="2:19" ht="23.25" x14ac:dyDescent="0.4">
      <c r="B28" s="166">
        <v>3</v>
      </c>
      <c r="C28" s="167" t="s">
        <v>4777</v>
      </c>
      <c r="D28" s="173">
        <f>COUNTIFS(Table1[जनपद],Table2[[#This Row],[जनपद]],Table1[कारण],Table2[[#Headers],[शॉर्ट सर्किट]])</f>
        <v>1</v>
      </c>
      <c r="E28" s="173">
        <f>COUNTIFS(Table1[जनपद],Table2[[#This Row],[जनपद]],Table1[कारण],Table2[[#Headers],[गैस लीकेज]])</f>
        <v>0</v>
      </c>
      <c r="F28" s="173">
        <f>COUNTIFS(Table1[जनपद],Table2[[#This Row],[जनपद]],Table1[कारण],Table2[[#Headers],[ओवर हीटिंग]])</f>
        <v>0</v>
      </c>
      <c r="G28" s="173">
        <f>COUNTIFS(Table1[जनपद],Table2[[#This Row],[जनपद]],Table1[कारण],Table2[[#Headers],[आतिशबाजी]])</f>
        <v>0</v>
      </c>
      <c r="H28" s="173">
        <f>COUNTIFS(Table1[जनपद],Table2[[#This Row],[जनपद]],Table1[कारण],Table2[[#Headers],[नरई जलाने से]])</f>
        <v>0</v>
      </c>
      <c r="I28" s="173">
        <f>COUNTIFS(Table1[जनपद],Table2[[#This Row],[जनपद]],Table1[कारण],Table2[[#Headers],[धूम्रपान]])</f>
        <v>0</v>
      </c>
      <c r="J28" s="173">
        <f>COUNTIFS(Table1[जनपद],Table2[[#This Row],[जनपद]],Table1[कारण],Table2[[#Headers],[लापरवाही]])</f>
        <v>0</v>
      </c>
      <c r="K28" s="173">
        <f>COUNTIFS(Table1[जनपद],Table2[[#This Row],[जनपद]],Table1[कारण],Table2[[#Headers],[जान-बूझकर]])</f>
        <v>0</v>
      </c>
      <c r="L28" s="173">
        <f>COUNTIFS(Table1[जनपद],Table2[[#This Row],[जनपद]],Table1[कारण],Table2[[#Headers],[अज्ञात]])</f>
        <v>3</v>
      </c>
      <c r="M28" s="186">
        <f>COUNTIFS(Table1[जनपद],Table2[[#This Row],[जनपद]],Table1[कारण],"")</f>
        <v>10</v>
      </c>
      <c r="N28" s="186">
        <f>COUNTIFS(Table1[जनपद],Table2[[#This Row],[जनपद]],Table1[कारण],Table2[[#Headers],[जंगल]])</f>
        <v>0</v>
      </c>
      <c r="O28" s="171">
        <f>SUM(Table2[[#This Row],[शॉर्ट सर्किट]:[कारण अंकित नहीं है]])</f>
        <v>14</v>
      </c>
      <c r="R28" s="213" t="s">
        <v>2010</v>
      </c>
      <c r="S28" s="164">
        <f>Table2[[#Totals],[ओवर हीटिंग]]</f>
        <v>2</v>
      </c>
    </row>
    <row r="29" spans="2:19" ht="23.25" x14ac:dyDescent="0.4">
      <c r="B29" s="166">
        <v>4</v>
      </c>
      <c r="C29" s="167" t="s">
        <v>4826</v>
      </c>
      <c r="D29" s="173">
        <f>COUNTIFS(Table1[जनपद],Table2[[#This Row],[जनपद]],Table1[कारण],Table2[[#Headers],[शॉर्ट सर्किट]])</f>
        <v>0</v>
      </c>
      <c r="E29" s="173">
        <f>COUNTIFS(Table1[जनपद],Table2[[#This Row],[जनपद]],Table1[कारण],Table2[[#Headers],[गैस लीकेज]])</f>
        <v>0</v>
      </c>
      <c r="F29" s="173">
        <f>COUNTIFS(Table1[जनपद],Table2[[#This Row],[जनपद]],Table1[कारण],Table2[[#Headers],[ओवर हीटिंग]])</f>
        <v>0</v>
      </c>
      <c r="G29" s="173">
        <f>COUNTIFS(Table1[जनपद],Table2[[#This Row],[जनपद]],Table1[कारण],Table2[[#Headers],[आतिशबाजी]])</f>
        <v>0</v>
      </c>
      <c r="H29" s="173">
        <f>COUNTIFS(Table1[जनपद],Table2[[#This Row],[जनपद]],Table1[कारण],Table2[[#Headers],[नरई जलाने से]])</f>
        <v>0</v>
      </c>
      <c r="I29" s="173">
        <f>COUNTIFS(Table1[जनपद],Table2[[#This Row],[जनपद]],Table1[कारण],Table2[[#Headers],[धूम्रपान]])</f>
        <v>0</v>
      </c>
      <c r="J29" s="173">
        <f>COUNTIFS(Table1[जनपद],Table2[[#This Row],[जनपद]],Table1[कारण],Table2[[#Headers],[लापरवाही]])</f>
        <v>0</v>
      </c>
      <c r="K29" s="173">
        <f>COUNTIFS(Table1[जनपद],Table2[[#This Row],[जनपद]],Table1[कारण],Table2[[#Headers],[जान-बूझकर]])</f>
        <v>0</v>
      </c>
      <c r="L29" s="173">
        <f>COUNTIFS(Table1[जनपद],Table2[[#This Row],[जनपद]],Table1[कारण],Table2[[#Headers],[अज्ञात]])</f>
        <v>0</v>
      </c>
      <c r="M29" s="186">
        <f>COUNTIFS(Table1[जनपद],Table2[[#This Row],[जनपद]],Table1[कारण],"")</f>
        <v>0</v>
      </c>
      <c r="N29" s="186">
        <f>COUNTIFS(Table1[जनपद],Table2[[#This Row],[जनपद]],Table1[कारण],Table2[[#Headers],[जंगल]])</f>
        <v>0</v>
      </c>
      <c r="O29" s="171">
        <f>SUM(Table2[[#This Row],[शॉर्ट सर्किट]:[कारण अंकित नहीं है]])</f>
        <v>0</v>
      </c>
      <c r="R29" s="213" t="s">
        <v>3216</v>
      </c>
      <c r="S29" s="164">
        <f>Table2[[#Totals],[आतिशबाजी]]</f>
        <v>1</v>
      </c>
    </row>
    <row r="30" spans="2:19" ht="23.25" x14ac:dyDescent="0.4">
      <c r="B30" s="166">
        <v>5</v>
      </c>
      <c r="C30" s="167" t="s">
        <v>1789</v>
      </c>
      <c r="D30" s="173">
        <f>COUNTIFS(Table1[जनपद],Table2[[#This Row],[जनपद]],Table1[कारण],Table2[[#Headers],[शॉर्ट सर्किट]])</f>
        <v>39</v>
      </c>
      <c r="E30" s="173">
        <f>COUNTIFS(Table1[जनपद],Table2[[#This Row],[जनपद]],Table1[कारण],Table2[[#Headers],[गैस लीकेज]])</f>
        <v>3</v>
      </c>
      <c r="F30" s="173">
        <f>COUNTIFS(Table1[जनपद],Table2[[#This Row],[जनपद]],Table1[कारण],Table2[[#Headers],[ओवर हीटिंग]])</f>
        <v>0</v>
      </c>
      <c r="G30" s="173">
        <f>COUNTIFS(Table1[जनपद],Table2[[#This Row],[जनपद]],Table1[कारण],Table2[[#Headers],[आतिशबाजी]])</f>
        <v>0</v>
      </c>
      <c r="H30" s="173">
        <f>COUNTIFS(Table1[जनपद],Table2[[#This Row],[जनपद]],Table1[कारण],Table2[[#Headers],[नरई जलाने से]])</f>
        <v>0</v>
      </c>
      <c r="I30" s="173">
        <f>COUNTIFS(Table1[जनपद],Table2[[#This Row],[जनपद]],Table1[कारण],Table2[[#Headers],[धूम्रपान]])</f>
        <v>14</v>
      </c>
      <c r="J30" s="173">
        <f>COUNTIFS(Table1[जनपद],Table2[[#This Row],[जनपद]],Table1[कारण],Table2[[#Headers],[लापरवाही]])</f>
        <v>58</v>
      </c>
      <c r="K30" s="173">
        <f>COUNTIFS(Table1[जनपद],Table2[[#This Row],[जनपद]],Table1[कारण],Table2[[#Headers],[जान-बूझकर]])</f>
        <v>0</v>
      </c>
      <c r="L30" s="173">
        <f>COUNTIFS(Table1[जनपद],Table2[[#This Row],[जनपद]],Table1[कारण],Table2[[#Headers],[अज्ञात]])</f>
        <v>10</v>
      </c>
      <c r="M30" s="186">
        <f>COUNTIFS(Table1[जनपद],Table2[[#This Row],[जनपद]],Table1[कारण],"")</f>
        <v>19</v>
      </c>
      <c r="N30" s="186">
        <f>COUNTIFS(Table1[जनपद],Table2[[#This Row],[जनपद]],Table1[कारण],Table2[[#Headers],[जंगल]])</f>
        <v>7</v>
      </c>
      <c r="O30" s="171">
        <f>SUM(Table2[[#This Row],[शॉर्ट सर्किट]:[कारण अंकित नहीं है]])</f>
        <v>143</v>
      </c>
      <c r="R30" s="213" t="s">
        <v>403</v>
      </c>
      <c r="S30" s="164">
        <f>Table2[[#Totals],[नरई जलाने से]]</f>
        <v>0</v>
      </c>
    </row>
    <row r="31" spans="2:19" ht="23.25" x14ac:dyDescent="0.4">
      <c r="B31" s="166">
        <v>6</v>
      </c>
      <c r="C31" s="167" t="s">
        <v>93</v>
      </c>
      <c r="D31" s="173">
        <f>COUNTIFS(Table1[जनपद],Table2[[#This Row],[जनपद]],Table1[कारण],Table2[[#Headers],[शॉर्ट सर्किट]])</f>
        <v>16</v>
      </c>
      <c r="E31" s="173">
        <f>COUNTIFS(Table1[जनपद],Table2[[#This Row],[जनपद]],Table1[कारण],Table2[[#Headers],[गैस लीकेज]])</f>
        <v>2</v>
      </c>
      <c r="F31" s="173">
        <f>COUNTIFS(Table1[जनपद],Table2[[#This Row],[जनपद]],Table1[कारण],Table2[[#Headers],[ओवर हीटिंग]])</f>
        <v>0</v>
      </c>
      <c r="G31" s="173">
        <f>COUNTIFS(Table1[जनपद],Table2[[#This Row],[जनपद]],Table1[कारण],Table2[[#Headers],[आतिशबाजी]])</f>
        <v>0</v>
      </c>
      <c r="H31" s="173">
        <f>COUNTIFS(Table1[जनपद],Table2[[#This Row],[जनपद]],Table1[कारण],Table2[[#Headers],[नरई जलाने से]])</f>
        <v>0</v>
      </c>
      <c r="I31" s="173">
        <f>COUNTIFS(Table1[जनपद],Table2[[#This Row],[जनपद]],Table1[कारण],Table2[[#Headers],[धूम्रपान]])</f>
        <v>38</v>
      </c>
      <c r="J31" s="173">
        <f>COUNTIFS(Table1[जनपद],Table2[[#This Row],[जनपद]],Table1[कारण],Table2[[#Headers],[लापरवाही]])</f>
        <v>0</v>
      </c>
      <c r="K31" s="173">
        <f>COUNTIFS(Table1[जनपद],Table2[[#This Row],[जनपद]],Table1[कारण],Table2[[#Headers],[जान-बूझकर]])</f>
        <v>0</v>
      </c>
      <c r="L31" s="173">
        <f>COUNTIFS(Table1[जनपद],Table2[[#This Row],[जनपद]],Table1[कारण],Table2[[#Headers],[अज्ञात]])</f>
        <v>13</v>
      </c>
      <c r="M31" s="186">
        <f>COUNTIFS(Table1[जनपद],Table2[[#This Row],[जनपद]],Table1[कारण],"")</f>
        <v>11</v>
      </c>
      <c r="N31" s="186">
        <f>COUNTIFS(Table1[जनपद],Table2[[#This Row],[जनपद]],Table1[कारण],Table2[[#Headers],[जंगल]])</f>
        <v>0</v>
      </c>
      <c r="O31" s="171">
        <f>SUM(Table2[[#This Row],[शॉर्ट सर्किट]:[कारण अंकित नहीं है]])</f>
        <v>80</v>
      </c>
      <c r="R31" s="213" t="s">
        <v>4168</v>
      </c>
      <c r="S31" s="164">
        <f>Table2[[#Totals],[धूम्रपान]]</f>
        <v>88</v>
      </c>
    </row>
    <row r="32" spans="2:19" ht="23.25" x14ac:dyDescent="0.4">
      <c r="B32" s="166">
        <v>7</v>
      </c>
      <c r="C32" s="167" t="s">
        <v>4827</v>
      </c>
      <c r="D32" s="173">
        <f>COUNTIFS(Table1[जनपद],Table2[[#This Row],[जनपद]],Table1[कारण],Table2[[#Headers],[शॉर्ट सर्किट]])</f>
        <v>0</v>
      </c>
      <c r="E32" s="173">
        <f>COUNTIFS(Table1[जनपद],Table2[[#This Row],[जनपद]],Table1[कारण],Table2[[#Headers],[गैस लीकेज]])</f>
        <v>0</v>
      </c>
      <c r="F32" s="173">
        <f>COUNTIFS(Table1[जनपद],Table2[[#This Row],[जनपद]],Table1[कारण],Table2[[#Headers],[ओवर हीटिंग]])</f>
        <v>0</v>
      </c>
      <c r="G32" s="173">
        <f>COUNTIFS(Table1[जनपद],Table2[[#This Row],[जनपद]],Table1[कारण],Table2[[#Headers],[आतिशबाजी]])</f>
        <v>0</v>
      </c>
      <c r="H32" s="173">
        <f>COUNTIFS(Table1[जनपद],Table2[[#This Row],[जनपद]],Table1[कारण],Table2[[#Headers],[नरई जलाने से]])</f>
        <v>0</v>
      </c>
      <c r="I32" s="173">
        <f>COUNTIFS(Table1[जनपद],Table2[[#This Row],[जनपद]],Table1[कारण],Table2[[#Headers],[धूम्रपान]])</f>
        <v>0</v>
      </c>
      <c r="J32" s="173">
        <f>COUNTIFS(Table1[जनपद],Table2[[#This Row],[जनपद]],Table1[कारण],Table2[[#Headers],[लापरवाही]])</f>
        <v>0</v>
      </c>
      <c r="K32" s="173">
        <f>COUNTIFS(Table1[जनपद],Table2[[#This Row],[जनपद]],Table1[कारण],Table2[[#Headers],[जान-बूझकर]])</f>
        <v>0</v>
      </c>
      <c r="L32" s="173">
        <f>COUNTIFS(Table1[जनपद],Table2[[#This Row],[जनपद]],Table1[कारण],Table2[[#Headers],[अज्ञात]])</f>
        <v>0</v>
      </c>
      <c r="M32" s="186">
        <f>COUNTIFS(Table1[जनपद],Table2[[#This Row],[जनपद]],Table1[कारण],"")</f>
        <v>0</v>
      </c>
      <c r="N32" s="186">
        <f>COUNTIFS(Table1[जनपद],Table2[[#This Row],[जनपद]],Table1[कारण],Table2[[#Headers],[जंगल]])</f>
        <v>0</v>
      </c>
      <c r="O32" s="171">
        <f>SUM(Table2[[#This Row],[शॉर्ट सर्किट]:[कारण अंकित नहीं है]])</f>
        <v>0</v>
      </c>
      <c r="R32" s="213" t="s">
        <v>1904</v>
      </c>
      <c r="S32" s="164">
        <f>Table2[[#Totals],[लापरवाही]]</f>
        <v>58</v>
      </c>
    </row>
    <row r="33" spans="2:19" ht="23.25" x14ac:dyDescent="0.4">
      <c r="B33" s="166">
        <v>8</v>
      </c>
      <c r="C33" s="167" t="s">
        <v>4828</v>
      </c>
      <c r="D33" s="173">
        <f>COUNTIFS(Table1[जनपद],Table2[[#This Row],[जनपद]],Table1[कारण],Table2[[#Headers],[शॉर्ट सर्किट]])</f>
        <v>0</v>
      </c>
      <c r="E33" s="173">
        <f>COUNTIFS(Table1[जनपद],Table2[[#This Row],[जनपद]],Table1[कारण],Table2[[#Headers],[गैस लीकेज]])</f>
        <v>0</v>
      </c>
      <c r="F33" s="173">
        <f>COUNTIFS(Table1[जनपद],Table2[[#This Row],[जनपद]],Table1[कारण],Table2[[#Headers],[ओवर हीटिंग]])</f>
        <v>0</v>
      </c>
      <c r="G33" s="173">
        <f>COUNTIFS(Table1[जनपद],Table2[[#This Row],[जनपद]],Table1[कारण],Table2[[#Headers],[आतिशबाजी]])</f>
        <v>0</v>
      </c>
      <c r="H33" s="173">
        <f>COUNTIFS(Table1[जनपद],Table2[[#This Row],[जनपद]],Table1[कारण],Table2[[#Headers],[नरई जलाने से]])</f>
        <v>0</v>
      </c>
      <c r="I33" s="173">
        <f>COUNTIFS(Table1[जनपद],Table2[[#This Row],[जनपद]],Table1[कारण],Table2[[#Headers],[धूम्रपान]])</f>
        <v>0</v>
      </c>
      <c r="J33" s="173">
        <f>COUNTIFS(Table1[जनपद],Table2[[#This Row],[जनपद]],Table1[कारण],Table2[[#Headers],[लापरवाही]])</f>
        <v>0</v>
      </c>
      <c r="K33" s="173">
        <f>COUNTIFS(Table1[जनपद],Table2[[#This Row],[जनपद]],Table1[कारण],Table2[[#Headers],[जान-बूझकर]])</f>
        <v>0</v>
      </c>
      <c r="L33" s="173">
        <f>COUNTIFS(Table1[जनपद],Table2[[#This Row],[जनपद]],Table1[कारण],Table2[[#Headers],[अज्ञात]])</f>
        <v>0</v>
      </c>
      <c r="M33" s="186">
        <f>COUNTIFS(Table1[जनपद],Table2[[#This Row],[जनपद]],Table1[कारण],"")</f>
        <v>0</v>
      </c>
      <c r="N33" s="186">
        <f>COUNTIFS(Table1[जनपद],Table2[[#This Row],[जनपद]],Table1[कारण],Table2[[#Headers],[जंगल]])</f>
        <v>0</v>
      </c>
      <c r="O33" s="171">
        <f>SUM(Table2[[#This Row],[शॉर्ट सर्किट]:[कारण अंकित नहीं है]])</f>
        <v>0</v>
      </c>
      <c r="R33" s="213" t="s">
        <v>4833</v>
      </c>
      <c r="S33" s="164">
        <f>Table2[[#Totals],[जान-बूझकर]]</f>
        <v>0</v>
      </c>
    </row>
    <row r="34" spans="2:19" ht="23.25" x14ac:dyDescent="0.4">
      <c r="B34" s="166">
        <v>9</v>
      </c>
      <c r="C34" s="167" t="s">
        <v>4829</v>
      </c>
      <c r="D34" s="173">
        <f>COUNTIFS(Table1[जनपद],Table2[[#This Row],[जनपद]],Table1[कारण],Table2[[#Headers],[शॉर्ट सर्किट]])</f>
        <v>0</v>
      </c>
      <c r="E34" s="173">
        <f>COUNTIFS(Table1[जनपद],Table2[[#This Row],[जनपद]],Table1[कारण],Table2[[#Headers],[गैस लीकेज]])</f>
        <v>0</v>
      </c>
      <c r="F34" s="173">
        <f>COUNTIFS(Table1[जनपद],Table2[[#This Row],[जनपद]],Table1[कारण],Table2[[#Headers],[ओवर हीटिंग]])</f>
        <v>0</v>
      </c>
      <c r="G34" s="173">
        <f>COUNTIFS(Table1[जनपद],Table2[[#This Row],[जनपद]],Table1[कारण],Table2[[#Headers],[आतिशबाजी]])</f>
        <v>0</v>
      </c>
      <c r="H34" s="173">
        <f>COUNTIFS(Table1[जनपद],Table2[[#This Row],[जनपद]],Table1[कारण],Table2[[#Headers],[नरई जलाने से]])</f>
        <v>0</v>
      </c>
      <c r="I34" s="173">
        <f>COUNTIFS(Table1[जनपद],Table2[[#This Row],[जनपद]],Table1[कारण],Table2[[#Headers],[धूम्रपान]])</f>
        <v>0</v>
      </c>
      <c r="J34" s="173">
        <f>COUNTIFS(Table1[जनपद],Table2[[#This Row],[जनपद]],Table1[कारण],Table2[[#Headers],[लापरवाही]])</f>
        <v>0</v>
      </c>
      <c r="K34" s="173">
        <f>COUNTIFS(Table1[जनपद],Table2[[#This Row],[जनपद]],Table1[कारण],Table2[[#Headers],[जान-बूझकर]])</f>
        <v>0</v>
      </c>
      <c r="L34" s="173">
        <f>COUNTIFS(Table1[जनपद],Table2[[#This Row],[जनपद]],Table1[कारण],Table2[[#Headers],[अज्ञात]])</f>
        <v>0</v>
      </c>
      <c r="M34" s="186">
        <f>COUNTIFS(Table1[जनपद],Table2[[#This Row],[जनपद]],Table1[कारण],"")</f>
        <v>0</v>
      </c>
      <c r="N34" s="186">
        <f>COUNTIFS(Table1[जनपद],Table2[[#This Row],[जनपद]],Table1[कारण],Table2[[#Headers],[जंगल]])</f>
        <v>0</v>
      </c>
      <c r="O34" s="171">
        <f>SUM(Table2[[#This Row],[शॉर्ट सर्किट]:[कारण अंकित नहीं है]])</f>
        <v>0</v>
      </c>
      <c r="R34" s="213" t="s">
        <v>406</v>
      </c>
      <c r="S34" s="164">
        <f>Table2[[#Totals],[अज्ञात]]</f>
        <v>31</v>
      </c>
    </row>
    <row r="35" spans="2:19" ht="23.25" x14ac:dyDescent="0.4">
      <c r="B35" s="166">
        <v>10</v>
      </c>
      <c r="C35" s="167" t="s">
        <v>4830</v>
      </c>
      <c r="D35" s="173">
        <f>COUNTIFS(Table1[जनपद],Table2[[#This Row],[जनपद]],Table1[कारण],Table2[[#Headers],[शॉर्ट सर्किट]])</f>
        <v>0</v>
      </c>
      <c r="E35" s="173">
        <f>COUNTIFS(Table1[जनपद],Table2[[#This Row],[जनपद]],Table1[कारण],Table2[[#Headers],[गैस लीकेज]])</f>
        <v>0</v>
      </c>
      <c r="F35" s="173">
        <f>COUNTIFS(Table1[जनपद],Table2[[#This Row],[जनपद]],Table1[कारण],Table2[[#Headers],[ओवर हीटिंग]])</f>
        <v>0</v>
      </c>
      <c r="G35" s="173">
        <f>COUNTIFS(Table1[जनपद],Table2[[#This Row],[जनपद]],Table1[कारण],Table2[[#Headers],[आतिशबाजी]])</f>
        <v>0</v>
      </c>
      <c r="H35" s="173">
        <f>COUNTIFS(Table1[जनपद],Table2[[#This Row],[जनपद]],Table1[कारण],Table2[[#Headers],[नरई जलाने से]])</f>
        <v>0</v>
      </c>
      <c r="I35" s="173">
        <f>COUNTIFS(Table1[जनपद],Table2[[#This Row],[जनपद]],Table1[कारण],Table2[[#Headers],[धूम्रपान]])</f>
        <v>0</v>
      </c>
      <c r="J35" s="173">
        <f>COUNTIFS(Table1[जनपद],Table2[[#This Row],[जनपद]],Table1[कारण],Table2[[#Headers],[लापरवाही]])</f>
        <v>0</v>
      </c>
      <c r="K35" s="173">
        <f>COUNTIFS(Table1[जनपद],Table2[[#This Row],[जनपद]],Table1[कारण],Table2[[#Headers],[जान-बूझकर]])</f>
        <v>0</v>
      </c>
      <c r="L35" s="173">
        <f>COUNTIFS(Table1[जनपद],Table2[[#This Row],[जनपद]],Table1[कारण],Table2[[#Headers],[अज्ञात]])</f>
        <v>0</v>
      </c>
      <c r="M35" s="186">
        <f>COUNTIFS(Table1[जनपद],Table2[[#This Row],[जनपद]],Table1[कारण],"")</f>
        <v>0</v>
      </c>
      <c r="N35" s="186">
        <f>COUNTIFS(Table1[जनपद],Table2[[#This Row],[जनपद]],Table1[कारण],Table2[[#Headers],[जंगल]])</f>
        <v>0</v>
      </c>
      <c r="O35" s="171">
        <f>SUM(Table2[[#This Row],[शॉर्ट सर्किट]:[कारण अंकित नहीं है]])</f>
        <v>0</v>
      </c>
      <c r="R35" s="214" t="s">
        <v>5799</v>
      </c>
      <c r="S35" s="164">
        <f>Table2[[#Totals],[कारण अंकित नहीं है]]</f>
        <v>105</v>
      </c>
    </row>
    <row r="36" spans="2:19" ht="23.25" x14ac:dyDescent="0.4">
      <c r="B36" s="166">
        <v>11</v>
      </c>
      <c r="C36" s="167" t="s">
        <v>4831</v>
      </c>
      <c r="D36" s="173">
        <f>COUNTIFS(Table1[जनपद],Table2[[#This Row],[जनपद]],Table1[कारण],Table2[[#Headers],[शॉर्ट सर्किट]])</f>
        <v>0</v>
      </c>
      <c r="E36" s="173">
        <f>COUNTIFS(Table1[जनपद],Table2[[#This Row],[जनपद]],Table1[कारण],Table2[[#Headers],[गैस लीकेज]])</f>
        <v>0</v>
      </c>
      <c r="F36" s="173">
        <f>COUNTIFS(Table1[जनपद],Table2[[#This Row],[जनपद]],Table1[कारण],Table2[[#Headers],[ओवर हीटिंग]])</f>
        <v>0</v>
      </c>
      <c r="G36" s="173">
        <f>COUNTIFS(Table1[जनपद],Table2[[#This Row],[जनपद]],Table1[कारण],Table2[[#Headers],[आतिशबाजी]])</f>
        <v>0</v>
      </c>
      <c r="H36" s="173">
        <f>COUNTIFS(Table1[जनपद],Table2[[#This Row],[जनपद]],Table1[कारण],Table2[[#Headers],[नरई जलाने से]])</f>
        <v>0</v>
      </c>
      <c r="I36" s="173">
        <f>COUNTIFS(Table1[जनपद],Table2[[#This Row],[जनपद]],Table1[कारण],Table2[[#Headers],[धूम्रपान]])</f>
        <v>0</v>
      </c>
      <c r="J36" s="173">
        <f>COUNTIFS(Table1[जनपद],Table2[[#This Row],[जनपद]],Table1[कारण],Table2[[#Headers],[लापरवाही]])</f>
        <v>0</v>
      </c>
      <c r="K36" s="173">
        <f>COUNTIFS(Table1[जनपद],Table2[[#This Row],[जनपद]],Table1[कारण],Table2[[#Headers],[जान-बूझकर]])</f>
        <v>0</v>
      </c>
      <c r="L36" s="173">
        <f>COUNTIFS(Table1[जनपद],Table2[[#This Row],[जनपद]],Table1[कारण],Table2[[#Headers],[अज्ञात]])</f>
        <v>0</v>
      </c>
      <c r="M36" s="186">
        <f>COUNTIFS(Table1[जनपद],Table2[[#This Row],[जनपद]],Table1[कारण],"")</f>
        <v>0</v>
      </c>
      <c r="N36" s="186">
        <f>COUNTIFS(Table1[जनपद],Table2[[#This Row],[जनपद]],Table1[कारण],Table2[[#Headers],[जंगल]])</f>
        <v>0</v>
      </c>
      <c r="O36" s="171">
        <f>SUM(Table2[[#This Row],[शॉर्ट सर्किट]:[कारण अंकित नहीं है]])</f>
        <v>0</v>
      </c>
      <c r="R36" s="213" t="s">
        <v>5883</v>
      </c>
      <c r="S36" s="164">
        <f>Table2[[#Totals],[जंगल]]</f>
        <v>470</v>
      </c>
    </row>
    <row r="37" spans="2:19" x14ac:dyDescent="0.4">
      <c r="B37" s="166">
        <v>12</v>
      </c>
      <c r="C37" s="167" t="s">
        <v>321</v>
      </c>
      <c r="D37" s="173">
        <f>COUNTIFS(Table1[जनपद],Table2[[#This Row],[जनपद]],Table1[कारण],Table2[[#Headers],[शॉर्ट सर्किट]])</f>
        <v>15</v>
      </c>
      <c r="E37" s="173">
        <f>COUNTIFS(Table1[जनपद],Table2[[#This Row],[जनपद]],Table1[कारण],Table2[[#Headers],[गैस लीकेज]])</f>
        <v>3</v>
      </c>
      <c r="F37" s="173">
        <f>COUNTIFS(Table1[जनपद],Table2[[#This Row],[जनपद]],Table1[कारण],Table2[[#Headers],[ओवर हीटिंग]])</f>
        <v>2</v>
      </c>
      <c r="G37" s="173">
        <f>COUNTIFS(Table1[जनपद],Table2[[#This Row],[जनपद]],Table1[कारण],Table2[[#Headers],[आतिशबाजी]])</f>
        <v>1</v>
      </c>
      <c r="H37" s="173">
        <f>COUNTIFS(Table1[जनपद],Table2[[#This Row],[जनपद]],Table1[कारण],Table2[[#Headers],[नरई जलाने से]])</f>
        <v>0</v>
      </c>
      <c r="I37" s="173">
        <f>COUNTIFS(Table1[जनपद],Table2[[#This Row],[जनपद]],Table1[कारण],Table2[[#Headers],[धूम्रपान]])</f>
        <v>35</v>
      </c>
      <c r="J37" s="173">
        <f>COUNTIFS(Table1[जनपद],Table2[[#This Row],[जनपद]],Table1[कारण],Table2[[#Headers],[लापरवाही]])</f>
        <v>0</v>
      </c>
      <c r="K37" s="173">
        <f>COUNTIFS(Table1[जनपद],Table2[[#This Row],[जनपद]],Table1[कारण],Table2[[#Headers],[जान-बूझकर]])</f>
        <v>0</v>
      </c>
      <c r="L37" s="173">
        <f>COUNTIFS(Table1[जनपद],Table2[[#This Row],[जनपद]],Table1[कारण],Table2[[#Headers],[अज्ञात]])</f>
        <v>5</v>
      </c>
      <c r="M37" s="186">
        <f>COUNTIFS(Table1[जनपद],Table2[[#This Row],[जनपद]],Table1[कारण],"")</f>
        <v>8</v>
      </c>
      <c r="N37" s="186">
        <f>COUNTIFS(Table1[जनपद],Table2[[#This Row],[जनपद]],Table1[कारण],Table2[[#Headers],[जंगल]])</f>
        <v>1</v>
      </c>
      <c r="O37" s="171">
        <f>SUM(Table2[[#This Row],[शॉर्ट सर्किट]:[कारण अंकित नहीं है]])</f>
        <v>69</v>
      </c>
    </row>
    <row r="38" spans="2:19" x14ac:dyDescent="0.4">
      <c r="B38" s="168">
        <v>13</v>
      </c>
      <c r="C38" s="169" t="s">
        <v>4832</v>
      </c>
      <c r="D38" s="173">
        <f>COUNTIFS(Table1[जनपद],Table2[[#This Row],[जनपद]],Table1[कारण],Table2[[#Headers],[शॉर्ट सर्किट]])</f>
        <v>0</v>
      </c>
      <c r="E38" s="173">
        <f>COUNTIFS(Table1[जनपद],Table2[[#This Row],[जनपद]],Table1[कारण],Table2[[#Headers],[गैस लीकेज]])</f>
        <v>0</v>
      </c>
      <c r="F38" s="173">
        <f>COUNTIFS(Table1[जनपद],Table2[[#This Row],[जनपद]],Table1[कारण],Table2[[#Headers],[ओवर हीटिंग]])</f>
        <v>0</v>
      </c>
      <c r="G38" s="173">
        <f>COUNTIFS(Table1[जनपद],Table2[[#This Row],[जनपद]],Table1[कारण],Table2[[#Headers],[आतिशबाजी]])</f>
        <v>0</v>
      </c>
      <c r="H38" s="173">
        <f>COUNTIFS(Table1[जनपद],Table2[[#This Row],[जनपद]],Table1[कारण],Table2[[#Headers],[नरई जलाने से]])</f>
        <v>0</v>
      </c>
      <c r="I38" s="173">
        <f>COUNTIFS(Table1[जनपद],Table2[[#This Row],[जनपद]],Table1[कारण],Table2[[#Headers],[धूम्रपान]])</f>
        <v>1</v>
      </c>
      <c r="J38" s="173">
        <f>COUNTIFS(Table1[जनपद],Table2[[#This Row],[जनपद]],Table1[कारण],Table2[[#Headers],[लापरवाही]])</f>
        <v>0</v>
      </c>
      <c r="K38" s="173">
        <f>COUNTIFS(Table1[जनपद],Table2[[#This Row],[जनपद]],Table1[कारण],Table2[[#Headers],[जान-बूझकर]])</f>
        <v>0</v>
      </c>
      <c r="L38" s="173">
        <f>COUNTIFS(Table1[जनपद],Table2[[#This Row],[जनपद]],Table1[कारण],Table2[[#Headers],[अज्ञात]])</f>
        <v>0</v>
      </c>
      <c r="M38" s="186">
        <f>COUNTIFS(Table1[जनपद],Table2[[#This Row],[जनपद]],Table1[कारण],"")</f>
        <v>35</v>
      </c>
      <c r="N38" s="237">
        <v>462</v>
      </c>
      <c r="O38" s="172">
        <f>SUM(Table2[[#This Row],[शॉर्ट सर्किट]:[कारण अंकित नहीं है]])</f>
        <v>36</v>
      </c>
    </row>
    <row r="39" spans="2:19" x14ac:dyDescent="0.4">
      <c r="B39" s="168" t="s">
        <v>4835</v>
      </c>
      <c r="C39" s="169"/>
      <c r="D39" s="170">
        <f>SUBTOTAL(109,Table2[शॉर्ट सर्किट])</f>
        <v>71</v>
      </c>
      <c r="E39" s="170">
        <f>SUBTOTAL(109,Table2[गैस लीकेज])</f>
        <v>8</v>
      </c>
      <c r="F39" s="170">
        <f>SUBTOTAL(109,Table2[ओवर हीटिंग])</f>
        <v>2</v>
      </c>
      <c r="G39" s="170">
        <f>SUBTOTAL(109,Table2[आतिशबाजी])</f>
        <v>1</v>
      </c>
      <c r="H39" s="170">
        <f>SUBTOTAL(109,Table2[नरई जलाने से])</f>
        <v>0</v>
      </c>
      <c r="I39" s="170">
        <f>SUBTOTAL(109,Table2[धूम्रपान])</f>
        <v>88</v>
      </c>
      <c r="J39" s="170">
        <f>SUBTOTAL(109,Table2[लापरवाही])</f>
        <v>58</v>
      </c>
      <c r="K39" s="170">
        <f>SUBTOTAL(109,Table2[जान-बूझकर])</f>
        <v>0</v>
      </c>
      <c r="L39" s="170">
        <f>SUBTOTAL(109,Table2[अज्ञात])</f>
        <v>31</v>
      </c>
      <c r="M39" s="170">
        <f>SUBTOTAL(109,Table2[कारण अंकित नहीं है])</f>
        <v>105</v>
      </c>
      <c r="N39" s="170">
        <f>SUBTOTAL(109,Table2[जंगल])</f>
        <v>470</v>
      </c>
      <c r="O39" s="170">
        <f>SUBTOTAL(109,Table2[कुल])</f>
        <v>364</v>
      </c>
    </row>
    <row r="44" spans="2:19" ht="27.75" x14ac:dyDescent="0.5">
      <c r="E44" s="238"/>
      <c r="F44" s="238" t="s">
        <v>5899</v>
      </c>
      <c r="G44" s="238"/>
      <c r="H44" s="238"/>
      <c r="I44" s="238" t="s">
        <v>5900</v>
      </c>
      <c r="J44" s="238"/>
      <c r="K44" s="238"/>
    </row>
    <row r="45" spans="2:19" ht="27.75" x14ac:dyDescent="0.5">
      <c r="E45" s="238" t="s">
        <v>2011</v>
      </c>
      <c r="F45" s="238">
        <f>COUNTIF(Table1[Goods],Sheet1!E45)</f>
        <v>3</v>
      </c>
      <c r="G45" s="239">
        <f>F45/$F$53</f>
        <v>1</v>
      </c>
      <c r="H45" s="238"/>
      <c r="I45" s="238" t="s">
        <v>5889</v>
      </c>
      <c r="J45" s="238">
        <f>COUNTIF(Table1[Goods],Sheet1!I45)</f>
        <v>8</v>
      </c>
      <c r="K45" s="239">
        <f>J45/$J$53</f>
        <v>0.47058823529411764</v>
      </c>
    </row>
    <row r="46" spans="2:19" ht="27.75" x14ac:dyDescent="0.5">
      <c r="E46" s="238" t="s">
        <v>5890</v>
      </c>
      <c r="F46" s="238">
        <f>COUNTIF(Table1[Goods],Sheet1!E46)</f>
        <v>0</v>
      </c>
      <c r="G46" s="239">
        <f t="shared" ref="G46:G51" si="0">F46/$F$53</f>
        <v>0</v>
      </c>
      <c r="H46" s="238"/>
      <c r="I46" s="238" t="s">
        <v>1999</v>
      </c>
      <c r="J46" s="238">
        <f>COUNTIF(Table1[Goods],Sheet1!I46)</f>
        <v>2</v>
      </c>
      <c r="K46" s="239">
        <f t="shared" ref="K46:K52" si="1">J46/$J$53</f>
        <v>0.11764705882352941</v>
      </c>
    </row>
    <row r="47" spans="2:19" ht="27.75" x14ac:dyDescent="0.5">
      <c r="E47" s="238" t="s">
        <v>5893</v>
      </c>
      <c r="F47" s="238">
        <f>COUNTIF(Table1[Goods],Sheet1!E47)</f>
        <v>0</v>
      </c>
      <c r="G47" s="239">
        <f t="shared" si="0"/>
        <v>0</v>
      </c>
      <c r="H47" s="238"/>
      <c r="I47" s="238" t="s">
        <v>5894</v>
      </c>
      <c r="J47" s="238">
        <f>COUNTIF(Table1[Goods],Sheet1!I47)</f>
        <v>1</v>
      </c>
      <c r="K47" s="239">
        <f t="shared" si="1"/>
        <v>5.8823529411764705E-2</v>
      </c>
    </row>
    <row r="48" spans="2:19" ht="27.75" x14ac:dyDescent="0.5">
      <c r="E48" s="238" t="s">
        <v>5898</v>
      </c>
      <c r="F48" s="238">
        <f>COUNTIF(Table1[Goods],Sheet1!E48)</f>
        <v>0</v>
      </c>
      <c r="G48" s="239">
        <f t="shared" si="0"/>
        <v>0</v>
      </c>
      <c r="H48" s="238"/>
      <c r="I48" s="238" t="s">
        <v>5891</v>
      </c>
      <c r="J48" s="238">
        <f>COUNTIF(Table1[Goods],Sheet1!I48)</f>
        <v>0</v>
      </c>
      <c r="K48" s="239">
        <f t="shared" si="1"/>
        <v>0</v>
      </c>
    </row>
    <row r="49" spans="5:11" ht="27.75" x14ac:dyDescent="0.5">
      <c r="E49" s="238" t="s">
        <v>5895</v>
      </c>
      <c r="F49" s="238">
        <f>COUNTIF(Table1[Goods],Sheet1!E49)</f>
        <v>0</v>
      </c>
      <c r="G49" s="239">
        <f t="shared" si="0"/>
        <v>0</v>
      </c>
      <c r="H49" s="238"/>
      <c r="I49" s="238" t="s">
        <v>2002</v>
      </c>
      <c r="J49" s="238">
        <f>COUNTIF(Table1[Goods],Sheet1!I49)</f>
        <v>3</v>
      </c>
      <c r="K49" s="239">
        <f t="shared" si="1"/>
        <v>0.17647058823529413</v>
      </c>
    </row>
    <row r="50" spans="5:11" ht="27.75" x14ac:dyDescent="0.5">
      <c r="E50" s="238" t="s">
        <v>5892</v>
      </c>
      <c r="F50" s="238">
        <f>COUNTIF(Table1[Goods],Sheet1!E50)</f>
        <v>0</v>
      </c>
      <c r="G50" s="239">
        <f t="shared" si="0"/>
        <v>0</v>
      </c>
      <c r="H50" s="238"/>
      <c r="I50" s="238" t="s">
        <v>2357</v>
      </c>
      <c r="J50" s="238">
        <f>COUNTIF(Table1[Goods],Sheet1!I50)</f>
        <v>0</v>
      </c>
      <c r="K50" s="239">
        <f t="shared" si="1"/>
        <v>0</v>
      </c>
    </row>
    <row r="51" spans="5:11" ht="27.75" x14ac:dyDescent="0.5">
      <c r="E51" s="238" t="s">
        <v>5902</v>
      </c>
      <c r="F51" s="238">
        <f>COUNTIF(Table1[Goods],Sheet1!E51)</f>
        <v>0</v>
      </c>
      <c r="G51" s="239">
        <f t="shared" si="0"/>
        <v>0</v>
      </c>
      <c r="H51" s="238"/>
      <c r="I51" s="238" t="s">
        <v>5897</v>
      </c>
      <c r="J51" s="238">
        <f>COUNTIF(Table1[Goods],Sheet1!I51)</f>
        <v>0</v>
      </c>
      <c r="K51" s="239">
        <f t="shared" si="1"/>
        <v>0</v>
      </c>
    </row>
    <row r="52" spans="5:11" ht="27.75" x14ac:dyDescent="0.5">
      <c r="E52" s="238"/>
      <c r="F52" s="238"/>
      <c r="G52" s="238"/>
      <c r="H52" s="238"/>
      <c r="I52" s="238" t="s">
        <v>5896</v>
      </c>
      <c r="J52" s="238">
        <f>COUNTIF(Table1[Goods],Sheet1!I52)</f>
        <v>3</v>
      </c>
      <c r="K52" s="239">
        <f t="shared" si="1"/>
        <v>0.17647058823529413</v>
      </c>
    </row>
    <row r="53" spans="5:11" ht="27.75" x14ac:dyDescent="0.5">
      <c r="E53" s="238"/>
      <c r="F53" s="240">
        <f>SUM(F45:F52)</f>
        <v>3</v>
      </c>
      <c r="G53" s="238"/>
      <c r="H53" s="238"/>
      <c r="I53" s="238"/>
      <c r="J53" s="240">
        <f>SUM(J45:J52)</f>
        <v>17</v>
      </c>
      <c r="K53" s="238"/>
    </row>
  </sheetData>
  <conditionalFormatting sqref="D26:O39">
    <cfRule type="cellIs" dxfId="5" priority="1" operator="equal">
      <formula>0</formula>
    </cfRule>
  </conditionalFormatting>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83A11-9578-4DD6-9764-AA5C9E04941A}">
  <dimension ref="B2:T481"/>
  <sheetViews>
    <sheetView topLeftCell="A194" zoomScaleNormal="100" workbookViewId="0">
      <selection activeCell="F4" sqref="F4"/>
    </sheetView>
  </sheetViews>
  <sheetFormatPr defaultRowHeight="15" x14ac:dyDescent="0.25"/>
  <cols>
    <col min="2" max="2" width="8.42578125" customWidth="1"/>
    <col min="3" max="3" width="12.42578125" customWidth="1"/>
    <col min="4" max="4" width="11.5703125" customWidth="1"/>
    <col min="5" max="5" width="12.140625" style="161" customWidth="1"/>
    <col min="6" max="6" width="12.140625" style="102" bestFit="1" customWidth="1"/>
    <col min="7" max="7" width="9.5703125" style="102" bestFit="1" customWidth="1"/>
    <col min="8" max="8" width="36.140625" style="126" customWidth="1"/>
    <col min="9" max="9" width="16.28515625" customWidth="1"/>
    <col min="10" max="10" width="10" hidden="1" customWidth="1"/>
    <col min="11" max="11" width="19.42578125" customWidth="1"/>
    <col min="12" max="12" width="10.85546875" style="102" bestFit="1" customWidth="1"/>
    <col min="13" max="13" width="12.140625" customWidth="1"/>
    <col min="14" max="14" width="13.5703125" bestFit="1" customWidth="1"/>
    <col min="15" max="15" width="6.42578125" customWidth="1"/>
    <col min="16" max="16" width="7.42578125" customWidth="1"/>
    <col min="17" max="17" width="6.5703125" customWidth="1"/>
    <col min="18" max="18" width="6.7109375" customWidth="1"/>
    <col min="19" max="19" width="8" customWidth="1"/>
  </cols>
  <sheetData>
    <row r="2" spans="2:20" ht="97.5" x14ac:dyDescent="0.25">
      <c r="B2" s="149" t="s">
        <v>76</v>
      </c>
      <c r="C2" s="149" t="s">
        <v>4765</v>
      </c>
      <c r="D2" s="150" t="s">
        <v>77</v>
      </c>
      <c r="E2" s="151" t="s">
        <v>78</v>
      </c>
      <c r="F2" s="159" t="s">
        <v>79</v>
      </c>
      <c r="G2" s="151" t="s">
        <v>80</v>
      </c>
      <c r="H2" s="152" t="s">
        <v>81</v>
      </c>
      <c r="I2" s="152" t="s">
        <v>82</v>
      </c>
      <c r="J2" s="152" t="s">
        <v>4836</v>
      </c>
      <c r="K2" s="151" t="s">
        <v>5798</v>
      </c>
      <c r="L2" s="151" t="s">
        <v>5888</v>
      </c>
      <c r="M2" s="151" t="s">
        <v>84</v>
      </c>
      <c r="N2" s="151" t="s">
        <v>85</v>
      </c>
      <c r="O2" s="151" t="s">
        <v>86</v>
      </c>
      <c r="P2" s="151" t="s">
        <v>91</v>
      </c>
      <c r="Q2" s="151" t="s">
        <v>87</v>
      </c>
      <c r="R2" s="151" t="s">
        <v>90</v>
      </c>
      <c r="S2" s="151" t="s">
        <v>88</v>
      </c>
      <c r="T2" s="153" t="s">
        <v>89</v>
      </c>
    </row>
    <row r="3" spans="2:20" ht="175.5" x14ac:dyDescent="0.25">
      <c r="B3" s="146">
        <v>2301</v>
      </c>
      <c r="C3" s="146">
        <v>24</v>
      </c>
      <c r="D3" s="28" t="s">
        <v>4832</v>
      </c>
      <c r="E3" s="28" t="s">
        <v>4832</v>
      </c>
      <c r="F3" s="108">
        <v>45444</v>
      </c>
      <c r="G3" s="109">
        <v>0.35416666666666669</v>
      </c>
      <c r="H3" s="124" t="s">
        <v>5554</v>
      </c>
      <c r="I3" s="124"/>
      <c r="J3" s="124"/>
      <c r="K3" s="28"/>
      <c r="L3" s="28"/>
      <c r="M3" s="162">
        <v>20000</v>
      </c>
      <c r="N3" s="162">
        <v>3480000</v>
      </c>
      <c r="O3" s="28" t="s">
        <v>20</v>
      </c>
      <c r="P3" s="28" t="s">
        <v>20</v>
      </c>
      <c r="Q3" s="28" t="s">
        <v>20</v>
      </c>
      <c r="R3" s="28" t="s">
        <v>20</v>
      </c>
      <c r="S3" s="28" t="s">
        <v>20</v>
      </c>
      <c r="T3" s="148" t="s">
        <v>20</v>
      </c>
    </row>
    <row r="4" spans="2:20" ht="175.5" x14ac:dyDescent="0.25">
      <c r="B4" s="146">
        <v>2302</v>
      </c>
      <c r="C4" s="146">
        <v>25</v>
      </c>
      <c r="D4" s="28" t="s">
        <v>4832</v>
      </c>
      <c r="E4" s="28" t="s">
        <v>4832</v>
      </c>
      <c r="F4" s="108">
        <v>45444</v>
      </c>
      <c r="G4" s="109">
        <v>0.68263888888888891</v>
      </c>
      <c r="H4" s="124" t="s">
        <v>5555</v>
      </c>
      <c r="I4" s="124"/>
      <c r="J4" s="124"/>
      <c r="K4" s="28"/>
      <c r="L4" s="28"/>
      <c r="M4" s="162">
        <v>5000</v>
      </c>
      <c r="N4" s="162">
        <v>1995000</v>
      </c>
      <c r="O4" s="28" t="s">
        <v>20</v>
      </c>
      <c r="P4" s="28" t="s">
        <v>20</v>
      </c>
      <c r="Q4" s="28" t="s">
        <v>20</v>
      </c>
      <c r="R4" s="28" t="s">
        <v>20</v>
      </c>
      <c r="S4" s="28" t="s">
        <v>20</v>
      </c>
      <c r="T4" s="148" t="s">
        <v>20</v>
      </c>
    </row>
    <row r="5" spans="2:20" ht="175.5" x14ac:dyDescent="0.25">
      <c r="B5" s="146">
        <v>2303</v>
      </c>
      <c r="C5" s="146">
        <v>26</v>
      </c>
      <c r="D5" s="28" t="s">
        <v>4832</v>
      </c>
      <c r="E5" s="28" t="s">
        <v>4832</v>
      </c>
      <c r="F5" s="108">
        <v>45444</v>
      </c>
      <c r="G5" s="109">
        <v>0.68472222222222223</v>
      </c>
      <c r="H5" s="124" t="s">
        <v>5556</v>
      </c>
      <c r="I5" s="124"/>
      <c r="J5" s="124"/>
      <c r="K5" s="28"/>
      <c r="L5" s="28"/>
      <c r="M5" s="162">
        <v>5000</v>
      </c>
      <c r="N5" s="162">
        <v>1995000</v>
      </c>
      <c r="O5" s="28" t="s">
        <v>20</v>
      </c>
      <c r="P5" s="28" t="s">
        <v>20</v>
      </c>
      <c r="Q5" s="28" t="s">
        <v>20</v>
      </c>
      <c r="R5" s="28" t="s">
        <v>20</v>
      </c>
      <c r="S5" s="28" t="s">
        <v>20</v>
      </c>
      <c r="T5" s="148" t="s">
        <v>20</v>
      </c>
    </row>
    <row r="6" spans="2:20" ht="253.5" x14ac:dyDescent="0.25">
      <c r="B6" s="146">
        <v>2314</v>
      </c>
      <c r="C6" s="146">
        <v>37</v>
      </c>
      <c r="D6" s="28" t="s">
        <v>4832</v>
      </c>
      <c r="E6" s="28" t="s">
        <v>5610</v>
      </c>
      <c r="F6" s="108">
        <v>45444</v>
      </c>
      <c r="G6" s="109">
        <v>0.43402777777777779</v>
      </c>
      <c r="H6" s="124" t="s">
        <v>5567</v>
      </c>
      <c r="I6" s="124"/>
      <c r="J6" s="124"/>
      <c r="K6" s="28"/>
      <c r="L6" s="28"/>
      <c r="M6" s="28" t="s">
        <v>145</v>
      </c>
      <c r="N6" s="28" t="s">
        <v>173</v>
      </c>
      <c r="O6" s="28" t="s">
        <v>20</v>
      </c>
      <c r="P6" s="28" t="s">
        <v>20</v>
      </c>
      <c r="Q6" s="28" t="s">
        <v>20</v>
      </c>
      <c r="R6" s="28" t="s">
        <v>20</v>
      </c>
      <c r="S6" s="28" t="s">
        <v>20</v>
      </c>
      <c r="T6" s="148" t="s">
        <v>20</v>
      </c>
    </row>
    <row r="7" spans="2:20" ht="175.5" x14ac:dyDescent="0.25">
      <c r="B7" s="146">
        <v>2315</v>
      </c>
      <c r="C7" s="146">
        <v>38</v>
      </c>
      <c r="D7" s="28" t="s">
        <v>4832</v>
      </c>
      <c r="E7" s="28" t="s">
        <v>5610</v>
      </c>
      <c r="F7" s="108">
        <v>45444</v>
      </c>
      <c r="G7" s="109">
        <v>0.49583333333333335</v>
      </c>
      <c r="H7" s="124" t="s">
        <v>5568</v>
      </c>
      <c r="I7" s="124"/>
      <c r="J7" s="124"/>
      <c r="K7" s="28"/>
      <c r="L7" s="28"/>
      <c r="M7" s="28" t="s">
        <v>5569</v>
      </c>
      <c r="N7" s="28" t="s">
        <v>4947</v>
      </c>
      <c r="O7" s="28" t="s">
        <v>20</v>
      </c>
      <c r="P7" s="28" t="s">
        <v>20</v>
      </c>
      <c r="Q7" s="28" t="s">
        <v>20</v>
      </c>
      <c r="R7" s="28" t="s">
        <v>20</v>
      </c>
      <c r="S7" s="28" t="s">
        <v>20</v>
      </c>
      <c r="T7" s="148" t="s">
        <v>20</v>
      </c>
    </row>
    <row r="8" spans="2:20" ht="253.5" x14ac:dyDescent="0.25">
      <c r="B8" s="146">
        <v>2316</v>
      </c>
      <c r="C8" s="146">
        <v>39</v>
      </c>
      <c r="D8" s="28" t="s">
        <v>4832</v>
      </c>
      <c r="E8" s="28" t="s">
        <v>5610</v>
      </c>
      <c r="F8" s="108">
        <v>45444</v>
      </c>
      <c r="G8" s="109">
        <v>0.72986111111111107</v>
      </c>
      <c r="H8" s="124" t="s">
        <v>5570</v>
      </c>
      <c r="I8" s="124"/>
      <c r="J8" s="124"/>
      <c r="K8" s="28"/>
      <c r="L8" s="28"/>
      <c r="M8" s="28" t="s">
        <v>5569</v>
      </c>
      <c r="N8" s="28" t="s">
        <v>4947</v>
      </c>
      <c r="O8" s="28" t="s">
        <v>20</v>
      </c>
      <c r="P8" s="28" t="s">
        <v>20</v>
      </c>
      <c r="Q8" s="28" t="s">
        <v>20</v>
      </c>
      <c r="R8" s="28" t="s">
        <v>20</v>
      </c>
      <c r="S8" s="28" t="s">
        <v>20</v>
      </c>
      <c r="T8" s="148" t="s">
        <v>20</v>
      </c>
    </row>
    <row r="9" spans="2:20" ht="39" x14ac:dyDescent="0.25">
      <c r="B9" s="146">
        <v>1006</v>
      </c>
      <c r="C9" s="146">
        <v>505</v>
      </c>
      <c r="D9" s="28" t="s">
        <v>321</v>
      </c>
      <c r="E9" s="28" t="s">
        <v>580</v>
      </c>
      <c r="F9" s="108">
        <v>45444</v>
      </c>
      <c r="G9" s="109">
        <v>0.34375</v>
      </c>
      <c r="H9" s="124" t="s">
        <v>4400</v>
      </c>
      <c r="I9" s="124" t="s">
        <v>4401</v>
      </c>
      <c r="J9" s="124" t="s">
        <v>385</v>
      </c>
      <c r="K9" s="28" t="s">
        <v>4402</v>
      </c>
      <c r="L9" s="28"/>
      <c r="M9" s="28">
        <v>150000</v>
      </c>
      <c r="N9" s="28">
        <v>50000</v>
      </c>
      <c r="O9" s="28" t="s">
        <v>20</v>
      </c>
      <c r="P9" s="28" t="s">
        <v>20</v>
      </c>
      <c r="Q9" s="28" t="s">
        <v>20</v>
      </c>
      <c r="R9" s="28" t="s">
        <v>20</v>
      </c>
      <c r="S9" s="28" t="s">
        <v>20</v>
      </c>
      <c r="T9" s="148" t="s">
        <v>20</v>
      </c>
    </row>
    <row r="10" spans="2:20" ht="39" x14ac:dyDescent="0.25">
      <c r="B10" s="146">
        <v>1023</v>
      </c>
      <c r="C10" s="146">
        <v>523</v>
      </c>
      <c r="D10" s="28" t="s">
        <v>321</v>
      </c>
      <c r="E10" s="28" t="s">
        <v>3685</v>
      </c>
      <c r="F10" s="108">
        <v>45444</v>
      </c>
      <c r="G10" s="109">
        <v>0.52361111111111114</v>
      </c>
      <c r="H10" s="124" t="s">
        <v>3768</v>
      </c>
      <c r="I10" s="124" t="s">
        <v>4759</v>
      </c>
      <c r="J10" s="124" t="s">
        <v>4168</v>
      </c>
      <c r="K10" s="28" t="s">
        <v>2019</v>
      </c>
      <c r="L10" s="28"/>
      <c r="M10" s="28" t="s">
        <v>341</v>
      </c>
      <c r="N10" s="28" t="s">
        <v>341</v>
      </c>
      <c r="O10" s="28" t="s">
        <v>20</v>
      </c>
      <c r="P10" s="28" t="s">
        <v>20</v>
      </c>
      <c r="Q10" s="28" t="s">
        <v>20</v>
      </c>
      <c r="R10" s="28" t="s">
        <v>20</v>
      </c>
      <c r="S10" s="28" t="s">
        <v>20</v>
      </c>
      <c r="T10" s="148" t="s">
        <v>20</v>
      </c>
    </row>
    <row r="11" spans="2:20" ht="39" x14ac:dyDescent="0.25">
      <c r="B11" s="146">
        <v>1024</v>
      </c>
      <c r="C11" s="146">
        <v>524</v>
      </c>
      <c r="D11" s="28" t="s">
        <v>321</v>
      </c>
      <c r="E11" s="28" t="s">
        <v>3685</v>
      </c>
      <c r="F11" s="108">
        <v>45444</v>
      </c>
      <c r="G11" s="109">
        <v>0.8618055555555556</v>
      </c>
      <c r="H11" s="124" t="s">
        <v>3768</v>
      </c>
      <c r="I11" s="124" t="s">
        <v>4759</v>
      </c>
      <c r="J11" s="124" t="s">
        <v>4168</v>
      </c>
      <c r="K11" s="28" t="s">
        <v>2019</v>
      </c>
      <c r="L11" s="28"/>
      <c r="M11" s="28" t="s">
        <v>341</v>
      </c>
      <c r="N11" s="28" t="s">
        <v>341</v>
      </c>
      <c r="O11" s="28" t="s">
        <v>20</v>
      </c>
      <c r="P11" s="28" t="s">
        <v>20</v>
      </c>
      <c r="Q11" s="28" t="s">
        <v>20</v>
      </c>
      <c r="R11" s="28" t="s">
        <v>20</v>
      </c>
      <c r="S11" s="28" t="s">
        <v>20</v>
      </c>
      <c r="T11" s="148" t="s">
        <v>20</v>
      </c>
    </row>
    <row r="12" spans="2:20" ht="78" x14ac:dyDescent="0.25">
      <c r="B12" s="146">
        <v>2339</v>
      </c>
      <c r="C12" s="146" t="s">
        <v>5731</v>
      </c>
      <c r="D12" s="28" t="s">
        <v>1789</v>
      </c>
      <c r="E12" s="124" t="s">
        <v>4908</v>
      </c>
      <c r="F12" s="108">
        <v>45444</v>
      </c>
      <c r="G12" s="109"/>
      <c r="H12" s="124"/>
      <c r="I12" s="124" t="s">
        <v>5810</v>
      </c>
      <c r="J12" s="124" t="s">
        <v>4168</v>
      </c>
      <c r="K12" s="28"/>
      <c r="L12" s="28"/>
      <c r="M12" s="28"/>
      <c r="N12" s="28"/>
      <c r="O12" s="28"/>
      <c r="P12" s="28"/>
      <c r="Q12" s="28"/>
      <c r="R12" s="28"/>
      <c r="S12" s="28"/>
      <c r="T12" s="148"/>
    </row>
    <row r="13" spans="2:20" ht="19.5" x14ac:dyDescent="0.25">
      <c r="B13" s="146">
        <v>337</v>
      </c>
      <c r="C13" s="146">
        <v>1</v>
      </c>
      <c r="D13" s="28" t="s">
        <v>1789</v>
      </c>
      <c r="E13" s="28" t="s">
        <v>1789</v>
      </c>
      <c r="F13" s="108">
        <v>45444</v>
      </c>
      <c r="G13" s="109">
        <v>0.63194444444444442</v>
      </c>
      <c r="H13" s="124" t="s">
        <v>2306</v>
      </c>
      <c r="I13" s="124" t="s">
        <v>2307</v>
      </c>
      <c r="J13" s="124" t="s">
        <v>5903</v>
      </c>
      <c r="K13" s="26" t="s">
        <v>347</v>
      </c>
      <c r="L13" s="28" t="s">
        <v>5889</v>
      </c>
      <c r="M13" s="28" t="s">
        <v>20</v>
      </c>
      <c r="N13" s="28" t="s">
        <v>20</v>
      </c>
      <c r="O13" s="28" t="s">
        <v>20</v>
      </c>
      <c r="P13" s="28" t="s">
        <v>20</v>
      </c>
      <c r="Q13" s="28" t="s">
        <v>20</v>
      </c>
      <c r="R13" s="28" t="s">
        <v>20</v>
      </c>
      <c r="S13" s="28" t="s">
        <v>20</v>
      </c>
      <c r="T13" s="148" t="s">
        <v>20</v>
      </c>
    </row>
    <row r="14" spans="2:20" ht="19.5" x14ac:dyDescent="0.25">
      <c r="B14" s="146">
        <v>338</v>
      </c>
      <c r="C14" s="146">
        <v>2</v>
      </c>
      <c r="D14" s="28" t="s">
        <v>1789</v>
      </c>
      <c r="E14" s="28" t="s">
        <v>1789</v>
      </c>
      <c r="F14" s="108">
        <v>45444</v>
      </c>
      <c r="G14" s="109">
        <v>0.69791666666666663</v>
      </c>
      <c r="H14" s="124" t="s">
        <v>2308</v>
      </c>
      <c r="I14" s="124" t="s">
        <v>406</v>
      </c>
      <c r="J14" s="124" t="s">
        <v>406</v>
      </c>
      <c r="K14" s="122" t="s">
        <v>2309</v>
      </c>
      <c r="L14" s="28"/>
      <c r="M14" s="28">
        <v>20000</v>
      </c>
      <c r="N14" s="28">
        <v>980000</v>
      </c>
      <c r="O14" s="28" t="s">
        <v>20</v>
      </c>
      <c r="P14" s="28" t="s">
        <v>20</v>
      </c>
      <c r="Q14" s="28" t="s">
        <v>20</v>
      </c>
      <c r="R14" s="28" t="s">
        <v>20</v>
      </c>
      <c r="S14" s="28" t="s">
        <v>20</v>
      </c>
      <c r="T14" s="148" t="s">
        <v>20</v>
      </c>
    </row>
    <row r="15" spans="2:20" ht="19.5" x14ac:dyDescent="0.25">
      <c r="B15" s="146">
        <v>339</v>
      </c>
      <c r="C15" s="146">
        <v>3</v>
      </c>
      <c r="D15" s="28" t="s">
        <v>1789</v>
      </c>
      <c r="E15" s="28" t="s">
        <v>1789</v>
      </c>
      <c r="F15" s="108">
        <v>45444</v>
      </c>
      <c r="G15" s="109">
        <v>0.70833333333333337</v>
      </c>
      <c r="H15" s="124" t="s">
        <v>2310</v>
      </c>
      <c r="I15" s="124" t="s">
        <v>406</v>
      </c>
      <c r="J15" s="124" t="s">
        <v>406</v>
      </c>
      <c r="K15" s="122" t="s">
        <v>2311</v>
      </c>
      <c r="L15" s="28"/>
      <c r="M15" s="28">
        <v>500000</v>
      </c>
      <c r="N15" s="28">
        <v>10000000</v>
      </c>
      <c r="O15" s="28" t="s">
        <v>20</v>
      </c>
      <c r="P15" s="28" t="s">
        <v>20</v>
      </c>
      <c r="Q15" s="28" t="s">
        <v>20</v>
      </c>
      <c r="R15" s="28" t="s">
        <v>20</v>
      </c>
      <c r="S15" s="28" t="s">
        <v>20</v>
      </c>
      <c r="T15" s="148" t="s">
        <v>20</v>
      </c>
    </row>
    <row r="16" spans="2:20" ht="19.5" x14ac:dyDescent="0.25">
      <c r="B16" s="146">
        <v>340</v>
      </c>
      <c r="C16" s="146">
        <v>4</v>
      </c>
      <c r="D16" s="28" t="s">
        <v>1789</v>
      </c>
      <c r="E16" s="28" t="s">
        <v>1789</v>
      </c>
      <c r="F16" s="108">
        <v>45444</v>
      </c>
      <c r="G16" s="109">
        <v>0.98333333333333328</v>
      </c>
      <c r="H16" s="124" t="s">
        <v>2312</v>
      </c>
      <c r="I16" s="124" t="s">
        <v>2313</v>
      </c>
      <c r="J16" s="124" t="s">
        <v>385</v>
      </c>
      <c r="K16" s="122" t="s">
        <v>1999</v>
      </c>
      <c r="L16" s="28"/>
      <c r="M16" s="28">
        <v>100000</v>
      </c>
      <c r="N16" s="28">
        <v>400000</v>
      </c>
      <c r="O16" s="28" t="s">
        <v>20</v>
      </c>
      <c r="P16" s="28" t="s">
        <v>20</v>
      </c>
      <c r="Q16" s="28" t="s">
        <v>20</v>
      </c>
      <c r="R16" s="28" t="s">
        <v>20</v>
      </c>
      <c r="S16" s="28" t="s">
        <v>20</v>
      </c>
      <c r="T16" s="148" t="s">
        <v>20</v>
      </c>
    </row>
    <row r="17" spans="2:20" ht="19.5" x14ac:dyDescent="0.25">
      <c r="B17" s="146">
        <v>425</v>
      </c>
      <c r="C17" s="146">
        <v>1</v>
      </c>
      <c r="D17" s="28" t="s">
        <v>1789</v>
      </c>
      <c r="E17" s="28" t="s">
        <v>1789</v>
      </c>
      <c r="F17" s="108">
        <v>45444</v>
      </c>
      <c r="G17" s="109">
        <v>0.42708333333333331</v>
      </c>
      <c r="H17" s="124" t="s">
        <v>2091</v>
      </c>
      <c r="I17" s="124" t="s">
        <v>1904</v>
      </c>
      <c r="J17" s="124" t="s">
        <v>1904</v>
      </c>
      <c r="K17" s="28" t="s">
        <v>2443</v>
      </c>
      <c r="L17" s="28"/>
      <c r="M17" s="28">
        <v>100000</v>
      </c>
      <c r="N17" s="28">
        <v>1900000</v>
      </c>
      <c r="O17" s="28" t="s">
        <v>20</v>
      </c>
      <c r="P17" s="28" t="s">
        <v>20</v>
      </c>
      <c r="Q17" s="28" t="s">
        <v>20</v>
      </c>
      <c r="R17" s="28" t="s">
        <v>20</v>
      </c>
      <c r="S17" s="28" t="s">
        <v>20</v>
      </c>
      <c r="T17" s="148" t="s">
        <v>20</v>
      </c>
    </row>
    <row r="18" spans="2:20" ht="19.5" x14ac:dyDescent="0.25">
      <c r="B18" s="146">
        <v>426</v>
      </c>
      <c r="C18" s="146">
        <v>2</v>
      </c>
      <c r="D18" s="28" t="s">
        <v>1789</v>
      </c>
      <c r="E18" s="28" t="s">
        <v>1789</v>
      </c>
      <c r="F18" s="108">
        <v>45444</v>
      </c>
      <c r="G18" s="109">
        <v>0.54097222222222219</v>
      </c>
      <c r="H18" s="124" t="s">
        <v>2263</v>
      </c>
      <c r="I18" s="124" t="s">
        <v>1904</v>
      </c>
      <c r="J18" s="124" t="s">
        <v>1904</v>
      </c>
      <c r="K18" s="28" t="s">
        <v>2443</v>
      </c>
      <c r="L18" s="28"/>
      <c r="M18" s="28">
        <v>200000</v>
      </c>
      <c r="N18" s="28">
        <v>300000</v>
      </c>
      <c r="O18" s="28" t="s">
        <v>20</v>
      </c>
      <c r="P18" s="28" t="s">
        <v>20</v>
      </c>
      <c r="Q18" s="28" t="s">
        <v>20</v>
      </c>
      <c r="R18" s="28" t="s">
        <v>20</v>
      </c>
      <c r="S18" s="28" t="s">
        <v>20</v>
      </c>
      <c r="T18" s="148" t="s">
        <v>20</v>
      </c>
    </row>
    <row r="19" spans="2:20" ht="19.5" x14ac:dyDescent="0.25">
      <c r="B19" s="146">
        <v>427</v>
      </c>
      <c r="C19" s="146">
        <v>3</v>
      </c>
      <c r="D19" s="28" t="s">
        <v>1789</v>
      </c>
      <c r="E19" s="28" t="s">
        <v>1789</v>
      </c>
      <c r="F19" s="108">
        <v>45444</v>
      </c>
      <c r="G19" s="109">
        <v>0.56597222222222221</v>
      </c>
      <c r="H19" s="124" t="s">
        <v>2427</v>
      </c>
      <c r="I19" s="124" t="s">
        <v>1904</v>
      </c>
      <c r="J19" s="124" t="s">
        <v>1904</v>
      </c>
      <c r="K19" s="28" t="s">
        <v>2443</v>
      </c>
      <c r="L19" s="28"/>
      <c r="M19" s="28">
        <v>100000</v>
      </c>
      <c r="N19" s="28">
        <v>300000</v>
      </c>
      <c r="O19" s="28" t="s">
        <v>20</v>
      </c>
      <c r="P19" s="28" t="s">
        <v>20</v>
      </c>
      <c r="Q19" s="28" t="s">
        <v>20</v>
      </c>
      <c r="R19" s="28" t="s">
        <v>20</v>
      </c>
      <c r="S19" s="28" t="s">
        <v>20</v>
      </c>
      <c r="T19" s="148" t="s">
        <v>20</v>
      </c>
    </row>
    <row r="20" spans="2:20" ht="19.5" x14ac:dyDescent="0.25">
      <c r="B20" s="146">
        <v>428</v>
      </c>
      <c r="C20" s="146">
        <v>4</v>
      </c>
      <c r="D20" s="28" t="s">
        <v>1789</v>
      </c>
      <c r="E20" s="28" t="s">
        <v>1789</v>
      </c>
      <c r="F20" s="108">
        <v>45444</v>
      </c>
      <c r="G20" s="109">
        <v>0.61805555555555558</v>
      </c>
      <c r="H20" s="124" t="s">
        <v>2205</v>
      </c>
      <c r="I20" s="124" t="s">
        <v>1904</v>
      </c>
      <c r="J20" s="124" t="s">
        <v>1904</v>
      </c>
      <c r="K20" s="28" t="s">
        <v>2443</v>
      </c>
      <c r="L20" s="28"/>
      <c r="M20" s="28">
        <v>100000</v>
      </c>
      <c r="N20" s="28">
        <v>900000</v>
      </c>
      <c r="O20" s="28" t="s">
        <v>20</v>
      </c>
      <c r="P20" s="28" t="s">
        <v>20</v>
      </c>
      <c r="Q20" s="28" t="s">
        <v>20</v>
      </c>
      <c r="R20" s="28" t="s">
        <v>20</v>
      </c>
      <c r="S20" s="28" t="s">
        <v>20</v>
      </c>
      <c r="T20" s="148" t="s">
        <v>20</v>
      </c>
    </row>
    <row r="21" spans="2:20" ht="19.5" x14ac:dyDescent="0.25">
      <c r="B21" s="146">
        <v>429</v>
      </c>
      <c r="C21" s="146">
        <v>5</v>
      </c>
      <c r="D21" s="28" t="s">
        <v>1789</v>
      </c>
      <c r="E21" s="28" t="s">
        <v>1789</v>
      </c>
      <c r="F21" s="108">
        <v>45444</v>
      </c>
      <c r="G21" s="109">
        <v>0.64097222222222228</v>
      </c>
      <c r="H21" s="124" t="s">
        <v>2428</v>
      </c>
      <c r="I21" s="124" t="s">
        <v>1904</v>
      </c>
      <c r="J21" s="124" t="s">
        <v>1904</v>
      </c>
      <c r="K21" s="28" t="s">
        <v>2443</v>
      </c>
      <c r="L21" s="28"/>
      <c r="M21" s="28">
        <v>50000</v>
      </c>
      <c r="N21" s="28">
        <v>1950000</v>
      </c>
      <c r="O21" s="28" t="s">
        <v>20</v>
      </c>
      <c r="P21" s="28" t="s">
        <v>20</v>
      </c>
      <c r="Q21" s="28" t="s">
        <v>20</v>
      </c>
      <c r="R21" s="28" t="s">
        <v>20</v>
      </c>
      <c r="S21" s="28" t="s">
        <v>20</v>
      </c>
      <c r="T21" s="148" t="s">
        <v>20</v>
      </c>
    </row>
    <row r="22" spans="2:20" ht="19.5" x14ac:dyDescent="0.25">
      <c r="B22" s="146">
        <v>430</v>
      </c>
      <c r="C22" s="146">
        <v>6</v>
      </c>
      <c r="D22" s="28" t="s">
        <v>1789</v>
      </c>
      <c r="E22" s="28" t="s">
        <v>1789</v>
      </c>
      <c r="F22" s="108">
        <v>45444</v>
      </c>
      <c r="G22" s="109">
        <v>0.68819444444444444</v>
      </c>
      <c r="H22" s="124" t="s">
        <v>2429</v>
      </c>
      <c r="I22" s="124" t="s">
        <v>1904</v>
      </c>
      <c r="J22" s="124" t="s">
        <v>1904</v>
      </c>
      <c r="K22" s="28" t="s">
        <v>2443</v>
      </c>
      <c r="L22" s="28"/>
      <c r="M22" s="28">
        <v>50000</v>
      </c>
      <c r="N22" s="28">
        <v>150000</v>
      </c>
      <c r="O22" s="28" t="s">
        <v>20</v>
      </c>
      <c r="P22" s="28" t="s">
        <v>20</v>
      </c>
      <c r="Q22" s="28" t="s">
        <v>20</v>
      </c>
      <c r="R22" s="28" t="s">
        <v>20</v>
      </c>
      <c r="S22" s="28" t="s">
        <v>20</v>
      </c>
      <c r="T22" s="148" t="s">
        <v>20</v>
      </c>
    </row>
    <row r="23" spans="2:20" ht="19.5" x14ac:dyDescent="0.25">
      <c r="B23" s="146">
        <v>431</v>
      </c>
      <c r="C23" s="146">
        <v>7</v>
      </c>
      <c r="D23" s="28" t="s">
        <v>1789</v>
      </c>
      <c r="E23" s="28" t="s">
        <v>1789</v>
      </c>
      <c r="F23" s="108">
        <v>45444</v>
      </c>
      <c r="G23" s="109">
        <v>0.74652777777777779</v>
      </c>
      <c r="H23" s="124" t="s">
        <v>2430</v>
      </c>
      <c r="I23" s="124" t="s">
        <v>1904</v>
      </c>
      <c r="J23" s="124" t="s">
        <v>1904</v>
      </c>
      <c r="K23" s="28" t="s">
        <v>2443</v>
      </c>
      <c r="L23" s="28"/>
      <c r="M23" s="28">
        <v>200000</v>
      </c>
      <c r="N23" s="28">
        <v>100000</v>
      </c>
      <c r="O23" s="28" t="s">
        <v>20</v>
      </c>
      <c r="P23" s="28" t="s">
        <v>20</v>
      </c>
      <c r="Q23" s="28" t="s">
        <v>20</v>
      </c>
      <c r="R23" s="28" t="s">
        <v>20</v>
      </c>
      <c r="S23" s="28" t="s">
        <v>20</v>
      </c>
      <c r="T23" s="148" t="s">
        <v>20</v>
      </c>
    </row>
    <row r="24" spans="2:20" ht="39" x14ac:dyDescent="0.25">
      <c r="B24" s="146">
        <v>2473</v>
      </c>
      <c r="C24" s="146" t="s">
        <v>5757</v>
      </c>
      <c r="D24" s="28" t="s">
        <v>1789</v>
      </c>
      <c r="E24" s="108" t="s">
        <v>5714</v>
      </c>
      <c r="F24" s="108">
        <v>45444</v>
      </c>
      <c r="G24" s="109">
        <v>0.70972222222222225</v>
      </c>
      <c r="H24" s="124"/>
      <c r="I24" s="124" t="s">
        <v>5882</v>
      </c>
      <c r="J24" s="124"/>
      <c r="K24" s="28"/>
      <c r="L24" s="28"/>
      <c r="M24" s="28"/>
      <c r="N24" s="28"/>
      <c r="O24" s="28"/>
      <c r="P24" s="28"/>
      <c r="Q24" s="28"/>
      <c r="R24" s="28"/>
      <c r="S24" s="28"/>
      <c r="T24" s="148"/>
    </row>
    <row r="25" spans="2:20" ht="214.5" x14ac:dyDescent="0.35">
      <c r="B25" s="146">
        <v>1949</v>
      </c>
      <c r="C25" s="147">
        <v>1</v>
      </c>
      <c r="D25" s="26" t="s">
        <v>1789</v>
      </c>
      <c r="E25" s="26" t="s">
        <v>5072</v>
      </c>
      <c r="F25" s="108">
        <v>45444</v>
      </c>
      <c r="G25" s="28" t="s">
        <v>5254</v>
      </c>
      <c r="H25" s="179"/>
      <c r="I25" s="179"/>
      <c r="J25" s="179"/>
      <c r="K25" s="122" t="s">
        <v>5255</v>
      </c>
      <c r="L25" s="28"/>
      <c r="M25" s="28" t="s">
        <v>204</v>
      </c>
      <c r="N25" s="28" t="s">
        <v>5118</v>
      </c>
      <c r="O25" s="26" t="s">
        <v>5071</v>
      </c>
      <c r="P25" s="26" t="s">
        <v>5071</v>
      </c>
      <c r="Q25" s="26" t="s">
        <v>5071</v>
      </c>
      <c r="R25" s="26" t="s">
        <v>5071</v>
      </c>
      <c r="S25" s="26" t="s">
        <v>5071</v>
      </c>
      <c r="T25" s="242" t="s">
        <v>5071</v>
      </c>
    </row>
    <row r="26" spans="2:20" ht="19.5" x14ac:dyDescent="0.25">
      <c r="B26" s="146">
        <v>2502</v>
      </c>
      <c r="C26" s="146" t="s">
        <v>5763</v>
      </c>
      <c r="D26" s="28" t="s">
        <v>1789</v>
      </c>
      <c r="E26" s="108" t="s">
        <v>5715</v>
      </c>
      <c r="F26" s="108">
        <v>45444</v>
      </c>
      <c r="G26" s="109"/>
      <c r="H26" s="124"/>
      <c r="I26" s="124"/>
      <c r="J26" s="124"/>
      <c r="K26" s="28"/>
      <c r="L26" s="28"/>
      <c r="M26" s="28"/>
      <c r="N26" s="28"/>
      <c r="O26" s="28"/>
      <c r="P26" s="28"/>
      <c r="Q26" s="28"/>
      <c r="R26" s="28"/>
      <c r="S26" s="28"/>
      <c r="T26" s="148"/>
    </row>
    <row r="27" spans="2:20" ht="136.5" x14ac:dyDescent="0.25">
      <c r="B27" s="146">
        <v>2246</v>
      </c>
      <c r="C27" s="146">
        <v>269</v>
      </c>
      <c r="D27" s="28" t="s">
        <v>5357</v>
      </c>
      <c r="E27" s="28" t="s">
        <v>5474</v>
      </c>
      <c r="F27" s="108">
        <v>45444</v>
      </c>
      <c r="G27" s="109" t="s">
        <v>5460</v>
      </c>
      <c r="H27" s="124" t="s">
        <v>5434</v>
      </c>
      <c r="I27" s="124"/>
      <c r="J27" s="124"/>
      <c r="K27" s="28"/>
      <c r="L27" s="28"/>
      <c r="M27" s="162">
        <v>1000</v>
      </c>
      <c r="N27" s="28">
        <v>499000</v>
      </c>
      <c r="O27" s="28" t="s">
        <v>20</v>
      </c>
      <c r="P27" s="28" t="s">
        <v>20</v>
      </c>
      <c r="Q27" s="28" t="s">
        <v>20</v>
      </c>
      <c r="R27" s="28" t="s">
        <v>20</v>
      </c>
      <c r="S27" s="28" t="s">
        <v>20</v>
      </c>
      <c r="T27" s="148" t="s">
        <v>20</v>
      </c>
    </row>
    <row r="28" spans="2:20" ht="117" x14ac:dyDescent="0.25">
      <c r="B28" s="146">
        <v>2199</v>
      </c>
      <c r="C28" s="146">
        <v>222</v>
      </c>
      <c r="D28" s="28" t="s">
        <v>5357</v>
      </c>
      <c r="E28" s="28" t="s">
        <v>5475</v>
      </c>
      <c r="F28" s="108">
        <v>45444</v>
      </c>
      <c r="G28" s="109">
        <v>0.46250000000000002</v>
      </c>
      <c r="H28" s="124" t="s">
        <v>5389</v>
      </c>
      <c r="I28" s="124"/>
      <c r="J28" s="124"/>
      <c r="K28" s="28"/>
      <c r="L28" s="28"/>
      <c r="M28" s="28">
        <v>1000</v>
      </c>
      <c r="N28" s="162">
        <v>499000</v>
      </c>
      <c r="O28" s="28" t="s">
        <v>20</v>
      </c>
      <c r="P28" s="28" t="s">
        <v>20</v>
      </c>
      <c r="Q28" s="28" t="s">
        <v>20</v>
      </c>
      <c r="R28" s="28" t="s">
        <v>20</v>
      </c>
      <c r="S28" s="28" t="s">
        <v>20</v>
      </c>
      <c r="T28" s="148" t="s">
        <v>20</v>
      </c>
    </row>
    <row r="29" spans="2:20" ht="136.5" x14ac:dyDescent="0.25">
      <c r="B29" s="146">
        <v>2200</v>
      </c>
      <c r="C29" s="146">
        <v>223</v>
      </c>
      <c r="D29" s="28" t="s">
        <v>5357</v>
      </c>
      <c r="E29" s="28" t="s">
        <v>5475</v>
      </c>
      <c r="F29" s="108">
        <v>45444</v>
      </c>
      <c r="G29" s="109">
        <v>0.47291666666666665</v>
      </c>
      <c r="H29" s="124" t="s">
        <v>5390</v>
      </c>
      <c r="I29" s="124"/>
      <c r="J29" s="124"/>
      <c r="K29" s="28"/>
      <c r="L29" s="28"/>
      <c r="M29" s="28">
        <v>1000</v>
      </c>
      <c r="N29" s="162">
        <v>4999000</v>
      </c>
      <c r="O29" s="28" t="s">
        <v>20</v>
      </c>
      <c r="P29" s="28" t="s">
        <v>20</v>
      </c>
      <c r="Q29" s="28" t="s">
        <v>20</v>
      </c>
      <c r="R29" s="28" t="s">
        <v>20</v>
      </c>
      <c r="S29" s="28" t="s">
        <v>20</v>
      </c>
      <c r="T29" s="148" t="s">
        <v>20</v>
      </c>
    </row>
    <row r="30" spans="2:20" ht="117" x14ac:dyDescent="0.25">
      <c r="B30" s="146">
        <v>2201</v>
      </c>
      <c r="C30" s="146">
        <v>224</v>
      </c>
      <c r="D30" s="28" t="s">
        <v>5357</v>
      </c>
      <c r="E30" s="28" t="s">
        <v>5475</v>
      </c>
      <c r="F30" s="108">
        <v>45444</v>
      </c>
      <c r="G30" s="109">
        <v>0.63888888888888884</v>
      </c>
      <c r="H30" s="124" t="s">
        <v>5391</v>
      </c>
      <c r="I30" s="124"/>
      <c r="J30" s="124"/>
      <c r="K30" s="28"/>
      <c r="L30" s="28"/>
      <c r="M30" s="28">
        <v>1000</v>
      </c>
      <c r="N30" s="162">
        <v>499000</v>
      </c>
      <c r="O30" s="28" t="s">
        <v>20</v>
      </c>
      <c r="P30" s="28" t="s">
        <v>20</v>
      </c>
      <c r="Q30" s="28" t="s">
        <v>20</v>
      </c>
      <c r="R30" s="28" t="s">
        <v>20</v>
      </c>
      <c r="S30" s="28" t="s">
        <v>20</v>
      </c>
      <c r="T30" s="148" t="s">
        <v>20</v>
      </c>
    </row>
    <row r="31" spans="2:20" ht="117" x14ac:dyDescent="0.25">
      <c r="B31" s="146">
        <v>2202</v>
      </c>
      <c r="C31" s="146">
        <v>225</v>
      </c>
      <c r="D31" s="28" t="s">
        <v>5357</v>
      </c>
      <c r="E31" s="28" t="s">
        <v>5475</v>
      </c>
      <c r="F31" s="108">
        <v>45444</v>
      </c>
      <c r="G31" s="109">
        <v>0.68888888888888888</v>
      </c>
      <c r="H31" s="124" t="s">
        <v>5392</v>
      </c>
      <c r="I31" s="124"/>
      <c r="J31" s="124"/>
      <c r="K31" s="28"/>
      <c r="L31" s="28"/>
      <c r="M31" s="28">
        <v>1000</v>
      </c>
      <c r="N31" s="162">
        <v>499000</v>
      </c>
      <c r="O31" s="28" t="s">
        <v>20</v>
      </c>
      <c r="P31" s="28" t="s">
        <v>20</v>
      </c>
      <c r="Q31" s="28" t="s">
        <v>20</v>
      </c>
      <c r="R31" s="28" t="s">
        <v>20</v>
      </c>
      <c r="S31" s="28" t="s">
        <v>20</v>
      </c>
      <c r="T31" s="148" t="s">
        <v>20</v>
      </c>
    </row>
    <row r="32" spans="2:20" ht="78" x14ac:dyDescent="0.25">
      <c r="B32" s="146">
        <v>2203</v>
      </c>
      <c r="C32" s="154">
        <v>226</v>
      </c>
      <c r="D32" s="155" t="s">
        <v>5357</v>
      </c>
      <c r="E32" s="155" t="s">
        <v>5475</v>
      </c>
      <c r="F32" s="160">
        <v>45444</v>
      </c>
      <c r="G32" s="156">
        <v>0.82152777777777775</v>
      </c>
      <c r="H32" s="157" t="s">
        <v>5393</v>
      </c>
      <c r="I32" s="157"/>
      <c r="J32" s="157"/>
      <c r="K32" s="155"/>
      <c r="L32" s="155"/>
      <c r="M32" s="155">
        <v>1000</v>
      </c>
      <c r="N32" s="243">
        <v>799000</v>
      </c>
      <c r="O32" s="155" t="s">
        <v>20</v>
      </c>
      <c r="P32" s="155" t="s">
        <v>20</v>
      </c>
      <c r="Q32" s="155" t="s">
        <v>20</v>
      </c>
      <c r="R32" s="155" t="s">
        <v>20</v>
      </c>
      <c r="S32" s="155" t="s">
        <v>20</v>
      </c>
      <c r="T32" s="158" t="s">
        <v>20</v>
      </c>
    </row>
    <row r="33" spans="2:20" ht="39" x14ac:dyDescent="0.35">
      <c r="B33" s="146">
        <v>3628</v>
      </c>
      <c r="C33" s="28" t="s">
        <v>5774</v>
      </c>
      <c r="D33" s="28" t="s">
        <v>4825</v>
      </c>
      <c r="E33" s="28" t="s">
        <v>4825</v>
      </c>
      <c r="F33" s="108">
        <v>45444</v>
      </c>
      <c r="G33" s="109">
        <v>0.66805555555555551</v>
      </c>
      <c r="H33" s="28" t="s">
        <v>5624</v>
      </c>
      <c r="I33" s="131"/>
      <c r="J33" s="131"/>
      <c r="K33" s="131"/>
      <c r="L33" s="104"/>
      <c r="M33" s="27" t="s">
        <v>20</v>
      </c>
      <c r="N33" s="27" t="s">
        <v>20</v>
      </c>
      <c r="O33" s="27" t="s">
        <v>20</v>
      </c>
      <c r="P33" s="27" t="s">
        <v>20</v>
      </c>
      <c r="Q33" s="27" t="s">
        <v>20</v>
      </c>
      <c r="R33" s="27" t="s">
        <v>20</v>
      </c>
      <c r="S33" s="27" t="s">
        <v>20</v>
      </c>
      <c r="T33" s="27" t="s">
        <v>20</v>
      </c>
    </row>
    <row r="34" spans="2:20" ht="58.5" x14ac:dyDescent="0.25">
      <c r="B34" s="146">
        <v>1435</v>
      </c>
      <c r="C34" s="28">
        <v>1</v>
      </c>
      <c r="D34" s="28" t="s">
        <v>93</v>
      </c>
      <c r="E34" s="28" t="s">
        <v>94</v>
      </c>
      <c r="F34" s="108">
        <v>45444</v>
      </c>
      <c r="G34" s="109">
        <v>0.14166666666666666</v>
      </c>
      <c r="H34" s="124" t="s">
        <v>2658</v>
      </c>
      <c r="I34" s="124" t="s">
        <v>2659</v>
      </c>
      <c r="J34" s="124"/>
      <c r="K34" s="28" t="s">
        <v>2660</v>
      </c>
      <c r="L34" s="28" t="s">
        <v>5889</v>
      </c>
      <c r="M34" s="28" t="s">
        <v>171</v>
      </c>
      <c r="N34" s="28" t="s">
        <v>172</v>
      </c>
      <c r="O34" s="28" t="s">
        <v>20</v>
      </c>
      <c r="P34" s="28" t="s">
        <v>20</v>
      </c>
      <c r="Q34" s="28" t="s">
        <v>20</v>
      </c>
      <c r="R34" s="28" t="s">
        <v>20</v>
      </c>
      <c r="S34" s="28" t="s">
        <v>20</v>
      </c>
      <c r="T34" s="28" t="s">
        <v>20</v>
      </c>
    </row>
    <row r="35" spans="2:20" ht="78" x14ac:dyDescent="0.25">
      <c r="B35" s="146">
        <v>1436</v>
      </c>
      <c r="C35" s="28">
        <v>2</v>
      </c>
      <c r="D35" s="28" t="s">
        <v>93</v>
      </c>
      <c r="E35" s="28" t="s">
        <v>94</v>
      </c>
      <c r="F35" s="108">
        <v>45444</v>
      </c>
      <c r="G35" s="109">
        <v>0.15902777777777777</v>
      </c>
      <c r="H35" s="124" t="s">
        <v>2661</v>
      </c>
      <c r="I35" s="124" t="s">
        <v>2662</v>
      </c>
      <c r="J35" s="124"/>
      <c r="K35" s="28" t="s">
        <v>2663</v>
      </c>
      <c r="L35" s="28" t="s">
        <v>5889</v>
      </c>
      <c r="M35" s="28" t="s">
        <v>20</v>
      </c>
      <c r="N35" s="28" t="s">
        <v>20</v>
      </c>
      <c r="O35" s="28" t="s">
        <v>20</v>
      </c>
      <c r="P35" s="28" t="s">
        <v>20</v>
      </c>
      <c r="Q35" s="28" t="s">
        <v>20</v>
      </c>
      <c r="R35" s="28" t="s">
        <v>20</v>
      </c>
      <c r="S35" s="28" t="s">
        <v>20</v>
      </c>
      <c r="T35" s="28"/>
    </row>
    <row r="36" spans="2:20" ht="39" x14ac:dyDescent="0.25">
      <c r="B36" s="146">
        <v>1472</v>
      </c>
      <c r="C36" s="28">
        <v>38</v>
      </c>
      <c r="D36" s="28" t="s">
        <v>93</v>
      </c>
      <c r="E36" s="28" t="s">
        <v>584</v>
      </c>
      <c r="F36" s="108">
        <v>45444</v>
      </c>
      <c r="G36" s="109">
        <v>6.6446759259259261E-2</v>
      </c>
      <c r="H36" s="124" t="s">
        <v>2747</v>
      </c>
      <c r="I36" s="124" t="s">
        <v>2748</v>
      </c>
      <c r="J36" s="124" t="s">
        <v>385</v>
      </c>
      <c r="K36" s="28" t="s">
        <v>2749</v>
      </c>
      <c r="L36" s="28"/>
      <c r="M36" s="28">
        <v>1000</v>
      </c>
      <c r="N36" s="28">
        <v>299000</v>
      </c>
      <c r="O36" s="28" t="s">
        <v>75</v>
      </c>
      <c r="P36" s="28" t="s">
        <v>75</v>
      </c>
      <c r="Q36" s="28" t="s">
        <v>75</v>
      </c>
      <c r="R36" s="28" t="s">
        <v>75</v>
      </c>
      <c r="S36" s="28" t="s">
        <v>75</v>
      </c>
      <c r="T36" s="28" t="s">
        <v>75</v>
      </c>
    </row>
    <row r="37" spans="2:20" ht="39" x14ac:dyDescent="0.25">
      <c r="B37" s="146">
        <v>1473</v>
      </c>
      <c r="C37" s="28">
        <v>39</v>
      </c>
      <c r="D37" s="28" t="s">
        <v>93</v>
      </c>
      <c r="E37" s="28" t="s">
        <v>584</v>
      </c>
      <c r="F37" s="108">
        <v>45444</v>
      </c>
      <c r="G37" s="109">
        <v>7.1840277777777781E-2</v>
      </c>
      <c r="H37" s="124" t="s">
        <v>2750</v>
      </c>
      <c r="I37" s="124" t="s">
        <v>2751</v>
      </c>
      <c r="J37" s="124"/>
      <c r="K37" s="28" t="s">
        <v>20</v>
      </c>
      <c r="L37" s="28" t="s">
        <v>1999</v>
      </c>
      <c r="M37" s="28" t="s">
        <v>20</v>
      </c>
      <c r="N37" s="28" t="s">
        <v>20</v>
      </c>
      <c r="O37" s="28" t="s">
        <v>75</v>
      </c>
      <c r="P37" s="28" t="s">
        <v>75</v>
      </c>
      <c r="Q37" s="28" t="s">
        <v>75</v>
      </c>
      <c r="R37" s="28" t="s">
        <v>75</v>
      </c>
      <c r="S37" s="28">
        <v>5</v>
      </c>
      <c r="T37" s="28" t="s">
        <v>75</v>
      </c>
    </row>
    <row r="38" spans="2:20" ht="39" x14ac:dyDescent="0.25">
      <c r="B38" s="146">
        <v>1474</v>
      </c>
      <c r="C38" s="28">
        <v>40</v>
      </c>
      <c r="D38" s="28" t="s">
        <v>93</v>
      </c>
      <c r="E38" s="28" t="s">
        <v>584</v>
      </c>
      <c r="F38" s="108">
        <v>45444</v>
      </c>
      <c r="G38" s="109">
        <v>0.73750000000000004</v>
      </c>
      <c r="H38" s="124" t="s">
        <v>2752</v>
      </c>
      <c r="I38" s="124" t="s">
        <v>2559</v>
      </c>
      <c r="J38" s="124" t="s">
        <v>4168</v>
      </c>
      <c r="K38" s="28" t="s">
        <v>2753</v>
      </c>
      <c r="L38" s="28"/>
      <c r="M38" s="28" t="s">
        <v>75</v>
      </c>
      <c r="N38" s="28" t="s">
        <v>75</v>
      </c>
      <c r="O38" s="28" t="s">
        <v>75</v>
      </c>
      <c r="P38" s="28" t="s">
        <v>75</v>
      </c>
      <c r="Q38" s="28" t="s">
        <v>75</v>
      </c>
      <c r="R38" s="28" t="s">
        <v>75</v>
      </c>
      <c r="S38" s="28" t="s">
        <v>75</v>
      </c>
      <c r="T38" s="28" t="s">
        <v>75</v>
      </c>
    </row>
    <row r="39" spans="2:20" ht="39" x14ac:dyDescent="0.25">
      <c r="B39" s="146">
        <v>1496</v>
      </c>
      <c r="C39" s="28">
        <v>62</v>
      </c>
      <c r="D39" s="28" t="s">
        <v>93</v>
      </c>
      <c r="E39" s="28" t="s">
        <v>1792</v>
      </c>
      <c r="F39" s="108">
        <v>45444</v>
      </c>
      <c r="G39" s="109">
        <v>4.3055555555555555E-2</v>
      </c>
      <c r="H39" s="124" t="s">
        <v>2793</v>
      </c>
      <c r="I39" s="124" t="s">
        <v>2578</v>
      </c>
      <c r="J39" s="124" t="s">
        <v>4168</v>
      </c>
      <c r="K39" s="28" t="s">
        <v>2794</v>
      </c>
      <c r="L39" s="28"/>
      <c r="M39" s="28" t="s">
        <v>1825</v>
      </c>
      <c r="N39" s="28" t="s">
        <v>1808</v>
      </c>
      <c r="O39" s="28" t="s">
        <v>23</v>
      </c>
      <c r="P39" s="28" t="s">
        <v>23</v>
      </c>
      <c r="Q39" s="28" t="s">
        <v>23</v>
      </c>
      <c r="R39" s="28" t="s">
        <v>23</v>
      </c>
      <c r="S39" s="28" t="s">
        <v>23</v>
      </c>
      <c r="T39" s="28" t="s">
        <v>23</v>
      </c>
    </row>
    <row r="40" spans="2:20" ht="156" x14ac:dyDescent="0.25">
      <c r="B40" s="146">
        <v>2304</v>
      </c>
      <c r="C40" s="28">
        <v>27</v>
      </c>
      <c r="D40" s="28" t="s">
        <v>4832</v>
      </c>
      <c r="E40" s="28" t="s">
        <v>4832</v>
      </c>
      <c r="F40" s="108">
        <v>45445</v>
      </c>
      <c r="G40" s="109">
        <v>0.84027777777777779</v>
      </c>
      <c r="H40" s="124" t="s">
        <v>5557</v>
      </c>
      <c r="I40" s="124"/>
      <c r="J40" s="124"/>
      <c r="K40" s="28"/>
      <c r="L40" s="28"/>
      <c r="M40" s="162">
        <v>5000</v>
      </c>
      <c r="N40" s="162">
        <v>1995000</v>
      </c>
      <c r="O40" s="28" t="s">
        <v>20</v>
      </c>
      <c r="P40" s="28" t="s">
        <v>20</v>
      </c>
      <c r="Q40" s="28" t="s">
        <v>20</v>
      </c>
      <c r="R40" s="28" t="s">
        <v>20</v>
      </c>
      <c r="S40" s="28" t="s">
        <v>20</v>
      </c>
      <c r="T40" s="28" t="s">
        <v>20</v>
      </c>
    </row>
    <row r="41" spans="2:20" ht="234" x14ac:dyDescent="0.25">
      <c r="B41" s="146">
        <v>2317</v>
      </c>
      <c r="C41" s="28">
        <v>40</v>
      </c>
      <c r="D41" s="28" t="s">
        <v>4832</v>
      </c>
      <c r="E41" s="28" t="s">
        <v>5610</v>
      </c>
      <c r="F41" s="108">
        <v>45445</v>
      </c>
      <c r="G41" s="109">
        <v>0.3263888888888889</v>
      </c>
      <c r="H41" s="124" t="s">
        <v>5571</v>
      </c>
      <c r="I41" s="124"/>
      <c r="J41" s="124"/>
      <c r="K41" s="28"/>
      <c r="L41" s="28"/>
      <c r="M41" s="28" t="s">
        <v>5572</v>
      </c>
      <c r="N41" s="28" t="s">
        <v>173</v>
      </c>
      <c r="O41" s="28" t="s">
        <v>20</v>
      </c>
      <c r="P41" s="28" t="s">
        <v>20</v>
      </c>
      <c r="Q41" s="28" t="s">
        <v>20</v>
      </c>
      <c r="R41" s="28" t="s">
        <v>20</v>
      </c>
      <c r="S41" s="28" t="s">
        <v>20</v>
      </c>
      <c r="T41" s="28" t="s">
        <v>20</v>
      </c>
    </row>
    <row r="42" spans="2:20" ht="214.5" x14ac:dyDescent="0.25">
      <c r="B42" s="146">
        <v>2318</v>
      </c>
      <c r="C42" s="28">
        <v>41</v>
      </c>
      <c r="D42" s="28" t="s">
        <v>4832</v>
      </c>
      <c r="E42" s="28" t="s">
        <v>5610</v>
      </c>
      <c r="F42" s="108">
        <v>45445</v>
      </c>
      <c r="G42" s="109">
        <v>0.81527777777777777</v>
      </c>
      <c r="H42" s="124" t="s">
        <v>5573</v>
      </c>
      <c r="I42" s="124"/>
      <c r="J42" s="124"/>
      <c r="K42" s="28"/>
      <c r="L42" s="28"/>
      <c r="M42" s="28" t="s">
        <v>5574</v>
      </c>
      <c r="N42" s="28" t="s">
        <v>152</v>
      </c>
      <c r="O42" s="28" t="s">
        <v>20</v>
      </c>
      <c r="P42" s="28" t="s">
        <v>20</v>
      </c>
      <c r="Q42" s="28" t="s">
        <v>20</v>
      </c>
      <c r="R42" s="28" t="s">
        <v>20</v>
      </c>
      <c r="S42" s="28" t="s">
        <v>20</v>
      </c>
      <c r="T42" s="28" t="s">
        <v>20</v>
      </c>
    </row>
    <row r="43" spans="2:20" ht="58.5" x14ac:dyDescent="0.25">
      <c r="B43" s="146">
        <v>993</v>
      </c>
      <c r="C43" s="28">
        <v>481</v>
      </c>
      <c r="D43" s="28" t="s">
        <v>321</v>
      </c>
      <c r="E43" s="28" t="s">
        <v>3776</v>
      </c>
      <c r="F43" s="108">
        <v>45445</v>
      </c>
      <c r="G43" s="109">
        <v>3.7499999999999999E-2</v>
      </c>
      <c r="H43" s="124" t="s">
        <v>4362</v>
      </c>
      <c r="I43" s="124" t="s">
        <v>3656</v>
      </c>
      <c r="J43" s="124" t="s">
        <v>4168</v>
      </c>
      <c r="K43" s="28" t="s">
        <v>4228</v>
      </c>
      <c r="L43" s="28"/>
      <c r="M43" s="28">
        <v>2000</v>
      </c>
      <c r="N43" s="28">
        <v>98000</v>
      </c>
      <c r="O43" s="28" t="s">
        <v>20</v>
      </c>
      <c r="P43" s="28" t="s">
        <v>20</v>
      </c>
      <c r="Q43" s="28" t="s">
        <v>20</v>
      </c>
      <c r="R43" s="28" t="s">
        <v>20</v>
      </c>
      <c r="S43" s="28" t="s">
        <v>20</v>
      </c>
      <c r="T43" s="28" t="s">
        <v>20</v>
      </c>
    </row>
    <row r="44" spans="2:20" ht="39" x14ac:dyDescent="0.25">
      <c r="B44" s="146">
        <v>994</v>
      </c>
      <c r="C44" s="28">
        <v>482</v>
      </c>
      <c r="D44" s="28" t="s">
        <v>321</v>
      </c>
      <c r="E44" s="28" t="s">
        <v>3776</v>
      </c>
      <c r="F44" s="108">
        <v>45445</v>
      </c>
      <c r="G44" s="109">
        <v>0.51736111111111116</v>
      </c>
      <c r="H44" s="124" t="s">
        <v>4363</v>
      </c>
      <c r="I44" s="124" t="s">
        <v>4204</v>
      </c>
      <c r="J44" s="124" t="s">
        <v>385</v>
      </c>
      <c r="K44" s="28" t="s">
        <v>4364</v>
      </c>
      <c r="L44" s="28"/>
      <c r="M44" s="28">
        <v>50000</v>
      </c>
      <c r="N44" s="28">
        <v>950000</v>
      </c>
      <c r="O44" s="28" t="s">
        <v>20</v>
      </c>
      <c r="P44" s="28" t="s">
        <v>20</v>
      </c>
      <c r="Q44" s="28" t="s">
        <v>20</v>
      </c>
      <c r="R44" s="28" t="s">
        <v>20</v>
      </c>
      <c r="S44" s="28" t="s">
        <v>20</v>
      </c>
      <c r="T44" s="28" t="s">
        <v>20</v>
      </c>
    </row>
    <row r="45" spans="2:20" ht="19.5" x14ac:dyDescent="0.25">
      <c r="B45" s="146">
        <v>1007</v>
      </c>
      <c r="C45" s="28">
        <v>506</v>
      </c>
      <c r="D45" s="28" t="s">
        <v>321</v>
      </c>
      <c r="E45" s="28" t="s">
        <v>580</v>
      </c>
      <c r="F45" s="108">
        <v>45445</v>
      </c>
      <c r="G45" s="109">
        <v>0.64583333333333337</v>
      </c>
      <c r="H45" s="124" t="s">
        <v>4403</v>
      </c>
      <c r="I45" s="124" t="s">
        <v>3795</v>
      </c>
      <c r="J45" s="124" t="s">
        <v>406</v>
      </c>
      <c r="K45" s="28" t="s">
        <v>3796</v>
      </c>
      <c r="L45" s="28"/>
      <c r="M45" s="28"/>
      <c r="N45" s="28"/>
      <c r="O45" s="28" t="s">
        <v>20</v>
      </c>
      <c r="P45" s="28" t="s">
        <v>20</v>
      </c>
      <c r="Q45" s="28" t="s">
        <v>20</v>
      </c>
      <c r="R45" s="28" t="s">
        <v>20</v>
      </c>
      <c r="S45" s="28" t="s">
        <v>20</v>
      </c>
      <c r="T45" s="28" t="s">
        <v>20</v>
      </c>
    </row>
    <row r="46" spans="2:20" ht="97.5" x14ac:dyDescent="0.25">
      <c r="B46" s="146">
        <v>1780</v>
      </c>
      <c r="C46" s="28">
        <v>15</v>
      </c>
      <c r="D46" s="28" t="s">
        <v>4777</v>
      </c>
      <c r="E46" s="28" t="s">
        <v>4778</v>
      </c>
      <c r="F46" s="108">
        <v>45445</v>
      </c>
      <c r="G46" s="109">
        <v>0.76527777777777772</v>
      </c>
      <c r="H46" s="124" t="s">
        <v>4805</v>
      </c>
      <c r="I46" s="124"/>
      <c r="J46" s="124"/>
      <c r="K46" s="28"/>
      <c r="L46" s="28"/>
      <c r="M46" s="28" t="s">
        <v>20</v>
      </c>
      <c r="N46" s="28" t="s">
        <v>20</v>
      </c>
      <c r="O46" s="28" t="s">
        <v>20</v>
      </c>
      <c r="P46" s="28" t="s">
        <v>20</v>
      </c>
      <c r="Q46" s="28" t="s">
        <v>20</v>
      </c>
      <c r="R46" s="28" t="s">
        <v>20</v>
      </c>
      <c r="S46" s="28" t="s">
        <v>20</v>
      </c>
      <c r="T46" s="28" t="s">
        <v>20</v>
      </c>
    </row>
    <row r="47" spans="2:20" ht="78" x14ac:dyDescent="0.25">
      <c r="B47" s="146">
        <v>1782</v>
      </c>
      <c r="C47" s="28">
        <v>15</v>
      </c>
      <c r="D47" s="28" t="s">
        <v>4777</v>
      </c>
      <c r="E47" s="28" t="s">
        <v>4780</v>
      </c>
      <c r="F47" s="108">
        <v>45445</v>
      </c>
      <c r="G47" s="109">
        <v>0.58958333333333335</v>
      </c>
      <c r="H47" s="124" t="s">
        <v>4808</v>
      </c>
      <c r="I47" s="124"/>
      <c r="J47" s="124"/>
      <c r="K47" s="28"/>
      <c r="L47" s="28"/>
      <c r="M47" s="28" t="s">
        <v>4809</v>
      </c>
      <c r="N47" s="28" t="s">
        <v>4810</v>
      </c>
      <c r="O47" s="28" t="s">
        <v>20</v>
      </c>
      <c r="P47" s="28" t="s">
        <v>20</v>
      </c>
      <c r="Q47" s="28" t="s">
        <v>20</v>
      </c>
      <c r="R47" s="28" t="s">
        <v>20</v>
      </c>
      <c r="S47" s="28" t="s">
        <v>20</v>
      </c>
      <c r="T47" s="28" t="s">
        <v>20</v>
      </c>
    </row>
    <row r="48" spans="2:20" ht="19.5" x14ac:dyDescent="0.25">
      <c r="B48" s="146">
        <v>341</v>
      </c>
      <c r="C48" s="28">
        <v>5</v>
      </c>
      <c r="D48" s="28" t="s">
        <v>1789</v>
      </c>
      <c r="E48" s="28" t="s">
        <v>1789</v>
      </c>
      <c r="F48" s="108">
        <v>45445</v>
      </c>
      <c r="G48" s="109">
        <v>5.6944444444444443E-2</v>
      </c>
      <c r="H48" s="124" t="s">
        <v>2314</v>
      </c>
      <c r="I48" s="124" t="s">
        <v>1904</v>
      </c>
      <c r="J48" s="124" t="s">
        <v>1904</v>
      </c>
      <c r="K48" s="122" t="s">
        <v>2004</v>
      </c>
      <c r="L48" s="28"/>
      <c r="M48" s="28" t="s">
        <v>20</v>
      </c>
      <c r="N48" s="28">
        <v>2000000</v>
      </c>
      <c r="O48" s="28" t="s">
        <v>20</v>
      </c>
      <c r="P48" s="28" t="s">
        <v>20</v>
      </c>
      <c r="Q48" s="28" t="s">
        <v>20</v>
      </c>
      <c r="R48" s="28" t="s">
        <v>20</v>
      </c>
      <c r="S48" s="28" t="s">
        <v>20</v>
      </c>
      <c r="T48" s="28" t="s">
        <v>20</v>
      </c>
    </row>
    <row r="49" spans="2:20" ht="19.5" x14ac:dyDescent="0.25">
      <c r="B49" s="146">
        <v>432</v>
      </c>
      <c r="C49" s="28">
        <v>8</v>
      </c>
      <c r="D49" s="28" t="s">
        <v>1789</v>
      </c>
      <c r="E49" s="28" t="s">
        <v>1789</v>
      </c>
      <c r="F49" s="108">
        <v>45445</v>
      </c>
      <c r="G49" s="109">
        <v>0.53194444444444444</v>
      </c>
      <c r="H49" s="124" t="s">
        <v>2431</v>
      </c>
      <c r="I49" s="124" t="s">
        <v>1904</v>
      </c>
      <c r="J49" s="124" t="s">
        <v>1904</v>
      </c>
      <c r="K49" s="28" t="s">
        <v>2443</v>
      </c>
      <c r="L49" s="28"/>
      <c r="M49" s="28">
        <v>200000</v>
      </c>
      <c r="N49" s="28">
        <v>1800000</v>
      </c>
      <c r="O49" s="28" t="s">
        <v>20</v>
      </c>
      <c r="P49" s="28" t="s">
        <v>20</v>
      </c>
      <c r="Q49" s="28" t="s">
        <v>20</v>
      </c>
      <c r="R49" s="28" t="s">
        <v>20</v>
      </c>
      <c r="S49" s="28" t="s">
        <v>20</v>
      </c>
      <c r="T49" s="28" t="s">
        <v>20</v>
      </c>
    </row>
    <row r="50" spans="2:20" ht="214.5" x14ac:dyDescent="0.25">
      <c r="B50" s="146">
        <v>1947</v>
      </c>
      <c r="C50" s="26">
        <v>1</v>
      </c>
      <c r="D50" s="26" t="s">
        <v>1789</v>
      </c>
      <c r="E50" s="26" t="s">
        <v>5072</v>
      </c>
      <c r="F50" s="108">
        <v>45445</v>
      </c>
      <c r="G50" s="28" t="s">
        <v>5152</v>
      </c>
      <c r="H50" s="124" t="s">
        <v>5247</v>
      </c>
      <c r="I50" s="28" t="s">
        <v>5075</v>
      </c>
      <c r="J50" s="124" t="s">
        <v>4168</v>
      </c>
      <c r="K50" s="122" t="s">
        <v>5248</v>
      </c>
      <c r="L50" s="28"/>
      <c r="M50" s="28" t="s">
        <v>127</v>
      </c>
      <c r="N50" s="28" t="s">
        <v>5159</v>
      </c>
      <c r="O50" s="26" t="s">
        <v>5071</v>
      </c>
      <c r="P50" s="26" t="s">
        <v>5071</v>
      </c>
      <c r="Q50" s="26" t="s">
        <v>5071</v>
      </c>
      <c r="R50" s="26" t="s">
        <v>5071</v>
      </c>
      <c r="S50" s="26" t="s">
        <v>5071</v>
      </c>
      <c r="T50" s="26" t="s">
        <v>5071</v>
      </c>
    </row>
    <row r="51" spans="2:20" ht="39" x14ac:dyDescent="0.35">
      <c r="B51" s="146">
        <v>3635</v>
      </c>
      <c r="C51" s="28" t="s">
        <v>5781</v>
      </c>
      <c r="D51" s="28" t="s">
        <v>4825</v>
      </c>
      <c r="E51" s="28" t="s">
        <v>5678</v>
      </c>
      <c r="F51" s="108">
        <v>45445</v>
      </c>
      <c r="G51" s="109">
        <v>0.73124999999999996</v>
      </c>
      <c r="H51" s="28" t="s">
        <v>5631</v>
      </c>
      <c r="I51" s="131"/>
      <c r="J51" s="131"/>
      <c r="K51" s="131"/>
      <c r="L51" s="104"/>
      <c r="M51" s="28" t="s">
        <v>34</v>
      </c>
      <c r="N51" s="28" t="s">
        <v>5632</v>
      </c>
      <c r="O51" s="28" t="s">
        <v>20</v>
      </c>
      <c r="P51" s="28" t="s">
        <v>20</v>
      </c>
      <c r="Q51" s="28" t="s">
        <v>20</v>
      </c>
      <c r="R51" s="28" t="s">
        <v>20</v>
      </c>
      <c r="S51" s="28" t="s">
        <v>20</v>
      </c>
      <c r="T51" s="28" t="s">
        <v>20</v>
      </c>
    </row>
    <row r="52" spans="2:20" ht="39" x14ac:dyDescent="0.35">
      <c r="B52" s="146">
        <v>3636</v>
      </c>
      <c r="C52" s="28" t="s">
        <v>5782</v>
      </c>
      <c r="D52" s="28" t="s">
        <v>4825</v>
      </c>
      <c r="E52" s="28" t="s">
        <v>5678</v>
      </c>
      <c r="F52" s="108">
        <v>45445</v>
      </c>
      <c r="G52" s="109">
        <v>0.75624999999999998</v>
      </c>
      <c r="H52" s="28" t="s">
        <v>5633</v>
      </c>
      <c r="I52" s="131"/>
      <c r="J52" s="131"/>
      <c r="K52" s="131"/>
      <c r="L52" s="104"/>
      <c r="M52" s="26" t="s">
        <v>5634</v>
      </c>
      <c r="N52" s="28" t="s">
        <v>5635</v>
      </c>
      <c r="O52" s="28" t="s">
        <v>20</v>
      </c>
      <c r="P52" s="28" t="s">
        <v>20</v>
      </c>
      <c r="Q52" s="28" t="s">
        <v>20</v>
      </c>
      <c r="R52" s="28" t="s">
        <v>20</v>
      </c>
      <c r="S52" s="28" t="s">
        <v>20</v>
      </c>
      <c r="T52" s="28" t="s">
        <v>20</v>
      </c>
    </row>
    <row r="53" spans="2:20" ht="78" x14ac:dyDescent="0.25">
      <c r="B53" s="146">
        <v>1437</v>
      </c>
      <c r="C53" s="28">
        <v>3</v>
      </c>
      <c r="D53" s="28" t="s">
        <v>93</v>
      </c>
      <c r="E53" s="28" t="s">
        <v>94</v>
      </c>
      <c r="F53" s="108">
        <v>45445</v>
      </c>
      <c r="G53" s="109">
        <v>0.27847222222222223</v>
      </c>
      <c r="H53" s="124" t="s">
        <v>2664</v>
      </c>
      <c r="I53" s="124" t="s">
        <v>2665</v>
      </c>
      <c r="J53" s="124" t="s">
        <v>385</v>
      </c>
      <c r="K53" s="28" t="s">
        <v>2666</v>
      </c>
      <c r="L53" s="28"/>
      <c r="M53" s="28" t="s">
        <v>145</v>
      </c>
      <c r="N53" s="28" t="s">
        <v>173</v>
      </c>
      <c r="O53" s="28" t="s">
        <v>20</v>
      </c>
      <c r="P53" s="28" t="s">
        <v>20</v>
      </c>
      <c r="Q53" s="28" t="s">
        <v>20</v>
      </c>
      <c r="R53" s="28" t="s">
        <v>20</v>
      </c>
      <c r="S53" s="28" t="s">
        <v>20</v>
      </c>
      <c r="T53" s="28" t="s">
        <v>20</v>
      </c>
    </row>
    <row r="54" spans="2:20" ht="78" x14ac:dyDescent="0.25">
      <c r="B54" s="146">
        <v>1438</v>
      </c>
      <c r="C54" s="28">
        <v>4</v>
      </c>
      <c r="D54" s="28" t="s">
        <v>93</v>
      </c>
      <c r="E54" s="28" t="s">
        <v>94</v>
      </c>
      <c r="F54" s="108">
        <v>45445</v>
      </c>
      <c r="G54" s="109">
        <v>0.36458333333333331</v>
      </c>
      <c r="H54" s="124" t="s">
        <v>2667</v>
      </c>
      <c r="I54" s="124" t="s">
        <v>2668</v>
      </c>
      <c r="J54" s="124" t="s">
        <v>4168</v>
      </c>
      <c r="K54" s="28" t="s">
        <v>2669</v>
      </c>
      <c r="L54" s="28" t="s">
        <v>499</v>
      </c>
      <c r="M54" s="28" t="s">
        <v>20</v>
      </c>
      <c r="N54" s="28" t="s">
        <v>174</v>
      </c>
      <c r="O54" s="28" t="s">
        <v>20</v>
      </c>
      <c r="P54" s="28" t="s">
        <v>20</v>
      </c>
      <c r="Q54" s="28" t="s">
        <v>20</v>
      </c>
      <c r="R54" s="28" t="s">
        <v>20</v>
      </c>
      <c r="S54" s="28" t="s">
        <v>20</v>
      </c>
      <c r="T54" s="28" t="s">
        <v>20</v>
      </c>
    </row>
    <row r="55" spans="2:20" ht="19.5" customHeight="1" x14ac:dyDescent="0.25">
      <c r="B55" s="146">
        <v>1475</v>
      </c>
      <c r="C55" s="28">
        <v>41</v>
      </c>
      <c r="D55" s="28" t="s">
        <v>93</v>
      </c>
      <c r="E55" s="28" t="s">
        <v>584</v>
      </c>
      <c r="F55" s="108">
        <v>45445</v>
      </c>
      <c r="G55" s="109">
        <v>7.1261574074074074E-2</v>
      </c>
      <c r="H55" s="124" t="s">
        <v>2754</v>
      </c>
      <c r="I55" s="124" t="s">
        <v>2748</v>
      </c>
      <c r="J55" s="124" t="s">
        <v>385</v>
      </c>
      <c r="K55" s="28" t="s">
        <v>2755</v>
      </c>
      <c r="L55" s="28"/>
      <c r="M55" s="28">
        <v>2000</v>
      </c>
      <c r="N55" s="28">
        <v>4998000</v>
      </c>
      <c r="O55" s="28" t="s">
        <v>75</v>
      </c>
      <c r="P55" s="28" t="s">
        <v>75</v>
      </c>
      <c r="Q55" s="28" t="s">
        <v>75</v>
      </c>
      <c r="R55" s="28" t="s">
        <v>75</v>
      </c>
      <c r="S55" s="28" t="s">
        <v>75</v>
      </c>
      <c r="T55" s="28" t="s">
        <v>75</v>
      </c>
    </row>
    <row r="56" spans="2:20" ht="19.5" customHeight="1" x14ac:dyDescent="0.25">
      <c r="B56" s="146">
        <v>2474</v>
      </c>
      <c r="C56" s="28" t="s">
        <v>5758</v>
      </c>
      <c r="D56" s="28" t="s">
        <v>1789</v>
      </c>
      <c r="E56" s="108" t="s">
        <v>5714</v>
      </c>
      <c r="F56" s="108">
        <v>45445</v>
      </c>
      <c r="G56" s="109">
        <v>0.64236111111111116</v>
      </c>
      <c r="H56" s="124"/>
      <c r="I56" s="124" t="s">
        <v>406</v>
      </c>
      <c r="J56" s="124" t="s">
        <v>2448</v>
      </c>
      <c r="K56" s="28" t="s">
        <v>2443</v>
      </c>
      <c r="L56" s="28"/>
      <c r="M56" s="28"/>
      <c r="N56" s="28"/>
      <c r="O56" s="28"/>
      <c r="P56" s="28"/>
      <c r="Q56" s="28"/>
      <c r="R56" s="28"/>
      <c r="S56" s="28"/>
      <c r="T56" s="28"/>
    </row>
    <row r="57" spans="2:20" ht="19.5" x14ac:dyDescent="0.25">
      <c r="B57" s="146">
        <v>2503</v>
      </c>
      <c r="C57" s="28" t="s">
        <v>5764</v>
      </c>
      <c r="D57" s="28"/>
      <c r="E57" s="108"/>
      <c r="F57" s="108">
        <v>45445</v>
      </c>
      <c r="G57" s="109"/>
      <c r="H57" s="124"/>
      <c r="I57" s="124"/>
      <c r="J57" s="124"/>
      <c r="K57" s="28"/>
      <c r="L57" s="28"/>
      <c r="M57" s="28"/>
      <c r="N57" s="28"/>
      <c r="O57" s="28"/>
      <c r="P57" s="28"/>
      <c r="Q57" s="28"/>
      <c r="R57" s="28"/>
      <c r="S57" s="28"/>
      <c r="T57" s="28"/>
    </row>
    <row r="58" spans="2:20" ht="58.5" x14ac:dyDescent="0.25">
      <c r="B58" s="146">
        <v>995</v>
      </c>
      <c r="C58" s="28">
        <v>483</v>
      </c>
      <c r="D58" s="28" t="s">
        <v>321</v>
      </c>
      <c r="E58" s="28" t="s">
        <v>3776</v>
      </c>
      <c r="F58" s="108">
        <v>45446</v>
      </c>
      <c r="G58" s="109">
        <v>0.84375</v>
      </c>
      <c r="H58" s="124" t="s">
        <v>4365</v>
      </c>
      <c r="I58" s="124" t="s">
        <v>3656</v>
      </c>
      <c r="J58" s="124" t="s">
        <v>4168</v>
      </c>
      <c r="K58" s="28" t="s">
        <v>4366</v>
      </c>
      <c r="L58" s="28"/>
      <c r="M58" s="28">
        <v>1000</v>
      </c>
      <c r="N58" s="28">
        <v>99000</v>
      </c>
      <c r="O58" s="28" t="s">
        <v>20</v>
      </c>
      <c r="P58" s="28"/>
      <c r="Q58" s="28"/>
      <c r="R58" s="28"/>
      <c r="S58" s="28" t="s">
        <v>20</v>
      </c>
      <c r="T58" s="28" t="s">
        <v>20</v>
      </c>
    </row>
    <row r="59" spans="2:20" ht="39" x14ac:dyDescent="0.25">
      <c r="B59" s="146">
        <v>1025</v>
      </c>
      <c r="C59" s="28">
        <v>525</v>
      </c>
      <c r="D59" s="28" t="s">
        <v>321</v>
      </c>
      <c r="E59" s="28" t="s">
        <v>3685</v>
      </c>
      <c r="F59" s="108">
        <v>45446</v>
      </c>
      <c r="G59" s="109">
        <v>0.50694444444444442</v>
      </c>
      <c r="H59" s="124" t="s">
        <v>4416</v>
      </c>
      <c r="I59" s="124" t="s">
        <v>4759</v>
      </c>
      <c r="J59" s="124" t="s">
        <v>4168</v>
      </c>
      <c r="K59" s="28" t="s">
        <v>2757</v>
      </c>
      <c r="L59" s="28"/>
      <c r="M59" s="28" t="s">
        <v>341</v>
      </c>
      <c r="N59" s="28" t="s">
        <v>341</v>
      </c>
      <c r="O59" s="28" t="s">
        <v>20</v>
      </c>
      <c r="P59" s="28" t="s">
        <v>20</v>
      </c>
      <c r="Q59" s="28" t="s">
        <v>20</v>
      </c>
      <c r="R59" s="28" t="s">
        <v>20</v>
      </c>
      <c r="S59" s="28" t="s">
        <v>20</v>
      </c>
      <c r="T59" s="28" t="s">
        <v>20</v>
      </c>
    </row>
    <row r="60" spans="2:20" ht="58.5" x14ac:dyDescent="0.25">
      <c r="B60" s="146">
        <v>1026</v>
      </c>
      <c r="C60" s="28">
        <v>526</v>
      </c>
      <c r="D60" s="28" t="s">
        <v>321</v>
      </c>
      <c r="E60" s="28" t="s">
        <v>3685</v>
      </c>
      <c r="F60" s="108">
        <v>45446</v>
      </c>
      <c r="G60" s="109">
        <v>0.64236111111111116</v>
      </c>
      <c r="H60" s="124" t="s">
        <v>4417</v>
      </c>
      <c r="I60" s="124" t="s">
        <v>3752</v>
      </c>
      <c r="J60" s="124" t="s">
        <v>4168</v>
      </c>
      <c r="K60" s="28" t="s">
        <v>2019</v>
      </c>
      <c r="L60" s="28"/>
      <c r="M60" s="28" t="s">
        <v>341</v>
      </c>
      <c r="N60" s="28" t="s">
        <v>341</v>
      </c>
      <c r="O60" s="28" t="s">
        <v>20</v>
      </c>
      <c r="P60" s="28" t="s">
        <v>20</v>
      </c>
      <c r="Q60" s="28" t="s">
        <v>20</v>
      </c>
      <c r="R60" s="28" t="s">
        <v>20</v>
      </c>
      <c r="S60" s="28" t="s">
        <v>20</v>
      </c>
      <c r="T60" s="28" t="s">
        <v>20</v>
      </c>
    </row>
    <row r="61" spans="2:20" ht="39" x14ac:dyDescent="0.25">
      <c r="B61" s="146">
        <v>1027</v>
      </c>
      <c r="C61" s="28">
        <v>527</v>
      </c>
      <c r="D61" s="28" t="s">
        <v>321</v>
      </c>
      <c r="E61" s="28" t="s">
        <v>3685</v>
      </c>
      <c r="F61" s="108">
        <v>45446</v>
      </c>
      <c r="G61" s="109">
        <v>0.82986111111111116</v>
      </c>
      <c r="H61" s="124" t="s">
        <v>4417</v>
      </c>
      <c r="I61" s="124" t="s">
        <v>4759</v>
      </c>
      <c r="J61" s="124" t="s">
        <v>4168</v>
      </c>
      <c r="K61" s="28" t="s">
        <v>2019</v>
      </c>
      <c r="L61" s="28"/>
      <c r="M61" s="28" t="s">
        <v>341</v>
      </c>
      <c r="N61" s="28" t="s">
        <v>341</v>
      </c>
      <c r="O61" s="28" t="s">
        <v>20</v>
      </c>
      <c r="P61" s="28" t="s">
        <v>20</v>
      </c>
      <c r="Q61" s="28" t="s">
        <v>20</v>
      </c>
      <c r="R61" s="28" t="s">
        <v>20</v>
      </c>
      <c r="S61" s="28" t="s">
        <v>20</v>
      </c>
      <c r="T61" s="28" t="s">
        <v>20</v>
      </c>
    </row>
    <row r="62" spans="2:20" ht="39" x14ac:dyDescent="0.25">
      <c r="B62" s="146">
        <v>1028</v>
      </c>
      <c r="C62" s="28">
        <v>528</v>
      </c>
      <c r="D62" s="28" t="s">
        <v>321</v>
      </c>
      <c r="E62" s="28" t="s">
        <v>3685</v>
      </c>
      <c r="F62" s="108">
        <v>45446</v>
      </c>
      <c r="G62" s="109">
        <v>0.99583333333333335</v>
      </c>
      <c r="H62" s="124" t="s">
        <v>4417</v>
      </c>
      <c r="I62" s="124" t="s">
        <v>4759</v>
      </c>
      <c r="J62" s="124" t="s">
        <v>4168</v>
      </c>
      <c r="K62" s="28" t="s">
        <v>2019</v>
      </c>
      <c r="L62" s="28"/>
      <c r="M62" s="28" t="s">
        <v>341</v>
      </c>
      <c r="N62" s="28" t="s">
        <v>341</v>
      </c>
      <c r="O62" s="28" t="s">
        <v>20</v>
      </c>
      <c r="P62" s="28" t="s">
        <v>20</v>
      </c>
      <c r="Q62" s="28" t="s">
        <v>20</v>
      </c>
      <c r="R62" s="28" t="s">
        <v>20</v>
      </c>
      <c r="S62" s="28" t="s">
        <v>20</v>
      </c>
      <c r="T62" s="28" t="s">
        <v>20</v>
      </c>
    </row>
    <row r="63" spans="2:20" ht="78" x14ac:dyDescent="0.25">
      <c r="B63" s="146">
        <v>1777</v>
      </c>
      <c r="C63" s="28">
        <v>16</v>
      </c>
      <c r="D63" s="28" t="s">
        <v>4777</v>
      </c>
      <c r="E63" s="28" t="s">
        <v>4780</v>
      </c>
      <c r="F63" s="108">
        <v>45446</v>
      </c>
      <c r="G63" s="109">
        <v>0.3923611111111111</v>
      </c>
      <c r="H63" s="124" t="s">
        <v>4823</v>
      </c>
      <c r="I63" s="124" t="s">
        <v>2873</v>
      </c>
      <c r="J63" s="124" t="s">
        <v>385</v>
      </c>
      <c r="K63" s="28" t="s">
        <v>320</v>
      </c>
      <c r="L63" s="28"/>
      <c r="M63" s="28">
        <v>60000</v>
      </c>
      <c r="N63" s="28">
        <v>180000</v>
      </c>
      <c r="O63" s="28" t="s">
        <v>20</v>
      </c>
      <c r="P63" s="28" t="s">
        <v>20</v>
      </c>
      <c r="Q63" s="28" t="s">
        <v>20</v>
      </c>
      <c r="R63" s="28" t="s">
        <v>20</v>
      </c>
      <c r="S63" s="28" t="s">
        <v>20</v>
      </c>
      <c r="T63" s="28" t="s">
        <v>20</v>
      </c>
    </row>
    <row r="64" spans="2:20" ht="97.5" customHeight="1" x14ac:dyDescent="0.25">
      <c r="B64" s="146">
        <v>1783</v>
      </c>
      <c r="C64" s="28">
        <v>16</v>
      </c>
      <c r="D64" s="28" t="s">
        <v>4777</v>
      </c>
      <c r="E64" s="28" t="s">
        <v>4780</v>
      </c>
      <c r="F64" s="108">
        <v>45446</v>
      </c>
      <c r="G64" s="109">
        <v>0.42569444444444443</v>
      </c>
      <c r="H64" s="124" t="s">
        <v>4808</v>
      </c>
      <c r="I64" s="124"/>
      <c r="J64" s="124"/>
      <c r="K64" s="28"/>
      <c r="L64" s="28"/>
      <c r="M64" s="28">
        <v>50000</v>
      </c>
      <c r="N64" s="28">
        <v>350000</v>
      </c>
      <c r="O64" s="28" t="s">
        <v>20</v>
      </c>
      <c r="P64" s="28" t="s">
        <v>20</v>
      </c>
      <c r="Q64" s="28" t="s">
        <v>20</v>
      </c>
      <c r="R64" s="28" t="s">
        <v>20</v>
      </c>
      <c r="S64" s="28" t="s">
        <v>20</v>
      </c>
      <c r="T64" s="28" t="s">
        <v>20</v>
      </c>
    </row>
    <row r="65" spans="2:20" ht="39" customHeight="1" x14ac:dyDescent="0.25">
      <c r="B65" s="146">
        <v>2340</v>
      </c>
      <c r="C65" s="28" t="s">
        <v>5732</v>
      </c>
      <c r="D65" s="28" t="s">
        <v>1789</v>
      </c>
      <c r="E65" s="124" t="s">
        <v>4908</v>
      </c>
      <c r="F65" s="108">
        <v>45446</v>
      </c>
      <c r="G65" s="109"/>
      <c r="H65" s="124"/>
      <c r="I65" s="124" t="s">
        <v>4108</v>
      </c>
      <c r="J65" s="124" t="s">
        <v>385</v>
      </c>
      <c r="K65" s="28"/>
      <c r="L65" s="28"/>
      <c r="M65" s="28"/>
      <c r="N65" s="28"/>
      <c r="O65" s="28"/>
      <c r="P65" s="28"/>
      <c r="Q65" s="28"/>
      <c r="R65" s="28"/>
      <c r="S65" s="28"/>
      <c r="T65" s="28"/>
    </row>
    <row r="66" spans="2:20" ht="39" customHeight="1" x14ac:dyDescent="0.25">
      <c r="B66" s="146">
        <v>2341</v>
      </c>
      <c r="C66" s="28" t="s">
        <v>5733</v>
      </c>
      <c r="D66" s="28" t="s">
        <v>1789</v>
      </c>
      <c r="E66" s="124" t="s">
        <v>4908</v>
      </c>
      <c r="F66" s="108">
        <v>45446</v>
      </c>
      <c r="G66" s="109"/>
      <c r="H66" s="124"/>
      <c r="I66" s="124" t="s">
        <v>5810</v>
      </c>
      <c r="J66" s="124" t="s">
        <v>4168</v>
      </c>
      <c r="K66" s="28"/>
      <c r="L66" s="28"/>
      <c r="M66" s="28"/>
      <c r="N66" s="28"/>
      <c r="O66" s="28"/>
      <c r="P66" s="28"/>
      <c r="Q66" s="28"/>
      <c r="R66" s="28"/>
      <c r="S66" s="28"/>
      <c r="T66" s="28"/>
    </row>
    <row r="67" spans="2:20" ht="58.5" x14ac:dyDescent="0.25">
      <c r="B67" s="146">
        <v>2342</v>
      </c>
      <c r="C67" s="28" t="s">
        <v>5734</v>
      </c>
      <c r="D67" s="28" t="s">
        <v>1789</v>
      </c>
      <c r="E67" s="124" t="s">
        <v>4908</v>
      </c>
      <c r="F67" s="108">
        <v>45446</v>
      </c>
      <c r="G67" s="109"/>
      <c r="H67" s="124"/>
      <c r="I67" s="124" t="s">
        <v>5811</v>
      </c>
      <c r="J67" s="124" t="s">
        <v>4168</v>
      </c>
      <c r="K67" s="28"/>
      <c r="L67" s="28"/>
      <c r="M67" s="28"/>
      <c r="N67" s="28"/>
      <c r="O67" s="28"/>
      <c r="P67" s="28"/>
      <c r="Q67" s="28"/>
      <c r="R67" s="28"/>
      <c r="S67" s="28"/>
      <c r="T67" s="28"/>
    </row>
    <row r="68" spans="2:20" ht="78" x14ac:dyDescent="0.25">
      <c r="B68" s="146">
        <v>2343</v>
      </c>
      <c r="C68" s="28" t="s">
        <v>5735</v>
      </c>
      <c r="D68" s="28" t="s">
        <v>1789</v>
      </c>
      <c r="E68" s="124" t="s">
        <v>4908</v>
      </c>
      <c r="F68" s="108">
        <v>45446</v>
      </c>
      <c r="G68" s="109"/>
      <c r="H68" s="124"/>
      <c r="I68" s="124" t="s">
        <v>5812</v>
      </c>
      <c r="J68" s="124"/>
      <c r="K68" s="28"/>
      <c r="L68" s="28"/>
      <c r="M68" s="28"/>
      <c r="N68" s="28"/>
      <c r="O68" s="28"/>
      <c r="P68" s="28"/>
      <c r="Q68" s="28"/>
      <c r="R68" s="28"/>
      <c r="S68" s="28"/>
      <c r="T68" s="28"/>
    </row>
    <row r="69" spans="2:20" ht="19.5" x14ac:dyDescent="0.25">
      <c r="B69" s="146">
        <v>433</v>
      </c>
      <c r="C69" s="28">
        <v>9</v>
      </c>
      <c r="D69" s="28" t="s">
        <v>1789</v>
      </c>
      <c r="E69" s="28" t="s">
        <v>1789</v>
      </c>
      <c r="F69" s="108">
        <v>45446</v>
      </c>
      <c r="G69" s="109">
        <v>0.56458333333333333</v>
      </c>
      <c r="H69" s="124" t="s">
        <v>2432</v>
      </c>
      <c r="I69" s="124" t="s">
        <v>1904</v>
      </c>
      <c r="J69" s="124" t="s">
        <v>1904</v>
      </c>
      <c r="K69" s="28" t="s">
        <v>2443</v>
      </c>
      <c r="L69" s="28"/>
      <c r="M69" s="28">
        <v>500000</v>
      </c>
      <c r="N69" s="28">
        <v>1500000</v>
      </c>
      <c r="O69" s="28" t="s">
        <v>20</v>
      </c>
      <c r="P69" s="28" t="s">
        <v>20</v>
      </c>
      <c r="Q69" s="28" t="s">
        <v>20</v>
      </c>
      <c r="R69" s="28" t="s">
        <v>20</v>
      </c>
      <c r="S69" s="28" t="s">
        <v>20</v>
      </c>
      <c r="T69" s="28" t="s">
        <v>20</v>
      </c>
    </row>
    <row r="70" spans="2:20" ht="253.5" x14ac:dyDescent="0.35">
      <c r="B70" s="146">
        <v>1950</v>
      </c>
      <c r="C70" s="26">
        <v>2</v>
      </c>
      <c r="D70" s="26" t="s">
        <v>1789</v>
      </c>
      <c r="E70" s="26" t="s">
        <v>5072</v>
      </c>
      <c r="F70" s="108">
        <v>45446</v>
      </c>
      <c r="G70" s="28" t="s">
        <v>5256</v>
      </c>
      <c r="H70" s="179"/>
      <c r="I70" s="179"/>
      <c r="J70" s="179"/>
      <c r="K70" s="122" t="s">
        <v>5257</v>
      </c>
      <c r="L70" s="28"/>
      <c r="M70" s="28" t="s">
        <v>127</v>
      </c>
      <c r="N70" s="28" t="s">
        <v>5088</v>
      </c>
      <c r="O70" s="26" t="s">
        <v>5071</v>
      </c>
      <c r="P70" s="26" t="s">
        <v>5071</v>
      </c>
      <c r="Q70" s="26" t="s">
        <v>5071</v>
      </c>
      <c r="R70" s="26" t="s">
        <v>5071</v>
      </c>
      <c r="S70" s="26" t="s">
        <v>5071</v>
      </c>
      <c r="T70" s="26" t="s">
        <v>5071</v>
      </c>
    </row>
    <row r="71" spans="2:20" ht="78" x14ac:dyDescent="0.25">
      <c r="B71" s="146">
        <v>1439</v>
      </c>
      <c r="C71" s="28">
        <v>5</v>
      </c>
      <c r="D71" s="28" t="s">
        <v>93</v>
      </c>
      <c r="E71" s="28" t="s">
        <v>94</v>
      </c>
      <c r="F71" s="108">
        <v>45446</v>
      </c>
      <c r="G71" s="109">
        <v>0.61736111111111114</v>
      </c>
      <c r="H71" s="124" t="s">
        <v>2670</v>
      </c>
      <c r="I71" s="124" t="s">
        <v>2671</v>
      </c>
      <c r="J71" s="124" t="s">
        <v>4168</v>
      </c>
      <c r="K71" s="28" t="s">
        <v>2672</v>
      </c>
      <c r="L71" s="28" t="s">
        <v>499</v>
      </c>
      <c r="M71" s="28" t="s">
        <v>20</v>
      </c>
      <c r="N71" s="28" t="s">
        <v>145</v>
      </c>
      <c r="O71" s="28" t="s">
        <v>20</v>
      </c>
      <c r="P71" s="28" t="s">
        <v>20</v>
      </c>
      <c r="Q71" s="28" t="s">
        <v>20</v>
      </c>
      <c r="R71" s="28" t="s">
        <v>20</v>
      </c>
      <c r="S71" s="28" t="s">
        <v>20</v>
      </c>
      <c r="T71" s="28" t="s">
        <v>20</v>
      </c>
    </row>
    <row r="72" spans="2:20" ht="19.5" x14ac:dyDescent="0.25">
      <c r="B72" s="146">
        <v>2475</v>
      </c>
      <c r="C72" s="28" t="s">
        <v>5759</v>
      </c>
      <c r="D72" s="28" t="s">
        <v>1789</v>
      </c>
      <c r="E72" s="108" t="s">
        <v>5714</v>
      </c>
      <c r="F72" s="108">
        <v>45446</v>
      </c>
      <c r="G72" s="109">
        <v>0.85763888888888884</v>
      </c>
      <c r="H72" s="124"/>
      <c r="I72" s="124" t="s">
        <v>406</v>
      </c>
      <c r="J72" s="124" t="s">
        <v>2448</v>
      </c>
      <c r="K72" s="28" t="s">
        <v>2443</v>
      </c>
      <c r="L72" s="28"/>
      <c r="M72" s="28"/>
      <c r="N72" s="28"/>
      <c r="O72" s="28"/>
      <c r="P72" s="28"/>
      <c r="Q72" s="28"/>
      <c r="R72" s="28"/>
      <c r="S72" s="28"/>
      <c r="T72" s="28"/>
    </row>
    <row r="73" spans="2:20" ht="19.5" x14ac:dyDescent="0.25">
      <c r="B73" s="146">
        <v>987</v>
      </c>
      <c r="C73" s="28">
        <v>475</v>
      </c>
      <c r="D73" s="28" t="s">
        <v>321</v>
      </c>
      <c r="E73" s="28" t="s">
        <v>334</v>
      </c>
      <c r="F73" s="108">
        <v>45447</v>
      </c>
      <c r="G73" s="109">
        <v>0.49305555555555558</v>
      </c>
      <c r="H73" s="124" t="s">
        <v>485</v>
      </c>
      <c r="I73" s="124" t="s">
        <v>461</v>
      </c>
      <c r="J73" s="124" t="s">
        <v>4168</v>
      </c>
      <c r="K73" s="28" t="s">
        <v>462</v>
      </c>
      <c r="L73" s="28"/>
      <c r="M73" s="28" t="s">
        <v>341</v>
      </c>
      <c r="N73" s="162" t="s">
        <v>3836</v>
      </c>
      <c r="O73" s="28" t="s">
        <v>20</v>
      </c>
      <c r="P73" s="28" t="s">
        <v>20</v>
      </c>
      <c r="Q73" s="28" t="s">
        <v>20</v>
      </c>
      <c r="R73" s="28" t="s">
        <v>20</v>
      </c>
      <c r="S73" s="28" t="s">
        <v>20</v>
      </c>
      <c r="T73" s="28" t="s">
        <v>20</v>
      </c>
    </row>
    <row r="74" spans="2:20" ht="39" x14ac:dyDescent="0.25">
      <c r="B74" s="146">
        <v>1029</v>
      </c>
      <c r="C74" s="28">
        <v>529</v>
      </c>
      <c r="D74" s="28" t="s">
        <v>321</v>
      </c>
      <c r="E74" s="28" t="s">
        <v>3685</v>
      </c>
      <c r="F74" s="108">
        <v>45447</v>
      </c>
      <c r="G74" s="109">
        <v>0.2298611111111111</v>
      </c>
      <c r="H74" s="124" t="s">
        <v>3768</v>
      </c>
      <c r="I74" s="124" t="s">
        <v>4759</v>
      </c>
      <c r="J74" s="124" t="s">
        <v>4168</v>
      </c>
      <c r="K74" s="28" t="s">
        <v>353</v>
      </c>
      <c r="L74" s="28"/>
      <c r="M74" s="28" t="s">
        <v>341</v>
      </c>
      <c r="N74" s="28" t="s">
        <v>341</v>
      </c>
      <c r="O74" s="28" t="s">
        <v>20</v>
      </c>
      <c r="P74" s="28" t="s">
        <v>20</v>
      </c>
      <c r="Q74" s="28" t="s">
        <v>20</v>
      </c>
      <c r="R74" s="28" t="s">
        <v>20</v>
      </c>
      <c r="S74" s="28" t="s">
        <v>20</v>
      </c>
      <c r="T74" s="28" t="s">
        <v>20</v>
      </c>
    </row>
    <row r="75" spans="2:20" ht="273" customHeight="1" x14ac:dyDescent="0.25">
      <c r="B75" s="146">
        <v>342</v>
      </c>
      <c r="C75" s="28">
        <v>6</v>
      </c>
      <c r="D75" s="28" t="s">
        <v>1789</v>
      </c>
      <c r="E75" s="28" t="s">
        <v>1789</v>
      </c>
      <c r="F75" s="108">
        <v>45447</v>
      </c>
      <c r="G75" s="109">
        <v>0.4236111111111111</v>
      </c>
      <c r="H75" s="124" t="s">
        <v>2315</v>
      </c>
      <c r="I75" s="124" t="s">
        <v>526</v>
      </c>
      <c r="J75" s="124" t="s">
        <v>385</v>
      </c>
      <c r="K75" s="122" t="s">
        <v>2030</v>
      </c>
      <c r="L75" s="28"/>
      <c r="M75" s="28">
        <v>500000</v>
      </c>
      <c r="N75" s="28">
        <v>9500000</v>
      </c>
      <c r="O75" s="28" t="s">
        <v>20</v>
      </c>
      <c r="P75" s="28" t="s">
        <v>20</v>
      </c>
      <c r="Q75" s="28" t="s">
        <v>20</v>
      </c>
      <c r="R75" s="28" t="s">
        <v>20</v>
      </c>
      <c r="S75" s="28" t="s">
        <v>20</v>
      </c>
      <c r="T75" s="28" t="s">
        <v>20</v>
      </c>
    </row>
    <row r="76" spans="2:20" ht="273" customHeight="1" x14ac:dyDescent="0.25">
      <c r="B76" s="146">
        <v>343</v>
      </c>
      <c r="C76" s="28">
        <v>7</v>
      </c>
      <c r="D76" s="28" t="s">
        <v>1789</v>
      </c>
      <c r="E76" s="28" t="s">
        <v>1789</v>
      </c>
      <c r="F76" s="108">
        <v>45447</v>
      </c>
      <c r="G76" s="109">
        <v>0.55763888888888891</v>
      </c>
      <c r="H76" s="124" t="s">
        <v>2316</v>
      </c>
      <c r="I76" s="124" t="s">
        <v>1904</v>
      </c>
      <c r="J76" s="124" t="s">
        <v>1904</v>
      </c>
      <c r="K76" s="122" t="s">
        <v>2317</v>
      </c>
      <c r="L76" s="28"/>
      <c r="M76" s="28">
        <v>0</v>
      </c>
      <c r="N76" s="28">
        <v>50000</v>
      </c>
      <c r="O76" s="28" t="s">
        <v>20</v>
      </c>
      <c r="P76" s="28" t="s">
        <v>20</v>
      </c>
      <c r="Q76" s="28" t="s">
        <v>20</v>
      </c>
      <c r="R76" s="28" t="s">
        <v>20</v>
      </c>
      <c r="S76" s="28" t="s">
        <v>20</v>
      </c>
      <c r="T76" s="28" t="s">
        <v>20</v>
      </c>
    </row>
    <row r="77" spans="2:20" ht="58.5" customHeight="1" x14ac:dyDescent="0.25">
      <c r="B77" s="146">
        <v>344</v>
      </c>
      <c r="C77" s="28">
        <v>8</v>
      </c>
      <c r="D77" s="28" t="s">
        <v>1789</v>
      </c>
      <c r="E77" s="28" t="s">
        <v>1789</v>
      </c>
      <c r="F77" s="108">
        <v>45447</v>
      </c>
      <c r="G77" s="109">
        <v>0.70208333333333328</v>
      </c>
      <c r="H77" s="124" t="s">
        <v>2318</v>
      </c>
      <c r="I77" s="124" t="s">
        <v>1904</v>
      </c>
      <c r="J77" s="124" t="s">
        <v>1904</v>
      </c>
      <c r="K77" s="122" t="s">
        <v>2160</v>
      </c>
      <c r="L77" s="28"/>
      <c r="M77" s="28">
        <v>0</v>
      </c>
      <c r="N77" s="28">
        <v>1500000</v>
      </c>
      <c r="O77" s="28" t="s">
        <v>20</v>
      </c>
      <c r="P77" s="28" t="s">
        <v>20</v>
      </c>
      <c r="Q77" s="28" t="s">
        <v>20</v>
      </c>
      <c r="R77" s="28" t="s">
        <v>20</v>
      </c>
      <c r="S77" s="28" t="s">
        <v>20</v>
      </c>
      <c r="T77" s="28" t="s">
        <v>20</v>
      </c>
    </row>
    <row r="78" spans="2:20" ht="214.5" x14ac:dyDescent="0.35">
      <c r="B78" s="146">
        <v>1951</v>
      </c>
      <c r="C78" s="26">
        <v>3</v>
      </c>
      <c r="D78" s="26" t="s">
        <v>1789</v>
      </c>
      <c r="E78" s="26" t="s">
        <v>5072</v>
      </c>
      <c r="F78" s="108">
        <v>45447</v>
      </c>
      <c r="G78" s="28" t="s">
        <v>5259</v>
      </c>
      <c r="H78" s="179"/>
      <c r="I78" s="179"/>
      <c r="J78" s="179"/>
      <c r="K78" s="122" t="s">
        <v>5260</v>
      </c>
      <c r="L78" s="28"/>
      <c r="M78" s="28" t="s">
        <v>127</v>
      </c>
      <c r="N78" s="28" t="s">
        <v>5204</v>
      </c>
      <c r="O78" s="26" t="s">
        <v>5071</v>
      </c>
      <c r="P78" s="26" t="s">
        <v>5071</v>
      </c>
      <c r="Q78" s="26" t="s">
        <v>5071</v>
      </c>
      <c r="R78" s="26" t="s">
        <v>5071</v>
      </c>
      <c r="S78" s="26" t="s">
        <v>5071</v>
      </c>
      <c r="T78" s="26" t="s">
        <v>5071</v>
      </c>
    </row>
    <row r="79" spans="2:20" ht="253.5" x14ac:dyDescent="0.35">
      <c r="B79" s="146">
        <v>1952</v>
      </c>
      <c r="C79" s="26">
        <v>4</v>
      </c>
      <c r="D79" s="26" t="s">
        <v>1789</v>
      </c>
      <c r="E79" s="26" t="s">
        <v>5072</v>
      </c>
      <c r="F79" s="108">
        <v>45447</v>
      </c>
      <c r="G79" s="28" t="s">
        <v>5261</v>
      </c>
      <c r="H79" s="179"/>
      <c r="I79" s="179"/>
      <c r="J79" s="179"/>
      <c r="K79" s="122" t="s">
        <v>5262</v>
      </c>
      <c r="L79" s="28"/>
      <c r="M79" s="28" t="s">
        <v>204</v>
      </c>
      <c r="N79" s="28" t="s">
        <v>5118</v>
      </c>
      <c r="O79" s="26" t="s">
        <v>5071</v>
      </c>
      <c r="P79" s="26" t="s">
        <v>5071</v>
      </c>
      <c r="Q79" s="26" t="s">
        <v>5071</v>
      </c>
      <c r="R79" s="26" t="s">
        <v>5071</v>
      </c>
      <c r="S79" s="26" t="s">
        <v>5071</v>
      </c>
      <c r="T79" s="26" t="s">
        <v>5071</v>
      </c>
    </row>
    <row r="80" spans="2:20" ht="97.5" x14ac:dyDescent="0.25">
      <c r="B80" s="146">
        <v>1440</v>
      </c>
      <c r="C80" s="28">
        <v>6</v>
      </c>
      <c r="D80" s="28" t="s">
        <v>93</v>
      </c>
      <c r="E80" s="28" t="s">
        <v>94</v>
      </c>
      <c r="F80" s="108">
        <v>45447</v>
      </c>
      <c r="G80" s="109">
        <v>0.51388888888888884</v>
      </c>
      <c r="H80" s="124" t="s">
        <v>2673</v>
      </c>
      <c r="I80" s="124" t="s">
        <v>2674</v>
      </c>
      <c r="J80" s="124" t="s">
        <v>4168</v>
      </c>
      <c r="K80" s="28" t="s">
        <v>2675</v>
      </c>
      <c r="L80" s="28" t="s">
        <v>499</v>
      </c>
      <c r="M80" s="28" t="s">
        <v>20</v>
      </c>
      <c r="N80" s="28" t="s">
        <v>176</v>
      </c>
      <c r="O80" s="28" t="s">
        <v>20</v>
      </c>
      <c r="P80" s="28" t="s">
        <v>20</v>
      </c>
      <c r="Q80" s="28" t="s">
        <v>20</v>
      </c>
      <c r="R80" s="28" t="s">
        <v>20</v>
      </c>
      <c r="S80" s="28" t="s">
        <v>20</v>
      </c>
      <c r="T80" s="28" t="s">
        <v>20</v>
      </c>
    </row>
    <row r="81" spans="2:20" ht="19.5" x14ac:dyDescent="0.25">
      <c r="B81" s="146">
        <v>2476</v>
      </c>
      <c r="C81" s="28" t="s">
        <v>5760</v>
      </c>
      <c r="D81" s="28" t="s">
        <v>1789</v>
      </c>
      <c r="E81" s="108" t="s">
        <v>5714</v>
      </c>
      <c r="F81" s="108">
        <v>45447</v>
      </c>
      <c r="G81" s="109">
        <v>0.63541666666666663</v>
      </c>
      <c r="H81" s="124"/>
      <c r="I81" s="124" t="s">
        <v>20</v>
      </c>
      <c r="J81" s="124" t="s">
        <v>2448</v>
      </c>
      <c r="K81" s="28" t="s">
        <v>2443</v>
      </c>
      <c r="L81" s="28"/>
      <c r="M81" s="28"/>
      <c r="N81" s="28"/>
      <c r="O81" s="28"/>
      <c r="P81" s="28"/>
      <c r="Q81" s="28"/>
      <c r="R81" s="28"/>
      <c r="S81" s="28"/>
      <c r="T81" s="28"/>
    </row>
    <row r="82" spans="2:20" ht="19.5" x14ac:dyDescent="0.25">
      <c r="B82" s="146">
        <v>2504</v>
      </c>
      <c r="C82" s="28" t="s">
        <v>5765</v>
      </c>
      <c r="D82" s="28"/>
      <c r="E82" s="108"/>
      <c r="F82" s="108">
        <v>45447</v>
      </c>
      <c r="G82" s="109"/>
      <c r="H82" s="124"/>
      <c r="I82" s="124"/>
      <c r="J82" s="124"/>
      <c r="K82" s="28"/>
      <c r="L82" s="28"/>
      <c r="M82" s="28"/>
      <c r="N82" s="28"/>
      <c r="O82" s="28"/>
      <c r="P82" s="28"/>
      <c r="Q82" s="28"/>
      <c r="R82" s="28"/>
      <c r="S82" s="28"/>
      <c r="T82" s="28"/>
    </row>
    <row r="83" spans="2:20" ht="19.5" x14ac:dyDescent="0.25">
      <c r="B83" s="146">
        <v>2505</v>
      </c>
      <c r="C83" s="28" t="s">
        <v>5766</v>
      </c>
      <c r="D83" s="28"/>
      <c r="E83" s="108"/>
      <c r="F83" s="108">
        <v>45447</v>
      </c>
      <c r="G83" s="109"/>
      <c r="H83" s="124"/>
      <c r="I83" s="124"/>
      <c r="J83" s="124"/>
      <c r="K83" s="28"/>
      <c r="L83" s="28"/>
      <c r="M83" s="28"/>
      <c r="N83" s="28"/>
      <c r="O83" s="28"/>
      <c r="P83" s="28"/>
      <c r="Q83" s="28"/>
      <c r="R83" s="28"/>
      <c r="S83" s="28"/>
      <c r="T83" s="28"/>
    </row>
    <row r="84" spans="2:20" ht="273" x14ac:dyDescent="0.25">
      <c r="B84" s="146">
        <v>2319</v>
      </c>
      <c r="C84" s="28">
        <v>42</v>
      </c>
      <c r="D84" s="28" t="s">
        <v>4832</v>
      </c>
      <c r="E84" s="28" t="s">
        <v>5610</v>
      </c>
      <c r="F84" s="108">
        <v>45448</v>
      </c>
      <c r="G84" s="109">
        <v>0.54305555555555551</v>
      </c>
      <c r="H84" s="124" t="s">
        <v>5575</v>
      </c>
      <c r="I84" s="124"/>
      <c r="J84" s="124"/>
      <c r="K84" s="28"/>
      <c r="L84" s="28"/>
      <c r="M84" s="28" t="s">
        <v>5572</v>
      </c>
      <c r="N84" s="28" t="s">
        <v>197</v>
      </c>
      <c r="O84" s="28" t="s">
        <v>20</v>
      </c>
      <c r="P84" s="28" t="s">
        <v>20</v>
      </c>
      <c r="Q84" s="28" t="s">
        <v>20</v>
      </c>
      <c r="R84" s="28" t="s">
        <v>20</v>
      </c>
      <c r="S84" s="28" t="s">
        <v>20</v>
      </c>
      <c r="T84" s="28" t="s">
        <v>20</v>
      </c>
    </row>
    <row r="85" spans="2:20" ht="273" x14ac:dyDescent="0.25">
      <c r="B85" s="146">
        <v>2320</v>
      </c>
      <c r="C85" s="28">
        <v>43</v>
      </c>
      <c r="D85" s="28" t="s">
        <v>4832</v>
      </c>
      <c r="E85" s="28" t="s">
        <v>5610</v>
      </c>
      <c r="F85" s="108">
        <v>45448</v>
      </c>
      <c r="G85" s="109">
        <v>0.6381944444444444</v>
      </c>
      <c r="H85" s="124" t="s">
        <v>5576</v>
      </c>
      <c r="I85" s="124"/>
      <c r="J85" s="124"/>
      <c r="K85" s="28"/>
      <c r="L85" s="28"/>
      <c r="M85" s="28" t="s">
        <v>5572</v>
      </c>
      <c r="N85" s="28" t="s">
        <v>173</v>
      </c>
      <c r="O85" s="28" t="s">
        <v>20</v>
      </c>
      <c r="P85" s="28" t="s">
        <v>20</v>
      </c>
      <c r="Q85" s="28" t="s">
        <v>20</v>
      </c>
      <c r="R85" s="28" t="s">
        <v>20</v>
      </c>
      <c r="S85" s="28" t="s">
        <v>20</v>
      </c>
      <c r="T85" s="28" t="s">
        <v>20</v>
      </c>
    </row>
    <row r="86" spans="2:20" ht="19.5" x14ac:dyDescent="0.25">
      <c r="B86" s="146">
        <v>1014</v>
      </c>
      <c r="C86" s="28">
        <v>513</v>
      </c>
      <c r="D86" s="28" t="s">
        <v>321</v>
      </c>
      <c r="E86" s="28" t="s">
        <v>307</v>
      </c>
      <c r="F86" s="108">
        <v>45448</v>
      </c>
      <c r="G86" s="109">
        <v>0.48472222222222222</v>
      </c>
      <c r="H86" s="124" t="s">
        <v>497</v>
      </c>
      <c r="I86" s="124" t="s">
        <v>498</v>
      </c>
      <c r="J86" s="124" t="s">
        <v>3216</v>
      </c>
      <c r="K86" s="28" t="s">
        <v>499</v>
      </c>
      <c r="L86" s="28"/>
      <c r="M86" s="28">
        <v>5000</v>
      </c>
      <c r="N86" s="28">
        <v>45000</v>
      </c>
      <c r="O86" s="28" t="s">
        <v>20</v>
      </c>
      <c r="P86" s="28" t="s">
        <v>20</v>
      </c>
      <c r="Q86" s="28" t="s">
        <v>20</v>
      </c>
      <c r="R86" s="28" t="s">
        <v>20</v>
      </c>
      <c r="S86" s="28" t="s">
        <v>20</v>
      </c>
      <c r="T86" s="28" t="s">
        <v>20</v>
      </c>
    </row>
    <row r="87" spans="2:20" ht="39" x14ac:dyDescent="0.25">
      <c r="B87" s="146">
        <v>1030</v>
      </c>
      <c r="C87" s="28">
        <v>530</v>
      </c>
      <c r="D87" s="28" t="s">
        <v>321</v>
      </c>
      <c r="E87" s="28" t="s">
        <v>3685</v>
      </c>
      <c r="F87" s="108">
        <v>45448</v>
      </c>
      <c r="G87" s="109">
        <v>0.53333333333333333</v>
      </c>
      <c r="H87" s="124" t="s">
        <v>4418</v>
      </c>
      <c r="I87" s="124" t="s">
        <v>4762</v>
      </c>
      <c r="J87" s="124" t="s">
        <v>4168</v>
      </c>
      <c r="K87" s="28" t="s">
        <v>1994</v>
      </c>
      <c r="L87" s="28"/>
      <c r="M87" s="28" t="s">
        <v>341</v>
      </c>
      <c r="N87" s="28" t="s">
        <v>341</v>
      </c>
      <c r="O87" s="28" t="s">
        <v>20</v>
      </c>
      <c r="P87" s="28" t="s">
        <v>20</v>
      </c>
      <c r="Q87" s="28" t="s">
        <v>20</v>
      </c>
      <c r="R87" s="28" t="s">
        <v>20</v>
      </c>
      <c r="S87" s="28" t="s">
        <v>20</v>
      </c>
      <c r="T87" s="28" t="s">
        <v>20</v>
      </c>
    </row>
    <row r="88" spans="2:20" ht="19.5" x14ac:dyDescent="0.25">
      <c r="B88" s="146">
        <v>345</v>
      </c>
      <c r="C88" s="28">
        <v>9</v>
      </c>
      <c r="D88" s="28" t="s">
        <v>1789</v>
      </c>
      <c r="E88" s="28" t="s">
        <v>1789</v>
      </c>
      <c r="F88" s="108">
        <v>45448</v>
      </c>
      <c r="G88" s="109">
        <v>0.20069444444444445</v>
      </c>
      <c r="H88" s="124" t="s">
        <v>2319</v>
      </c>
      <c r="I88" s="124" t="s">
        <v>1904</v>
      </c>
      <c r="J88" s="124" t="s">
        <v>1904</v>
      </c>
      <c r="K88" s="122" t="s">
        <v>2160</v>
      </c>
      <c r="L88" s="28"/>
      <c r="M88" s="28">
        <v>0</v>
      </c>
      <c r="N88" s="28">
        <v>5000000</v>
      </c>
      <c r="O88" s="28" t="s">
        <v>20</v>
      </c>
      <c r="P88" s="28" t="s">
        <v>20</v>
      </c>
      <c r="Q88" s="28" t="s">
        <v>20</v>
      </c>
      <c r="R88" s="28" t="s">
        <v>20</v>
      </c>
      <c r="S88" s="28" t="s">
        <v>20</v>
      </c>
      <c r="T88" s="28" t="s">
        <v>20</v>
      </c>
    </row>
    <row r="89" spans="2:20" ht="19.5" x14ac:dyDescent="0.25">
      <c r="B89" s="146">
        <v>346</v>
      </c>
      <c r="C89" s="28">
        <v>10</v>
      </c>
      <c r="D89" s="28" t="s">
        <v>1789</v>
      </c>
      <c r="E89" s="28" t="s">
        <v>1789</v>
      </c>
      <c r="F89" s="108">
        <v>45448</v>
      </c>
      <c r="G89" s="109">
        <v>0.46180555555555558</v>
      </c>
      <c r="H89" s="124" t="s">
        <v>2320</v>
      </c>
      <c r="I89" s="124" t="s">
        <v>1904</v>
      </c>
      <c r="J89" s="124" t="s">
        <v>1904</v>
      </c>
      <c r="K89" s="122" t="s">
        <v>1994</v>
      </c>
      <c r="L89" s="28"/>
      <c r="M89" s="28">
        <v>0</v>
      </c>
      <c r="N89" s="28">
        <v>2000000</v>
      </c>
      <c r="O89" s="28" t="s">
        <v>20</v>
      </c>
      <c r="P89" s="28" t="s">
        <v>20</v>
      </c>
      <c r="Q89" s="28" t="s">
        <v>20</v>
      </c>
      <c r="R89" s="28" t="s">
        <v>20</v>
      </c>
      <c r="S89" s="28" t="s">
        <v>20</v>
      </c>
      <c r="T89" s="28" t="s">
        <v>20</v>
      </c>
    </row>
    <row r="90" spans="2:20" ht="39" customHeight="1" x14ac:dyDescent="0.25">
      <c r="B90" s="146">
        <v>347</v>
      </c>
      <c r="C90" s="28">
        <v>11</v>
      </c>
      <c r="D90" s="28" t="s">
        <v>1789</v>
      </c>
      <c r="E90" s="28" t="s">
        <v>1789</v>
      </c>
      <c r="F90" s="108">
        <v>45448</v>
      </c>
      <c r="G90" s="109">
        <v>0.67222222222222228</v>
      </c>
      <c r="H90" s="124" t="s">
        <v>2321</v>
      </c>
      <c r="I90" s="124" t="s">
        <v>526</v>
      </c>
      <c r="J90" s="124" t="s">
        <v>385</v>
      </c>
      <c r="K90" s="122" t="s">
        <v>2045</v>
      </c>
      <c r="L90" s="28"/>
      <c r="M90" s="28">
        <v>0</v>
      </c>
      <c r="N90" s="28">
        <v>0</v>
      </c>
      <c r="O90" s="28"/>
      <c r="P90" s="28"/>
      <c r="Q90" s="28"/>
      <c r="R90" s="28"/>
      <c r="S90" s="28"/>
      <c r="T90" s="28"/>
    </row>
    <row r="91" spans="2:20" ht="58.5" customHeight="1" x14ac:dyDescent="0.25">
      <c r="B91" s="146">
        <v>348</v>
      </c>
      <c r="C91" s="28">
        <v>12</v>
      </c>
      <c r="D91" s="28" t="s">
        <v>1789</v>
      </c>
      <c r="E91" s="28" t="s">
        <v>1789</v>
      </c>
      <c r="F91" s="108">
        <v>45448</v>
      </c>
      <c r="G91" s="109">
        <v>0.77361111111111114</v>
      </c>
      <c r="H91" s="124" t="s">
        <v>2148</v>
      </c>
      <c r="I91" s="124" t="s">
        <v>526</v>
      </c>
      <c r="J91" s="124" t="s">
        <v>385</v>
      </c>
      <c r="K91" s="122" t="s">
        <v>2045</v>
      </c>
      <c r="L91" s="28"/>
      <c r="M91" s="28">
        <v>50000</v>
      </c>
      <c r="N91" s="28">
        <v>150000</v>
      </c>
      <c r="O91" s="28" t="s">
        <v>20</v>
      </c>
      <c r="P91" s="28" t="s">
        <v>20</v>
      </c>
      <c r="Q91" s="28" t="s">
        <v>20</v>
      </c>
      <c r="R91" s="28" t="s">
        <v>20</v>
      </c>
      <c r="S91" s="28" t="s">
        <v>20</v>
      </c>
      <c r="T91" s="28" t="s">
        <v>20</v>
      </c>
    </row>
    <row r="92" spans="2:20" ht="58.5" customHeight="1" x14ac:dyDescent="0.25">
      <c r="B92" s="146">
        <v>349</v>
      </c>
      <c r="C92" s="28">
        <v>13</v>
      </c>
      <c r="D92" s="28" t="s">
        <v>1789</v>
      </c>
      <c r="E92" s="28" t="s">
        <v>1789</v>
      </c>
      <c r="F92" s="108">
        <v>45448</v>
      </c>
      <c r="G92" s="109">
        <v>0.97013888888888888</v>
      </c>
      <c r="H92" s="124" t="s">
        <v>2322</v>
      </c>
      <c r="I92" s="124" t="s">
        <v>2307</v>
      </c>
      <c r="J92" s="124" t="s">
        <v>5903</v>
      </c>
      <c r="K92" s="122" t="s">
        <v>347</v>
      </c>
      <c r="L92" s="28" t="s">
        <v>5889</v>
      </c>
      <c r="M92" s="28">
        <v>0</v>
      </c>
      <c r="N92" s="28">
        <v>0</v>
      </c>
      <c r="O92" s="28" t="s">
        <v>20</v>
      </c>
      <c r="P92" s="28" t="s">
        <v>20</v>
      </c>
      <c r="Q92" s="28" t="s">
        <v>20</v>
      </c>
      <c r="R92" s="28" t="s">
        <v>20</v>
      </c>
      <c r="S92" s="28" t="s">
        <v>20</v>
      </c>
      <c r="T92" s="28" t="s">
        <v>20</v>
      </c>
    </row>
    <row r="93" spans="2:20" ht="19.5" customHeight="1" x14ac:dyDescent="0.25">
      <c r="B93" s="146">
        <v>2247</v>
      </c>
      <c r="C93" s="28">
        <v>270</v>
      </c>
      <c r="D93" s="28" t="s">
        <v>5357</v>
      </c>
      <c r="E93" s="28" t="s">
        <v>5474</v>
      </c>
      <c r="F93" s="108">
        <v>45448</v>
      </c>
      <c r="G93" s="109" t="s">
        <v>5461</v>
      </c>
      <c r="H93" s="124" t="s">
        <v>5435</v>
      </c>
      <c r="I93" s="124"/>
      <c r="J93" s="124"/>
      <c r="K93" s="28"/>
      <c r="L93" s="28"/>
      <c r="M93" s="162">
        <v>1000</v>
      </c>
      <c r="N93" s="28">
        <v>999000</v>
      </c>
      <c r="O93" s="28" t="s">
        <v>20</v>
      </c>
      <c r="P93" s="28" t="s">
        <v>20</v>
      </c>
      <c r="Q93" s="28" t="s">
        <v>20</v>
      </c>
      <c r="R93" s="28" t="s">
        <v>20</v>
      </c>
      <c r="S93" s="28" t="s">
        <v>20</v>
      </c>
      <c r="T93" s="28" t="s">
        <v>20</v>
      </c>
    </row>
    <row r="94" spans="2:20" ht="78" customHeight="1" x14ac:dyDescent="0.25">
      <c r="B94" s="146">
        <v>1441</v>
      </c>
      <c r="C94" s="28">
        <v>7</v>
      </c>
      <c r="D94" s="28" t="s">
        <v>93</v>
      </c>
      <c r="E94" s="28" t="s">
        <v>94</v>
      </c>
      <c r="F94" s="108">
        <v>45448</v>
      </c>
      <c r="G94" s="109">
        <v>0.79722222222222228</v>
      </c>
      <c r="H94" s="124" t="s">
        <v>2676</v>
      </c>
      <c r="I94" s="124" t="s">
        <v>2677</v>
      </c>
      <c r="J94" s="124" t="s">
        <v>4168</v>
      </c>
      <c r="K94" s="28" t="s">
        <v>2678</v>
      </c>
      <c r="L94" s="28" t="s">
        <v>499</v>
      </c>
      <c r="M94" s="28" t="s">
        <v>20</v>
      </c>
      <c r="N94" s="28" t="s">
        <v>177</v>
      </c>
      <c r="O94" s="28" t="s">
        <v>20</v>
      </c>
      <c r="P94" s="28" t="s">
        <v>20</v>
      </c>
      <c r="Q94" s="28" t="s">
        <v>20</v>
      </c>
      <c r="R94" s="28" t="s">
        <v>20</v>
      </c>
      <c r="S94" s="28" t="s">
        <v>20</v>
      </c>
      <c r="T94" s="28" t="s">
        <v>20</v>
      </c>
    </row>
    <row r="95" spans="2:20" ht="58.5" customHeight="1" x14ac:dyDescent="0.25">
      <c r="B95" s="146">
        <v>1442</v>
      </c>
      <c r="C95" s="28">
        <v>8</v>
      </c>
      <c r="D95" s="28" t="s">
        <v>93</v>
      </c>
      <c r="E95" s="28" t="s">
        <v>94</v>
      </c>
      <c r="F95" s="108">
        <v>45448</v>
      </c>
      <c r="G95" s="109">
        <v>0.87986111111111109</v>
      </c>
      <c r="H95" s="124" t="s">
        <v>2679</v>
      </c>
      <c r="I95" s="124" t="s">
        <v>2680</v>
      </c>
      <c r="J95" s="124" t="s">
        <v>4168</v>
      </c>
      <c r="K95" s="28" t="s">
        <v>2681</v>
      </c>
      <c r="L95" s="28" t="s">
        <v>5904</v>
      </c>
      <c r="M95" s="28" t="s">
        <v>20</v>
      </c>
      <c r="N95" s="28" t="s">
        <v>178</v>
      </c>
      <c r="O95" s="28" t="s">
        <v>20</v>
      </c>
      <c r="P95" s="28" t="s">
        <v>20</v>
      </c>
      <c r="Q95" s="28" t="s">
        <v>20</v>
      </c>
      <c r="R95" s="28" t="s">
        <v>20</v>
      </c>
      <c r="S95" s="28" t="s">
        <v>20</v>
      </c>
      <c r="T95" s="28" t="s">
        <v>20</v>
      </c>
    </row>
    <row r="96" spans="2:20" ht="58.5" customHeight="1" x14ac:dyDescent="0.25">
      <c r="B96" s="146">
        <v>1508</v>
      </c>
      <c r="C96" s="28">
        <v>74</v>
      </c>
      <c r="D96" s="28" t="s">
        <v>93</v>
      </c>
      <c r="E96" s="28" t="s">
        <v>1791</v>
      </c>
      <c r="F96" s="108">
        <v>45448</v>
      </c>
      <c r="G96" s="109">
        <v>0.54861111111111116</v>
      </c>
      <c r="H96" s="124" t="s">
        <v>2813</v>
      </c>
      <c r="I96" s="124" t="s">
        <v>406</v>
      </c>
      <c r="J96" s="124" t="s">
        <v>406</v>
      </c>
      <c r="K96" s="28" t="s">
        <v>2814</v>
      </c>
      <c r="L96" s="28"/>
      <c r="M96" s="28">
        <v>12000</v>
      </c>
      <c r="N96" s="28">
        <v>15000</v>
      </c>
      <c r="O96" s="28" t="s">
        <v>23</v>
      </c>
      <c r="P96" s="28" t="s">
        <v>23</v>
      </c>
      <c r="Q96" s="28" t="s">
        <v>23</v>
      </c>
      <c r="R96" s="28" t="s">
        <v>23</v>
      </c>
      <c r="S96" s="28" t="s">
        <v>23</v>
      </c>
      <c r="T96" s="28" t="s">
        <v>23</v>
      </c>
    </row>
    <row r="97" spans="2:20" ht="97.5" customHeight="1" x14ac:dyDescent="0.25">
      <c r="B97" s="146">
        <v>996</v>
      </c>
      <c r="C97" s="28">
        <v>484</v>
      </c>
      <c r="D97" s="28" t="s">
        <v>321</v>
      </c>
      <c r="E97" s="28" t="s">
        <v>3776</v>
      </c>
      <c r="F97" s="108">
        <v>45449</v>
      </c>
      <c r="G97" s="109">
        <v>8.611111111111111E-2</v>
      </c>
      <c r="H97" s="124" t="s">
        <v>4367</v>
      </c>
      <c r="I97" s="124" t="s">
        <v>4204</v>
      </c>
      <c r="J97" s="124" t="s">
        <v>385</v>
      </c>
      <c r="K97" s="28" t="s">
        <v>3903</v>
      </c>
      <c r="L97" s="28"/>
      <c r="M97" s="28">
        <v>10000</v>
      </c>
      <c r="N97" s="28">
        <v>990000</v>
      </c>
      <c r="O97" s="28" t="s">
        <v>20</v>
      </c>
      <c r="P97" s="28" t="s">
        <v>20</v>
      </c>
      <c r="Q97" s="28" t="s">
        <v>20</v>
      </c>
      <c r="R97" s="28" t="s">
        <v>20</v>
      </c>
      <c r="S97" s="28" t="s">
        <v>20</v>
      </c>
      <c r="T97" s="28" t="s">
        <v>20</v>
      </c>
    </row>
    <row r="98" spans="2:20" ht="214.5" customHeight="1" x14ac:dyDescent="0.25">
      <c r="B98" s="146">
        <v>1778</v>
      </c>
      <c r="C98" s="28">
        <v>15</v>
      </c>
      <c r="D98" s="28" t="s">
        <v>4777</v>
      </c>
      <c r="E98" s="28" t="s">
        <v>4780</v>
      </c>
      <c r="F98" s="108">
        <v>45449</v>
      </c>
      <c r="G98" s="109">
        <v>0.80902777777777779</v>
      </c>
      <c r="H98" s="124" t="s">
        <v>4792</v>
      </c>
      <c r="I98" s="124" t="s">
        <v>4799</v>
      </c>
      <c r="J98" s="124" t="s">
        <v>406</v>
      </c>
      <c r="K98" s="28" t="s">
        <v>4803</v>
      </c>
      <c r="L98" s="28"/>
      <c r="M98" s="28">
        <v>2000</v>
      </c>
      <c r="N98" s="28">
        <v>48000</v>
      </c>
      <c r="O98" s="28" t="s">
        <v>20</v>
      </c>
      <c r="P98" s="28" t="s">
        <v>20</v>
      </c>
      <c r="Q98" s="28" t="s">
        <v>20</v>
      </c>
      <c r="R98" s="28" t="s">
        <v>20</v>
      </c>
      <c r="S98" s="28" t="s">
        <v>20</v>
      </c>
      <c r="T98" s="28" t="s">
        <v>20</v>
      </c>
    </row>
    <row r="99" spans="2:20" ht="253.5" customHeight="1" x14ac:dyDescent="0.25">
      <c r="B99" s="146">
        <v>2344</v>
      </c>
      <c r="C99" s="28" t="s">
        <v>5736</v>
      </c>
      <c r="D99" s="28" t="s">
        <v>1789</v>
      </c>
      <c r="E99" s="124" t="s">
        <v>4908</v>
      </c>
      <c r="F99" s="108">
        <v>45449</v>
      </c>
      <c r="G99" s="109"/>
      <c r="H99" s="124"/>
      <c r="I99" s="124" t="s">
        <v>5810</v>
      </c>
      <c r="J99" s="124" t="s">
        <v>4168</v>
      </c>
      <c r="K99" s="28"/>
      <c r="L99" s="28"/>
      <c r="M99" s="28"/>
      <c r="N99" s="28"/>
      <c r="O99" s="28"/>
      <c r="P99" s="28"/>
      <c r="Q99" s="28"/>
      <c r="R99" s="28"/>
      <c r="S99" s="28"/>
      <c r="T99" s="28"/>
    </row>
    <row r="100" spans="2:20" ht="253.5" customHeight="1" x14ac:dyDescent="0.25">
      <c r="B100" s="146">
        <v>434</v>
      </c>
      <c r="C100" s="28">
        <v>10</v>
      </c>
      <c r="D100" s="28" t="s">
        <v>1789</v>
      </c>
      <c r="E100" s="28" t="s">
        <v>1789</v>
      </c>
      <c r="F100" s="108">
        <v>45449</v>
      </c>
      <c r="G100" s="109">
        <v>0.52430555555555558</v>
      </c>
      <c r="H100" s="124" t="s">
        <v>2433</v>
      </c>
      <c r="I100" s="124" t="s">
        <v>1904</v>
      </c>
      <c r="J100" s="124" t="s">
        <v>1904</v>
      </c>
      <c r="K100" s="28" t="s">
        <v>2443</v>
      </c>
      <c r="L100" s="28"/>
      <c r="M100" s="28">
        <v>50000</v>
      </c>
      <c r="N100" s="28">
        <v>950000</v>
      </c>
      <c r="O100" s="28" t="s">
        <v>20</v>
      </c>
      <c r="P100" s="28" t="s">
        <v>20</v>
      </c>
      <c r="Q100" s="28" t="s">
        <v>20</v>
      </c>
      <c r="R100" s="28" t="s">
        <v>20</v>
      </c>
      <c r="S100" s="28" t="s">
        <v>20</v>
      </c>
      <c r="T100" s="28" t="s">
        <v>20</v>
      </c>
    </row>
    <row r="101" spans="2:20" ht="234" customHeight="1" x14ac:dyDescent="0.25">
      <c r="B101" s="146">
        <v>2046</v>
      </c>
      <c r="C101" s="28">
        <v>69</v>
      </c>
      <c r="D101" s="28" t="s">
        <v>5357</v>
      </c>
      <c r="E101" s="28" t="s">
        <v>5475</v>
      </c>
      <c r="F101" s="108">
        <v>45449</v>
      </c>
      <c r="G101" s="109" t="s">
        <v>5476</v>
      </c>
      <c r="H101" s="124" t="s">
        <v>5363</v>
      </c>
      <c r="I101" s="124"/>
      <c r="J101" s="124"/>
      <c r="K101" s="28"/>
      <c r="L101" s="28"/>
      <c r="M101" s="28">
        <v>1000</v>
      </c>
      <c r="N101" s="162">
        <v>4999000</v>
      </c>
      <c r="O101" s="28" t="s">
        <v>20</v>
      </c>
      <c r="P101" s="28" t="s">
        <v>20</v>
      </c>
      <c r="Q101" s="28" t="s">
        <v>20</v>
      </c>
      <c r="R101" s="28" t="s">
        <v>20</v>
      </c>
      <c r="S101" s="28" t="s">
        <v>20</v>
      </c>
      <c r="T101" s="28" t="s">
        <v>20</v>
      </c>
    </row>
    <row r="102" spans="2:20" ht="39" customHeight="1" x14ac:dyDescent="0.25">
      <c r="B102" s="146">
        <v>2047</v>
      </c>
      <c r="C102" s="28">
        <v>70</v>
      </c>
      <c r="D102" s="28" t="s">
        <v>5357</v>
      </c>
      <c r="E102" s="28" t="s">
        <v>5475</v>
      </c>
      <c r="F102" s="108">
        <v>45449</v>
      </c>
      <c r="G102" s="109" t="s">
        <v>5477</v>
      </c>
      <c r="H102" s="124" t="s">
        <v>5364</v>
      </c>
      <c r="I102" s="124"/>
      <c r="J102" s="124"/>
      <c r="K102" s="28"/>
      <c r="L102" s="28"/>
      <c r="M102" s="28">
        <v>1000</v>
      </c>
      <c r="N102" s="28">
        <v>99000</v>
      </c>
      <c r="O102" s="28" t="s">
        <v>20</v>
      </c>
      <c r="P102" s="28" t="s">
        <v>20</v>
      </c>
      <c r="Q102" s="28" t="s">
        <v>20</v>
      </c>
      <c r="R102" s="28" t="s">
        <v>20</v>
      </c>
      <c r="S102" s="28" t="s">
        <v>20</v>
      </c>
      <c r="T102" s="28" t="s">
        <v>20</v>
      </c>
    </row>
    <row r="103" spans="2:20" ht="58.5" customHeight="1" x14ac:dyDescent="0.25">
      <c r="B103" s="146">
        <v>2048</v>
      </c>
      <c r="C103" s="28">
        <v>71</v>
      </c>
      <c r="D103" s="28" t="s">
        <v>5357</v>
      </c>
      <c r="E103" s="28" t="s">
        <v>5475</v>
      </c>
      <c r="F103" s="108">
        <v>45449</v>
      </c>
      <c r="G103" s="109" t="s">
        <v>5478</v>
      </c>
      <c r="H103" s="124" t="s">
        <v>5365</v>
      </c>
      <c r="I103" s="124"/>
      <c r="J103" s="124"/>
      <c r="K103" s="28"/>
      <c r="L103" s="28"/>
      <c r="M103" s="28">
        <v>1000</v>
      </c>
      <c r="N103" s="28">
        <v>99000</v>
      </c>
      <c r="O103" s="28" t="s">
        <v>20</v>
      </c>
      <c r="P103" s="28" t="s">
        <v>20</v>
      </c>
      <c r="Q103" s="28" t="s">
        <v>20</v>
      </c>
      <c r="R103" s="28" t="s">
        <v>20</v>
      </c>
      <c r="S103" s="28" t="s">
        <v>20</v>
      </c>
      <c r="T103" s="28" t="s">
        <v>20</v>
      </c>
    </row>
    <row r="104" spans="2:20" ht="58.5" customHeight="1" x14ac:dyDescent="0.25">
      <c r="B104" s="146">
        <v>2049</v>
      </c>
      <c r="C104" s="28">
        <v>72</v>
      </c>
      <c r="D104" s="28" t="s">
        <v>5357</v>
      </c>
      <c r="E104" s="28" t="s">
        <v>5475</v>
      </c>
      <c r="F104" s="108">
        <v>45449</v>
      </c>
      <c r="G104" s="109" t="s">
        <v>5479</v>
      </c>
      <c r="H104" s="124" t="s">
        <v>5366</v>
      </c>
      <c r="I104" s="124"/>
      <c r="J104" s="124"/>
      <c r="K104" s="28"/>
      <c r="L104" s="28"/>
      <c r="M104" s="28">
        <v>1000</v>
      </c>
      <c r="N104" s="28">
        <v>99000</v>
      </c>
      <c r="O104" s="28" t="s">
        <v>20</v>
      </c>
      <c r="P104" s="28" t="s">
        <v>20</v>
      </c>
      <c r="Q104" s="28" t="s">
        <v>20</v>
      </c>
      <c r="R104" s="28" t="s">
        <v>20</v>
      </c>
      <c r="S104" s="28" t="s">
        <v>20</v>
      </c>
      <c r="T104" s="28" t="s">
        <v>20</v>
      </c>
    </row>
    <row r="105" spans="2:20" ht="78" x14ac:dyDescent="0.25">
      <c r="B105" s="146">
        <v>2050</v>
      </c>
      <c r="C105" s="28">
        <v>73</v>
      </c>
      <c r="D105" s="28" t="s">
        <v>5357</v>
      </c>
      <c r="E105" s="28" t="s">
        <v>5475</v>
      </c>
      <c r="F105" s="108">
        <v>45449</v>
      </c>
      <c r="G105" s="109" t="s">
        <v>5480</v>
      </c>
      <c r="H105" s="124" t="s">
        <v>5367</v>
      </c>
      <c r="I105" s="124"/>
      <c r="J105" s="124"/>
      <c r="K105" s="28"/>
      <c r="L105" s="28"/>
      <c r="M105" s="28">
        <v>1000</v>
      </c>
      <c r="N105" s="28">
        <v>99000</v>
      </c>
      <c r="O105" s="28" t="s">
        <v>20</v>
      </c>
      <c r="P105" s="28" t="s">
        <v>20</v>
      </c>
      <c r="Q105" s="28" t="s">
        <v>20</v>
      </c>
      <c r="R105" s="28" t="s">
        <v>20</v>
      </c>
      <c r="S105" s="28" t="s">
        <v>20</v>
      </c>
      <c r="T105" s="28" t="s">
        <v>20</v>
      </c>
    </row>
    <row r="106" spans="2:20" ht="136.5" x14ac:dyDescent="0.25">
      <c r="B106" s="146">
        <v>2051</v>
      </c>
      <c r="C106" s="28">
        <v>74</v>
      </c>
      <c r="D106" s="28" t="s">
        <v>5357</v>
      </c>
      <c r="E106" s="28" t="s">
        <v>5475</v>
      </c>
      <c r="F106" s="108">
        <v>45449</v>
      </c>
      <c r="G106" s="109" t="s">
        <v>5481</v>
      </c>
      <c r="H106" s="124" t="s">
        <v>5368</v>
      </c>
      <c r="I106" s="124"/>
      <c r="J106" s="124"/>
      <c r="K106" s="28"/>
      <c r="L106" s="28"/>
      <c r="M106" s="28">
        <v>1000</v>
      </c>
      <c r="N106" s="28">
        <v>99000</v>
      </c>
      <c r="O106" s="28" t="s">
        <v>20</v>
      </c>
      <c r="P106" s="28" t="s">
        <v>20</v>
      </c>
      <c r="Q106" s="28" t="s">
        <v>20</v>
      </c>
      <c r="R106" s="28" t="s">
        <v>20</v>
      </c>
      <c r="S106" s="28" t="s">
        <v>20</v>
      </c>
      <c r="T106" s="28" t="s">
        <v>20</v>
      </c>
    </row>
    <row r="107" spans="2:20" ht="39" customHeight="1" x14ac:dyDescent="0.25">
      <c r="B107" s="146">
        <v>2052</v>
      </c>
      <c r="C107" s="28">
        <v>75</v>
      </c>
      <c r="D107" s="28" t="s">
        <v>5357</v>
      </c>
      <c r="E107" s="28" t="s">
        <v>5475</v>
      </c>
      <c r="F107" s="108">
        <v>45449</v>
      </c>
      <c r="G107" s="109" t="s">
        <v>5482</v>
      </c>
      <c r="H107" s="124" t="s">
        <v>5369</v>
      </c>
      <c r="I107" s="124"/>
      <c r="J107" s="124"/>
      <c r="K107" s="28"/>
      <c r="L107" s="28"/>
      <c r="M107" s="28">
        <v>1000</v>
      </c>
      <c r="N107" s="28">
        <v>99000</v>
      </c>
      <c r="O107" s="28" t="s">
        <v>20</v>
      </c>
      <c r="P107" s="28" t="s">
        <v>20</v>
      </c>
      <c r="Q107" s="28" t="s">
        <v>20</v>
      </c>
      <c r="R107" s="28" t="s">
        <v>20</v>
      </c>
      <c r="S107" s="28" t="s">
        <v>20</v>
      </c>
      <c r="T107" s="28" t="s">
        <v>20</v>
      </c>
    </row>
    <row r="108" spans="2:20" ht="39" customHeight="1" x14ac:dyDescent="0.25">
      <c r="B108" s="146">
        <v>2053</v>
      </c>
      <c r="C108" s="28">
        <v>76</v>
      </c>
      <c r="D108" s="28" t="s">
        <v>5357</v>
      </c>
      <c r="E108" s="28" t="s">
        <v>5475</v>
      </c>
      <c r="F108" s="108">
        <v>45449</v>
      </c>
      <c r="G108" s="109" t="s">
        <v>5483</v>
      </c>
      <c r="H108" s="124" t="s">
        <v>5370</v>
      </c>
      <c r="I108" s="124"/>
      <c r="J108" s="124"/>
      <c r="K108" s="28"/>
      <c r="L108" s="28"/>
      <c r="M108" s="28">
        <v>1000</v>
      </c>
      <c r="N108" s="28">
        <v>99000</v>
      </c>
      <c r="O108" s="28" t="s">
        <v>20</v>
      </c>
      <c r="P108" s="28" t="s">
        <v>20</v>
      </c>
      <c r="Q108" s="28" t="s">
        <v>20</v>
      </c>
      <c r="R108" s="28" t="s">
        <v>20</v>
      </c>
      <c r="S108" s="28" t="s">
        <v>20</v>
      </c>
      <c r="T108" s="28" t="s">
        <v>20</v>
      </c>
    </row>
    <row r="109" spans="2:20" ht="192" customHeight="1" x14ac:dyDescent="0.25">
      <c r="B109" s="146">
        <v>1476</v>
      </c>
      <c r="C109" s="28">
        <v>42</v>
      </c>
      <c r="D109" s="28" t="s">
        <v>93</v>
      </c>
      <c r="E109" s="28" t="s">
        <v>584</v>
      </c>
      <c r="F109" s="108">
        <v>45449</v>
      </c>
      <c r="G109" s="109">
        <v>0.6479166666666667</v>
      </c>
      <c r="H109" s="124" t="s">
        <v>2756</v>
      </c>
      <c r="I109" s="124" t="s">
        <v>2559</v>
      </c>
      <c r="J109" s="124" t="s">
        <v>4168</v>
      </c>
      <c r="K109" s="28" t="s">
        <v>2757</v>
      </c>
      <c r="L109" s="28"/>
      <c r="M109" s="28" t="s">
        <v>75</v>
      </c>
      <c r="N109" s="28">
        <v>5000</v>
      </c>
      <c r="O109" s="28" t="s">
        <v>75</v>
      </c>
      <c r="P109" s="28" t="s">
        <v>75</v>
      </c>
      <c r="Q109" s="28" t="s">
        <v>75</v>
      </c>
      <c r="R109" s="28" t="s">
        <v>75</v>
      </c>
      <c r="S109" s="28" t="s">
        <v>75</v>
      </c>
      <c r="T109" s="28" t="s">
        <v>75</v>
      </c>
    </row>
    <row r="110" spans="2:20" ht="192" customHeight="1" x14ac:dyDescent="0.25">
      <c r="B110" s="146">
        <v>1497</v>
      </c>
      <c r="C110" s="28">
        <v>63</v>
      </c>
      <c r="D110" s="28" t="s">
        <v>93</v>
      </c>
      <c r="E110" s="28" t="s">
        <v>1792</v>
      </c>
      <c r="F110" s="108">
        <v>45449</v>
      </c>
      <c r="G110" s="109">
        <v>0.26041666666666669</v>
      </c>
      <c r="H110" s="124" t="s">
        <v>2795</v>
      </c>
      <c r="I110" s="124" t="s">
        <v>406</v>
      </c>
      <c r="J110" s="124" t="s">
        <v>406</v>
      </c>
      <c r="K110" s="28" t="s">
        <v>2796</v>
      </c>
      <c r="L110" s="28"/>
      <c r="M110" s="28" t="s">
        <v>1807</v>
      </c>
      <c r="N110" s="28" t="s">
        <v>1826</v>
      </c>
      <c r="O110" s="28" t="s">
        <v>23</v>
      </c>
      <c r="P110" s="28" t="s">
        <v>23</v>
      </c>
      <c r="Q110" s="28" t="s">
        <v>23</v>
      </c>
      <c r="R110" s="28" t="s">
        <v>23</v>
      </c>
      <c r="S110" s="28" t="s">
        <v>23</v>
      </c>
      <c r="T110" s="28" t="s">
        <v>23</v>
      </c>
    </row>
    <row r="111" spans="2:20" ht="117" customHeight="1" x14ac:dyDescent="0.25">
      <c r="B111" s="146">
        <v>988</v>
      </c>
      <c r="C111" s="28">
        <v>476</v>
      </c>
      <c r="D111" s="28" t="s">
        <v>321</v>
      </c>
      <c r="E111" s="28" t="s">
        <v>334</v>
      </c>
      <c r="F111" s="108">
        <v>45450</v>
      </c>
      <c r="G111" s="109">
        <v>0.8041666666666667</v>
      </c>
      <c r="H111" s="124" t="s">
        <v>486</v>
      </c>
      <c r="I111" s="124" t="s">
        <v>352</v>
      </c>
      <c r="J111" s="124" t="s">
        <v>4168</v>
      </c>
      <c r="K111" s="28" t="s">
        <v>487</v>
      </c>
      <c r="L111" s="28"/>
      <c r="M111" s="28" t="s">
        <v>341</v>
      </c>
      <c r="N111" s="162" t="s">
        <v>3845</v>
      </c>
      <c r="O111" s="28" t="s">
        <v>20</v>
      </c>
      <c r="P111" s="28" t="s">
        <v>20</v>
      </c>
      <c r="Q111" s="28" t="s">
        <v>20</v>
      </c>
      <c r="R111" s="28" t="s">
        <v>20</v>
      </c>
      <c r="S111" s="28" t="s">
        <v>20</v>
      </c>
      <c r="T111" s="28" t="s">
        <v>20</v>
      </c>
    </row>
    <row r="112" spans="2:20" ht="39" customHeight="1" x14ac:dyDescent="0.25">
      <c r="B112" s="146">
        <v>1009</v>
      </c>
      <c r="C112" s="28">
        <v>508</v>
      </c>
      <c r="D112" s="28" t="s">
        <v>321</v>
      </c>
      <c r="E112" s="28" t="s">
        <v>580</v>
      </c>
      <c r="F112" s="108">
        <v>45450</v>
      </c>
      <c r="G112" s="109">
        <v>0.40625</v>
      </c>
      <c r="H112" s="124" t="s">
        <v>4405</v>
      </c>
      <c r="I112" s="124" t="s">
        <v>3795</v>
      </c>
      <c r="J112" s="124" t="s">
        <v>406</v>
      </c>
      <c r="K112" s="28" t="s">
        <v>3796</v>
      </c>
      <c r="L112" s="28"/>
      <c r="M112" s="28"/>
      <c r="N112" s="28"/>
      <c r="O112" s="28" t="s">
        <v>20</v>
      </c>
      <c r="P112" s="28" t="s">
        <v>20</v>
      </c>
      <c r="Q112" s="28" t="s">
        <v>20</v>
      </c>
      <c r="R112" s="28" t="s">
        <v>20</v>
      </c>
      <c r="S112" s="28" t="s">
        <v>20</v>
      </c>
      <c r="T112" s="28" t="s">
        <v>20</v>
      </c>
    </row>
    <row r="113" spans="2:20" ht="39" customHeight="1" x14ac:dyDescent="0.25">
      <c r="B113" s="146">
        <v>1010</v>
      </c>
      <c r="C113" s="28">
        <v>509</v>
      </c>
      <c r="D113" s="28" t="s">
        <v>321</v>
      </c>
      <c r="E113" s="28" t="s">
        <v>580</v>
      </c>
      <c r="F113" s="108">
        <v>45450</v>
      </c>
      <c r="G113" s="109">
        <v>0.55138888888888893</v>
      </c>
      <c r="H113" s="124" t="s">
        <v>4405</v>
      </c>
      <c r="I113" s="124" t="s">
        <v>3795</v>
      </c>
      <c r="J113" s="124" t="s">
        <v>406</v>
      </c>
      <c r="K113" s="28" t="s">
        <v>3796</v>
      </c>
      <c r="L113" s="28"/>
      <c r="M113" s="28"/>
      <c r="N113" s="28"/>
      <c r="O113" s="28" t="s">
        <v>20</v>
      </c>
      <c r="P113" s="28" t="s">
        <v>20</v>
      </c>
      <c r="Q113" s="28" t="s">
        <v>20</v>
      </c>
      <c r="R113" s="28" t="s">
        <v>20</v>
      </c>
      <c r="S113" s="28" t="s">
        <v>20</v>
      </c>
      <c r="T113" s="28" t="s">
        <v>20</v>
      </c>
    </row>
    <row r="114" spans="2:20" ht="39" customHeight="1" x14ac:dyDescent="0.25">
      <c r="B114" s="146">
        <v>350</v>
      </c>
      <c r="C114" s="28">
        <v>14</v>
      </c>
      <c r="D114" s="28" t="s">
        <v>1789</v>
      </c>
      <c r="E114" s="28" t="s">
        <v>1789</v>
      </c>
      <c r="F114" s="108">
        <v>45450</v>
      </c>
      <c r="G114" s="109">
        <v>0.27708333333333335</v>
      </c>
      <c r="H114" s="124" t="s">
        <v>2323</v>
      </c>
      <c r="I114" s="124" t="s">
        <v>2307</v>
      </c>
      <c r="J114" s="124" t="s">
        <v>5903</v>
      </c>
      <c r="K114" s="122" t="s">
        <v>1947</v>
      </c>
      <c r="L114" s="28" t="s">
        <v>1999</v>
      </c>
      <c r="M114" s="28">
        <v>0</v>
      </c>
      <c r="N114" s="28">
        <v>0</v>
      </c>
      <c r="O114" s="28" t="s">
        <v>20</v>
      </c>
      <c r="P114" s="28" t="s">
        <v>20</v>
      </c>
      <c r="Q114" s="28" t="s">
        <v>20</v>
      </c>
      <c r="R114" s="28" t="s">
        <v>20</v>
      </c>
      <c r="S114" s="28" t="s">
        <v>20</v>
      </c>
      <c r="T114" s="28" t="s">
        <v>20</v>
      </c>
    </row>
    <row r="115" spans="2:20" ht="78" customHeight="1" x14ac:dyDescent="0.25">
      <c r="B115" s="146">
        <v>351</v>
      </c>
      <c r="C115" s="28">
        <v>15</v>
      </c>
      <c r="D115" s="28" t="s">
        <v>1789</v>
      </c>
      <c r="E115" s="28" t="s">
        <v>1789</v>
      </c>
      <c r="F115" s="108">
        <v>45450</v>
      </c>
      <c r="G115" s="109">
        <v>0.40833333333333333</v>
      </c>
      <c r="H115" s="124" t="s">
        <v>2324</v>
      </c>
      <c r="I115" s="124" t="s">
        <v>1899</v>
      </c>
      <c r="J115" s="124" t="s">
        <v>1899</v>
      </c>
      <c r="K115" s="122" t="s">
        <v>2325</v>
      </c>
      <c r="L115" s="28"/>
      <c r="M115" s="28">
        <v>20000</v>
      </c>
      <c r="N115" s="28">
        <v>1980000</v>
      </c>
      <c r="O115" s="28" t="s">
        <v>20</v>
      </c>
      <c r="P115" s="28" t="s">
        <v>20</v>
      </c>
      <c r="Q115" s="28" t="s">
        <v>20</v>
      </c>
      <c r="R115" s="28" t="s">
        <v>20</v>
      </c>
      <c r="S115" s="28" t="s">
        <v>20</v>
      </c>
      <c r="T115" s="28" t="s">
        <v>20</v>
      </c>
    </row>
    <row r="116" spans="2:20" ht="19.5" customHeight="1" x14ac:dyDescent="0.25">
      <c r="B116" s="146">
        <v>352</v>
      </c>
      <c r="C116" s="28">
        <v>16</v>
      </c>
      <c r="D116" s="28" t="s">
        <v>1789</v>
      </c>
      <c r="E116" s="28" t="s">
        <v>1789</v>
      </c>
      <c r="F116" s="108">
        <v>45450</v>
      </c>
      <c r="G116" s="109">
        <v>0.90833333333333333</v>
      </c>
      <c r="H116" s="124" t="s">
        <v>2326</v>
      </c>
      <c r="I116" s="124" t="s">
        <v>2307</v>
      </c>
      <c r="J116" s="124" t="s">
        <v>5903</v>
      </c>
      <c r="K116" s="122" t="s">
        <v>2160</v>
      </c>
      <c r="L116" s="28"/>
      <c r="M116" s="28">
        <v>0</v>
      </c>
      <c r="N116" s="28">
        <v>0</v>
      </c>
      <c r="O116" s="28"/>
      <c r="P116" s="28"/>
      <c r="Q116" s="28"/>
      <c r="R116" s="28"/>
      <c r="S116" s="28"/>
      <c r="T116" s="28"/>
    </row>
    <row r="117" spans="2:20" ht="78" customHeight="1" x14ac:dyDescent="0.25">
      <c r="B117" s="146">
        <v>353</v>
      </c>
      <c r="C117" s="28">
        <v>17</v>
      </c>
      <c r="D117" s="28" t="s">
        <v>1789</v>
      </c>
      <c r="E117" s="28" t="s">
        <v>1789</v>
      </c>
      <c r="F117" s="108">
        <v>45450</v>
      </c>
      <c r="G117" s="109">
        <v>0.93263888888888891</v>
      </c>
      <c r="H117" s="124" t="s">
        <v>2327</v>
      </c>
      <c r="I117" s="125" t="s">
        <v>2552</v>
      </c>
      <c r="J117" s="124" t="s">
        <v>385</v>
      </c>
      <c r="K117" s="28" t="s">
        <v>2328</v>
      </c>
      <c r="L117" s="28"/>
      <c r="M117" s="28">
        <v>0</v>
      </c>
      <c r="N117" s="28">
        <v>0</v>
      </c>
      <c r="O117" s="28" t="s">
        <v>20</v>
      </c>
      <c r="P117" s="28" t="s">
        <v>20</v>
      </c>
      <c r="Q117" s="28" t="s">
        <v>20</v>
      </c>
      <c r="R117" s="28" t="s">
        <v>20</v>
      </c>
      <c r="S117" s="28" t="s">
        <v>20</v>
      </c>
      <c r="T117" s="28" t="s">
        <v>20</v>
      </c>
    </row>
    <row r="118" spans="2:20" ht="58.5" customHeight="1" x14ac:dyDescent="0.25">
      <c r="B118" s="146">
        <v>435</v>
      </c>
      <c r="C118" s="28">
        <v>11</v>
      </c>
      <c r="D118" s="28" t="s">
        <v>1789</v>
      </c>
      <c r="E118" s="28" t="s">
        <v>1789</v>
      </c>
      <c r="F118" s="108">
        <v>45450</v>
      </c>
      <c r="G118" s="109">
        <v>0.64652777777777781</v>
      </c>
      <c r="H118" s="124" t="s">
        <v>2344</v>
      </c>
      <c r="I118" s="124" t="s">
        <v>1904</v>
      </c>
      <c r="J118" s="124" t="s">
        <v>1904</v>
      </c>
      <c r="K118" s="28" t="s">
        <v>2443</v>
      </c>
      <c r="L118" s="28"/>
      <c r="M118" s="28">
        <v>100000</v>
      </c>
      <c r="N118" s="28">
        <v>400000</v>
      </c>
      <c r="O118" s="28" t="s">
        <v>20</v>
      </c>
      <c r="P118" s="28" t="s">
        <v>20</v>
      </c>
      <c r="Q118" s="28" t="s">
        <v>20</v>
      </c>
      <c r="R118" s="28" t="s">
        <v>20</v>
      </c>
      <c r="S118" s="28" t="s">
        <v>20</v>
      </c>
      <c r="T118" s="28" t="s">
        <v>20</v>
      </c>
    </row>
    <row r="119" spans="2:20" ht="19.5" customHeight="1" x14ac:dyDescent="0.25">
      <c r="B119" s="146">
        <v>2204</v>
      </c>
      <c r="C119" s="28">
        <v>227</v>
      </c>
      <c r="D119" s="28" t="s">
        <v>5357</v>
      </c>
      <c r="E119" s="28" t="s">
        <v>5475</v>
      </c>
      <c r="F119" s="108">
        <v>45450</v>
      </c>
      <c r="G119" s="109">
        <v>0.35</v>
      </c>
      <c r="H119" s="124" t="s">
        <v>5394</v>
      </c>
      <c r="I119" s="124"/>
      <c r="J119" s="124"/>
      <c r="K119" s="28"/>
      <c r="L119" s="28"/>
      <c r="M119" s="28">
        <v>1000</v>
      </c>
      <c r="N119" s="162">
        <v>3999000</v>
      </c>
      <c r="O119" s="28" t="s">
        <v>20</v>
      </c>
      <c r="P119" s="28" t="s">
        <v>20</v>
      </c>
      <c r="Q119" s="28" t="s">
        <v>20</v>
      </c>
      <c r="R119" s="28" t="s">
        <v>20</v>
      </c>
      <c r="S119" s="28" t="s">
        <v>20</v>
      </c>
      <c r="T119" s="28" t="s">
        <v>20</v>
      </c>
    </row>
    <row r="120" spans="2:20" ht="19.5" customHeight="1" x14ac:dyDescent="0.25">
      <c r="B120" s="146">
        <v>2205</v>
      </c>
      <c r="C120" s="28">
        <v>228</v>
      </c>
      <c r="D120" s="28" t="s">
        <v>5357</v>
      </c>
      <c r="E120" s="28" t="s">
        <v>5475</v>
      </c>
      <c r="F120" s="108">
        <v>45450</v>
      </c>
      <c r="G120" s="109">
        <v>0.75347222222222221</v>
      </c>
      <c r="H120" s="124" t="s">
        <v>5395</v>
      </c>
      <c r="I120" s="124"/>
      <c r="J120" s="124"/>
      <c r="K120" s="28"/>
      <c r="L120" s="28"/>
      <c r="M120" s="28">
        <v>1000</v>
      </c>
      <c r="N120" s="162">
        <v>99900</v>
      </c>
      <c r="O120" s="28" t="s">
        <v>20</v>
      </c>
      <c r="P120" s="28" t="s">
        <v>20</v>
      </c>
      <c r="Q120" s="28" t="s">
        <v>20</v>
      </c>
      <c r="R120" s="28" t="s">
        <v>20</v>
      </c>
      <c r="S120" s="28" t="s">
        <v>20</v>
      </c>
      <c r="T120" s="28" t="s">
        <v>20</v>
      </c>
    </row>
    <row r="121" spans="2:20" ht="19.5" customHeight="1" x14ac:dyDescent="0.25">
      <c r="B121" s="146">
        <v>3623</v>
      </c>
      <c r="C121" s="28" t="s">
        <v>5769</v>
      </c>
      <c r="D121" s="28" t="s">
        <v>4825</v>
      </c>
      <c r="E121" s="26" t="s">
        <v>5678</v>
      </c>
      <c r="F121" s="108">
        <v>45450</v>
      </c>
      <c r="G121" s="109">
        <v>0.60416666666666663</v>
      </c>
      <c r="H121" s="28" t="s">
        <v>5795</v>
      </c>
      <c r="I121" s="26" t="s">
        <v>406</v>
      </c>
      <c r="J121" s="26"/>
      <c r="K121" s="26" t="s">
        <v>5618</v>
      </c>
      <c r="L121" s="28"/>
      <c r="M121" s="26" t="s">
        <v>34</v>
      </c>
      <c r="N121" s="26" t="s">
        <v>5619</v>
      </c>
      <c r="O121" s="26" t="s">
        <v>20</v>
      </c>
      <c r="P121" s="26" t="s">
        <v>20</v>
      </c>
      <c r="Q121" s="26" t="s">
        <v>20</v>
      </c>
      <c r="R121" s="26" t="s">
        <v>20</v>
      </c>
      <c r="S121" s="26" t="s">
        <v>20</v>
      </c>
      <c r="T121" s="26" t="s">
        <v>20</v>
      </c>
    </row>
    <row r="122" spans="2:20" ht="19.5" customHeight="1" x14ac:dyDescent="0.25">
      <c r="B122" s="146">
        <v>1509</v>
      </c>
      <c r="C122" s="28">
        <v>75</v>
      </c>
      <c r="D122" s="28" t="s">
        <v>93</v>
      </c>
      <c r="E122" s="28" t="s">
        <v>1791</v>
      </c>
      <c r="F122" s="108">
        <v>45450</v>
      </c>
      <c r="G122" s="109">
        <v>0.55902777777777779</v>
      </c>
      <c r="H122" s="124" t="s">
        <v>2815</v>
      </c>
      <c r="I122" s="124" t="s">
        <v>406</v>
      </c>
      <c r="J122" s="124" t="s">
        <v>406</v>
      </c>
      <c r="K122" s="28" t="s">
        <v>340</v>
      </c>
      <c r="L122" s="28"/>
      <c r="M122" s="28">
        <v>5000</v>
      </c>
      <c r="N122" s="28">
        <v>495000</v>
      </c>
      <c r="O122" s="28" t="s">
        <v>23</v>
      </c>
      <c r="P122" s="28" t="s">
        <v>23</v>
      </c>
      <c r="Q122" s="28" t="s">
        <v>23</v>
      </c>
      <c r="R122" s="28" t="s">
        <v>23</v>
      </c>
      <c r="S122" s="28" t="s">
        <v>23</v>
      </c>
      <c r="T122" s="28" t="s">
        <v>23</v>
      </c>
    </row>
    <row r="123" spans="2:20" ht="249.6" customHeight="1" x14ac:dyDescent="0.25">
      <c r="B123" s="146">
        <v>997</v>
      </c>
      <c r="C123" s="28">
        <v>485</v>
      </c>
      <c r="D123" s="28" t="s">
        <v>321</v>
      </c>
      <c r="E123" s="28" t="s">
        <v>3776</v>
      </c>
      <c r="F123" s="108">
        <v>45451</v>
      </c>
      <c r="G123" s="109">
        <v>0.56041666666666667</v>
      </c>
      <c r="H123" s="124" t="s">
        <v>4368</v>
      </c>
      <c r="I123" s="124" t="s">
        <v>3656</v>
      </c>
      <c r="J123" s="124" t="s">
        <v>4168</v>
      </c>
      <c r="K123" s="28" t="s">
        <v>4369</v>
      </c>
      <c r="L123" s="28"/>
      <c r="M123" s="28">
        <v>130000</v>
      </c>
      <c r="N123" s="28">
        <v>870000</v>
      </c>
      <c r="O123" s="28" t="s">
        <v>20</v>
      </c>
      <c r="P123" s="28" t="s">
        <v>20</v>
      </c>
      <c r="Q123" s="28" t="s">
        <v>20</v>
      </c>
      <c r="R123" s="28" t="s">
        <v>20</v>
      </c>
      <c r="S123" s="28" t="s">
        <v>20</v>
      </c>
      <c r="T123" s="28" t="s">
        <v>20</v>
      </c>
    </row>
    <row r="124" spans="2:20" ht="230.45" customHeight="1" x14ac:dyDescent="0.25">
      <c r="B124" s="146">
        <v>1011</v>
      </c>
      <c r="C124" s="28">
        <v>510</v>
      </c>
      <c r="D124" s="28" t="s">
        <v>321</v>
      </c>
      <c r="E124" s="28" t="s">
        <v>580</v>
      </c>
      <c r="F124" s="108">
        <v>45451</v>
      </c>
      <c r="G124" s="109">
        <v>0.42708333333333331</v>
      </c>
      <c r="H124" s="124" t="s">
        <v>4406</v>
      </c>
      <c r="I124" s="124" t="s">
        <v>3795</v>
      </c>
      <c r="J124" s="124" t="s">
        <v>406</v>
      </c>
      <c r="K124" s="28" t="s">
        <v>3796</v>
      </c>
      <c r="L124" s="28"/>
      <c r="M124" s="28"/>
      <c r="N124" s="28"/>
      <c r="O124" s="28" t="s">
        <v>20</v>
      </c>
      <c r="P124" s="28" t="s">
        <v>20</v>
      </c>
      <c r="Q124" s="28" t="s">
        <v>20</v>
      </c>
      <c r="R124" s="28" t="s">
        <v>20</v>
      </c>
      <c r="S124" s="28" t="s">
        <v>20</v>
      </c>
      <c r="T124" s="28" t="s">
        <v>20</v>
      </c>
    </row>
    <row r="125" spans="2:20" ht="288" customHeight="1" x14ac:dyDescent="0.25">
      <c r="B125" s="146">
        <v>1031</v>
      </c>
      <c r="C125" s="28">
        <v>531</v>
      </c>
      <c r="D125" s="28" t="s">
        <v>321</v>
      </c>
      <c r="E125" s="28" t="s">
        <v>3685</v>
      </c>
      <c r="F125" s="108">
        <v>45451</v>
      </c>
      <c r="G125" s="109">
        <v>0.87569444444444444</v>
      </c>
      <c r="H125" s="124" t="s">
        <v>3768</v>
      </c>
      <c r="I125" s="124" t="s">
        <v>4759</v>
      </c>
      <c r="J125" s="124" t="s">
        <v>4168</v>
      </c>
      <c r="K125" s="28" t="s">
        <v>353</v>
      </c>
      <c r="L125" s="28"/>
      <c r="M125" s="28" t="s">
        <v>341</v>
      </c>
      <c r="N125" s="28" t="s">
        <v>341</v>
      </c>
      <c r="O125" s="28" t="s">
        <v>20</v>
      </c>
      <c r="P125" s="28" t="s">
        <v>20</v>
      </c>
      <c r="Q125" s="28" t="s">
        <v>20</v>
      </c>
      <c r="R125" s="28" t="s">
        <v>20</v>
      </c>
      <c r="S125" s="28" t="s">
        <v>20</v>
      </c>
      <c r="T125" s="28" t="s">
        <v>20</v>
      </c>
    </row>
    <row r="126" spans="2:20" ht="249.6" customHeight="1" x14ac:dyDescent="0.25">
      <c r="B126" s="146">
        <v>354</v>
      </c>
      <c r="C126" s="28">
        <v>18</v>
      </c>
      <c r="D126" s="28" t="s">
        <v>1789</v>
      </c>
      <c r="E126" s="28" t="s">
        <v>1789</v>
      </c>
      <c r="F126" s="108">
        <v>45451</v>
      </c>
      <c r="G126" s="109">
        <v>0.87152777777777779</v>
      </c>
      <c r="H126" s="124" t="s">
        <v>2329</v>
      </c>
      <c r="I126" s="124" t="s">
        <v>406</v>
      </c>
      <c r="J126" s="124" t="s">
        <v>406</v>
      </c>
      <c r="K126" s="28" t="s">
        <v>1947</v>
      </c>
      <c r="L126" s="28"/>
      <c r="M126" s="28">
        <v>200000</v>
      </c>
      <c r="N126" s="28">
        <v>100000</v>
      </c>
      <c r="O126" s="28" t="s">
        <v>20</v>
      </c>
      <c r="P126" s="28" t="s">
        <v>20</v>
      </c>
      <c r="Q126" s="28" t="s">
        <v>20</v>
      </c>
      <c r="R126" s="28" t="s">
        <v>20</v>
      </c>
      <c r="S126" s="28" t="s">
        <v>20</v>
      </c>
      <c r="T126" s="28" t="s">
        <v>20</v>
      </c>
    </row>
    <row r="127" spans="2:20" ht="249.6" customHeight="1" x14ac:dyDescent="0.25">
      <c r="B127" s="146">
        <v>355</v>
      </c>
      <c r="C127" s="28">
        <v>19</v>
      </c>
      <c r="D127" s="28" t="s">
        <v>1789</v>
      </c>
      <c r="E127" s="28" t="s">
        <v>1789</v>
      </c>
      <c r="F127" s="108">
        <v>45451</v>
      </c>
      <c r="G127" s="109">
        <v>0.93125000000000002</v>
      </c>
      <c r="H127" s="124" t="s">
        <v>2330</v>
      </c>
      <c r="I127" s="124" t="s">
        <v>2307</v>
      </c>
      <c r="J127" s="124" t="s">
        <v>5903</v>
      </c>
      <c r="K127" s="28" t="s">
        <v>2017</v>
      </c>
      <c r="L127" s="28"/>
      <c r="M127" s="28">
        <v>0</v>
      </c>
      <c r="N127" s="28">
        <v>0</v>
      </c>
      <c r="O127" s="28" t="s">
        <v>20</v>
      </c>
      <c r="P127" s="28" t="s">
        <v>20</v>
      </c>
      <c r="Q127" s="28" t="s">
        <v>20</v>
      </c>
      <c r="R127" s="28" t="s">
        <v>20</v>
      </c>
      <c r="S127" s="28" t="s">
        <v>20</v>
      </c>
      <c r="T127" s="28" t="s">
        <v>20</v>
      </c>
    </row>
    <row r="128" spans="2:20" ht="211.15" customHeight="1" x14ac:dyDescent="0.25">
      <c r="B128" s="146">
        <v>356</v>
      </c>
      <c r="C128" s="28">
        <v>20</v>
      </c>
      <c r="D128" s="28" t="s">
        <v>1789</v>
      </c>
      <c r="E128" s="28" t="s">
        <v>1789</v>
      </c>
      <c r="F128" s="108">
        <v>45451</v>
      </c>
      <c r="G128" s="109">
        <v>0.99583333333333335</v>
      </c>
      <c r="H128" s="124" t="s">
        <v>2331</v>
      </c>
      <c r="I128" s="124" t="s">
        <v>1904</v>
      </c>
      <c r="J128" s="124" t="s">
        <v>1904</v>
      </c>
      <c r="K128" s="28" t="s">
        <v>2165</v>
      </c>
      <c r="L128" s="28"/>
      <c r="M128" s="28">
        <v>400000</v>
      </c>
      <c r="N128" s="28">
        <v>600000</v>
      </c>
      <c r="O128" s="28" t="s">
        <v>20</v>
      </c>
      <c r="P128" s="28" t="s">
        <v>20</v>
      </c>
      <c r="Q128" s="28" t="s">
        <v>20</v>
      </c>
      <c r="R128" s="28" t="s">
        <v>20</v>
      </c>
      <c r="S128" s="28" t="s">
        <v>20</v>
      </c>
      <c r="T128" s="28" t="s">
        <v>20</v>
      </c>
    </row>
    <row r="129" spans="2:20" ht="211.15" customHeight="1" x14ac:dyDescent="0.25">
      <c r="B129" s="146">
        <v>1510</v>
      </c>
      <c r="C129" s="28">
        <v>76</v>
      </c>
      <c r="D129" s="28" t="s">
        <v>93</v>
      </c>
      <c r="E129" s="28" t="s">
        <v>587</v>
      </c>
      <c r="F129" s="108">
        <v>45451</v>
      </c>
      <c r="G129" s="109">
        <v>0.55138888888888893</v>
      </c>
      <c r="H129" s="124" t="s">
        <v>2816</v>
      </c>
      <c r="I129" s="124" t="s">
        <v>406</v>
      </c>
      <c r="J129" s="124" t="s">
        <v>406</v>
      </c>
      <c r="K129" s="28" t="s">
        <v>2817</v>
      </c>
      <c r="L129" s="28"/>
      <c r="M129" s="28">
        <v>5000</v>
      </c>
      <c r="N129" s="28">
        <v>395000</v>
      </c>
      <c r="O129" s="28" t="s">
        <v>23</v>
      </c>
      <c r="P129" s="28" t="s">
        <v>23</v>
      </c>
      <c r="Q129" s="28" t="s">
        <v>23</v>
      </c>
      <c r="R129" s="28" t="s">
        <v>23</v>
      </c>
      <c r="S129" s="28" t="s">
        <v>23</v>
      </c>
      <c r="T129" s="28" t="s">
        <v>23</v>
      </c>
    </row>
    <row r="130" spans="2:20" ht="249.6" customHeight="1" x14ac:dyDescent="0.25">
      <c r="B130" s="146">
        <v>1443</v>
      </c>
      <c r="C130" s="28">
        <v>9</v>
      </c>
      <c r="D130" s="28" t="s">
        <v>93</v>
      </c>
      <c r="E130" s="28" t="s">
        <v>94</v>
      </c>
      <c r="F130" s="108">
        <v>45451</v>
      </c>
      <c r="G130" s="109">
        <v>0.49861111111111112</v>
      </c>
      <c r="H130" s="124" t="s">
        <v>2682</v>
      </c>
      <c r="I130" s="124" t="s">
        <v>2683</v>
      </c>
      <c r="J130" s="124"/>
      <c r="K130" s="28" t="s">
        <v>2684</v>
      </c>
      <c r="L130" s="28" t="s">
        <v>5889</v>
      </c>
      <c r="M130" s="28" t="s">
        <v>20</v>
      </c>
      <c r="N130" s="28" t="s">
        <v>20</v>
      </c>
      <c r="O130" s="28" t="s">
        <v>20</v>
      </c>
      <c r="P130" s="28" t="s">
        <v>20</v>
      </c>
      <c r="Q130" s="28" t="s">
        <v>20</v>
      </c>
      <c r="R130" s="28" t="s">
        <v>20</v>
      </c>
      <c r="S130" s="28" t="s">
        <v>20</v>
      </c>
      <c r="T130" s="28" t="s">
        <v>20</v>
      </c>
    </row>
    <row r="131" spans="2:20" ht="230.45" customHeight="1" x14ac:dyDescent="0.25">
      <c r="B131" s="146">
        <v>1444</v>
      </c>
      <c r="C131" s="28">
        <v>10</v>
      </c>
      <c r="D131" s="28" t="s">
        <v>93</v>
      </c>
      <c r="E131" s="28" t="s">
        <v>94</v>
      </c>
      <c r="F131" s="108">
        <v>45451</v>
      </c>
      <c r="G131" s="109">
        <v>0.81874999999999998</v>
      </c>
      <c r="H131" s="124" t="s">
        <v>2685</v>
      </c>
      <c r="I131" s="124" t="s">
        <v>2677</v>
      </c>
      <c r="J131" s="124" t="s">
        <v>4168</v>
      </c>
      <c r="K131" s="28" t="s">
        <v>2686</v>
      </c>
      <c r="L131" s="28" t="s">
        <v>499</v>
      </c>
      <c r="M131" s="28" t="s">
        <v>20</v>
      </c>
      <c r="N131" s="28" t="s">
        <v>20</v>
      </c>
      <c r="O131" s="28" t="s">
        <v>20</v>
      </c>
      <c r="P131" s="28" t="s">
        <v>20</v>
      </c>
      <c r="Q131" s="28" t="s">
        <v>20</v>
      </c>
      <c r="R131" s="28" t="s">
        <v>20</v>
      </c>
      <c r="S131" s="28" t="s">
        <v>20</v>
      </c>
      <c r="T131" s="28" t="s">
        <v>20</v>
      </c>
    </row>
    <row r="132" spans="2:20" ht="230.45" customHeight="1" x14ac:dyDescent="0.25">
      <c r="B132" s="146">
        <v>1498</v>
      </c>
      <c r="C132" s="28">
        <v>64</v>
      </c>
      <c r="D132" s="28" t="s">
        <v>93</v>
      </c>
      <c r="E132" s="28" t="s">
        <v>1792</v>
      </c>
      <c r="F132" s="108">
        <v>45451</v>
      </c>
      <c r="G132" s="109">
        <v>0.47638888888888886</v>
      </c>
      <c r="H132" s="124" t="s">
        <v>2797</v>
      </c>
      <c r="I132" s="124" t="s">
        <v>2578</v>
      </c>
      <c r="J132" s="124" t="s">
        <v>4168</v>
      </c>
      <c r="K132" s="28" t="s">
        <v>2798</v>
      </c>
      <c r="L132" s="28"/>
      <c r="M132" s="28" t="s">
        <v>1827</v>
      </c>
      <c r="N132" s="28" t="s">
        <v>1828</v>
      </c>
      <c r="O132" s="28" t="s">
        <v>23</v>
      </c>
      <c r="P132" s="28" t="s">
        <v>23</v>
      </c>
      <c r="Q132" s="28" t="s">
        <v>23</v>
      </c>
      <c r="R132" s="28" t="s">
        <v>23</v>
      </c>
      <c r="S132" s="28" t="s">
        <v>23</v>
      </c>
      <c r="T132" s="28" t="s">
        <v>23</v>
      </c>
    </row>
    <row r="133" spans="2:20" ht="326.45" customHeight="1" x14ac:dyDescent="0.25">
      <c r="B133" s="146">
        <v>1499</v>
      </c>
      <c r="C133" s="28">
        <v>65</v>
      </c>
      <c r="D133" s="28" t="s">
        <v>93</v>
      </c>
      <c r="E133" s="28" t="s">
        <v>1792</v>
      </c>
      <c r="F133" s="108">
        <v>45451</v>
      </c>
      <c r="G133" s="109">
        <v>0.62638888888888888</v>
      </c>
      <c r="H133" s="124" t="s">
        <v>2799</v>
      </c>
      <c r="I133" s="124" t="s">
        <v>406</v>
      </c>
      <c r="J133" s="124" t="s">
        <v>406</v>
      </c>
      <c r="K133" s="28" t="s">
        <v>2800</v>
      </c>
      <c r="L133" s="28"/>
      <c r="M133" s="28" t="s">
        <v>1829</v>
      </c>
      <c r="N133" s="28" t="s">
        <v>1830</v>
      </c>
      <c r="O133" s="28" t="s">
        <v>23</v>
      </c>
      <c r="P133" s="28" t="s">
        <v>23</v>
      </c>
      <c r="Q133" s="28" t="s">
        <v>23</v>
      </c>
      <c r="R133" s="28" t="s">
        <v>23</v>
      </c>
      <c r="S133" s="28" t="s">
        <v>23</v>
      </c>
      <c r="T133" s="28" t="s">
        <v>23</v>
      </c>
    </row>
    <row r="134" spans="2:20" ht="230.45" customHeight="1" x14ac:dyDescent="0.25">
      <c r="B134" s="146">
        <v>2506</v>
      </c>
      <c r="C134" s="28" t="s">
        <v>5767</v>
      </c>
      <c r="D134" s="28"/>
      <c r="E134" s="108"/>
      <c r="F134" s="108">
        <v>45451</v>
      </c>
      <c r="G134" s="109"/>
      <c r="H134" s="124"/>
      <c r="I134" s="124"/>
      <c r="J134" s="124"/>
      <c r="K134" s="28"/>
      <c r="L134" s="28"/>
      <c r="M134" s="28"/>
      <c r="N134" s="28"/>
      <c r="O134" s="28"/>
      <c r="P134" s="28"/>
      <c r="Q134" s="28"/>
      <c r="R134" s="28"/>
      <c r="S134" s="28"/>
      <c r="T134" s="28"/>
    </row>
    <row r="135" spans="2:20" ht="230.45" customHeight="1" x14ac:dyDescent="0.25">
      <c r="B135" s="146">
        <v>2321</v>
      </c>
      <c r="C135" s="28">
        <v>44</v>
      </c>
      <c r="D135" s="28" t="s">
        <v>4832</v>
      </c>
      <c r="E135" s="28" t="s">
        <v>5610</v>
      </c>
      <c r="F135" s="108">
        <v>45452</v>
      </c>
      <c r="G135" s="109">
        <v>0.56736111111111109</v>
      </c>
      <c r="H135" s="124" t="s">
        <v>5577</v>
      </c>
      <c r="I135" s="124"/>
      <c r="J135" s="124"/>
      <c r="K135" s="28"/>
      <c r="L135" s="28"/>
      <c r="M135" s="28" t="s">
        <v>5578</v>
      </c>
      <c r="N135" s="28" t="s">
        <v>263</v>
      </c>
      <c r="O135" s="28" t="s">
        <v>20</v>
      </c>
      <c r="P135" s="28" t="s">
        <v>20</v>
      </c>
      <c r="Q135" s="28" t="s">
        <v>20</v>
      </c>
      <c r="R135" s="28" t="s">
        <v>20</v>
      </c>
      <c r="S135" s="28" t="s">
        <v>20</v>
      </c>
      <c r="T135" s="28" t="s">
        <v>20</v>
      </c>
    </row>
    <row r="136" spans="2:20" ht="230.45" customHeight="1" x14ac:dyDescent="0.25">
      <c r="B136" s="146">
        <v>998</v>
      </c>
      <c r="C136" s="28">
        <v>486</v>
      </c>
      <c r="D136" s="28" t="s">
        <v>321</v>
      </c>
      <c r="E136" s="28" t="s">
        <v>3776</v>
      </c>
      <c r="F136" s="108">
        <v>45452</v>
      </c>
      <c r="G136" s="109">
        <v>0.74861111111111112</v>
      </c>
      <c r="H136" s="124" t="s">
        <v>4370</v>
      </c>
      <c r="I136" s="124" t="s">
        <v>4371</v>
      </c>
      <c r="J136" s="124" t="s">
        <v>385</v>
      </c>
      <c r="K136" s="28" t="s">
        <v>3903</v>
      </c>
      <c r="L136" s="28"/>
      <c r="M136" s="28">
        <v>300000</v>
      </c>
      <c r="N136" s="28">
        <v>700000</v>
      </c>
      <c r="O136" s="28" t="s">
        <v>20</v>
      </c>
      <c r="P136" s="28" t="s">
        <v>20</v>
      </c>
      <c r="Q136" s="28" t="s">
        <v>20</v>
      </c>
      <c r="R136" s="28" t="s">
        <v>20</v>
      </c>
      <c r="S136" s="28" t="s">
        <v>20</v>
      </c>
      <c r="T136" s="28" t="s">
        <v>20</v>
      </c>
    </row>
    <row r="137" spans="2:20" ht="230.45" customHeight="1" x14ac:dyDescent="0.25">
      <c r="B137" s="146">
        <v>1784</v>
      </c>
      <c r="C137" s="28">
        <v>15</v>
      </c>
      <c r="D137" s="28" t="s">
        <v>4777</v>
      </c>
      <c r="E137" s="28" t="s">
        <v>4780</v>
      </c>
      <c r="F137" s="108">
        <v>45452</v>
      </c>
      <c r="G137" s="109">
        <v>0.72916666666666663</v>
      </c>
      <c r="H137" s="124" t="s">
        <v>4808</v>
      </c>
      <c r="I137" s="124"/>
      <c r="J137" s="124"/>
      <c r="K137" s="28"/>
      <c r="L137" s="28"/>
      <c r="M137" s="28">
        <v>20000</v>
      </c>
      <c r="N137" s="28">
        <v>100000</v>
      </c>
      <c r="O137" s="28" t="s">
        <v>20</v>
      </c>
      <c r="P137" s="28" t="s">
        <v>20</v>
      </c>
      <c r="Q137" s="28" t="s">
        <v>20</v>
      </c>
      <c r="R137" s="28" t="s">
        <v>20</v>
      </c>
      <c r="S137" s="28" t="s">
        <v>20</v>
      </c>
      <c r="T137" s="28" t="s">
        <v>20</v>
      </c>
    </row>
    <row r="138" spans="2:20" ht="230.45" customHeight="1" x14ac:dyDescent="0.25">
      <c r="B138" s="146">
        <v>357</v>
      </c>
      <c r="C138" s="28">
        <v>21</v>
      </c>
      <c r="D138" s="28" t="s">
        <v>1789</v>
      </c>
      <c r="E138" s="28" t="s">
        <v>1789</v>
      </c>
      <c r="F138" s="108">
        <v>45452</v>
      </c>
      <c r="G138" s="109">
        <v>0.10625</v>
      </c>
      <c r="H138" s="124" t="s">
        <v>2332</v>
      </c>
      <c r="I138" s="124" t="s">
        <v>385</v>
      </c>
      <c r="J138" s="124" t="s">
        <v>385</v>
      </c>
      <c r="K138" s="28" t="s">
        <v>347</v>
      </c>
      <c r="L138" s="28"/>
      <c r="M138" s="28">
        <v>500000</v>
      </c>
      <c r="N138" s="28">
        <v>1500000</v>
      </c>
      <c r="O138" s="28" t="s">
        <v>20</v>
      </c>
      <c r="P138" s="28" t="s">
        <v>20</v>
      </c>
      <c r="Q138" s="28" t="s">
        <v>20</v>
      </c>
      <c r="R138" s="28" t="s">
        <v>20</v>
      </c>
      <c r="S138" s="28" t="s">
        <v>20</v>
      </c>
      <c r="T138" s="28" t="s">
        <v>20</v>
      </c>
    </row>
    <row r="139" spans="2:20" ht="230.45" customHeight="1" x14ac:dyDescent="0.25">
      <c r="B139" s="146">
        <v>358</v>
      </c>
      <c r="C139" s="28">
        <v>22</v>
      </c>
      <c r="D139" s="28" t="s">
        <v>1789</v>
      </c>
      <c r="E139" s="28" t="s">
        <v>1789</v>
      </c>
      <c r="F139" s="108">
        <v>45452</v>
      </c>
      <c r="G139" s="109">
        <v>0.33888888888888891</v>
      </c>
      <c r="H139" s="124" t="s">
        <v>2333</v>
      </c>
      <c r="I139" s="124" t="s">
        <v>385</v>
      </c>
      <c r="J139" s="124" t="s">
        <v>385</v>
      </c>
      <c r="K139" s="26" t="s">
        <v>347</v>
      </c>
      <c r="L139" s="28"/>
      <c r="M139" s="28">
        <v>300000</v>
      </c>
      <c r="N139" s="28">
        <v>2000000</v>
      </c>
      <c r="O139" s="28" t="s">
        <v>20</v>
      </c>
      <c r="P139" s="28" t="s">
        <v>20</v>
      </c>
      <c r="Q139" s="28" t="s">
        <v>20</v>
      </c>
      <c r="R139" s="28" t="s">
        <v>20</v>
      </c>
      <c r="S139" s="28" t="s">
        <v>20</v>
      </c>
      <c r="T139" s="28" t="s">
        <v>20</v>
      </c>
    </row>
    <row r="140" spans="2:20" ht="134.44999999999999" customHeight="1" x14ac:dyDescent="0.25">
      <c r="B140" s="146">
        <v>359</v>
      </c>
      <c r="C140" s="146">
        <v>23</v>
      </c>
      <c r="D140" s="28" t="s">
        <v>1789</v>
      </c>
      <c r="E140" s="28" t="s">
        <v>1789</v>
      </c>
      <c r="F140" s="108">
        <v>45452</v>
      </c>
      <c r="G140" s="109">
        <v>0.75624999999999998</v>
      </c>
      <c r="H140" s="124" t="s">
        <v>2335</v>
      </c>
      <c r="I140" s="124" t="s">
        <v>2307</v>
      </c>
      <c r="J140" s="124" t="s">
        <v>5903</v>
      </c>
      <c r="K140" s="28" t="s">
        <v>347</v>
      </c>
      <c r="L140" s="28" t="s">
        <v>5889</v>
      </c>
      <c r="M140" s="28">
        <v>0</v>
      </c>
      <c r="N140" s="28">
        <v>0</v>
      </c>
      <c r="O140" s="28" t="s">
        <v>20</v>
      </c>
      <c r="P140" s="28" t="s">
        <v>20</v>
      </c>
      <c r="Q140" s="28" t="s">
        <v>20</v>
      </c>
      <c r="R140" s="28" t="s">
        <v>20</v>
      </c>
      <c r="S140" s="28" t="s">
        <v>20</v>
      </c>
      <c r="T140" s="148" t="s">
        <v>20</v>
      </c>
    </row>
    <row r="141" spans="2:20" ht="19.5" x14ac:dyDescent="0.25">
      <c r="B141" s="146">
        <v>360</v>
      </c>
      <c r="C141" s="146">
        <v>24</v>
      </c>
      <c r="D141" s="28" t="s">
        <v>1789</v>
      </c>
      <c r="E141" s="28" t="s">
        <v>1789</v>
      </c>
      <c r="F141" s="108">
        <v>45452</v>
      </c>
      <c r="G141" s="109">
        <v>0.97222222222222221</v>
      </c>
      <c r="H141" s="124" t="s">
        <v>2336</v>
      </c>
      <c r="I141" s="124" t="s">
        <v>2307</v>
      </c>
      <c r="J141" s="124" t="s">
        <v>5903</v>
      </c>
      <c r="K141" s="28" t="s">
        <v>2045</v>
      </c>
      <c r="L141" s="28"/>
      <c r="M141" s="28">
        <v>0</v>
      </c>
      <c r="N141" s="28">
        <v>0</v>
      </c>
      <c r="O141" s="28" t="s">
        <v>20</v>
      </c>
      <c r="P141" s="28" t="s">
        <v>20</v>
      </c>
      <c r="Q141" s="28" t="s">
        <v>20</v>
      </c>
      <c r="R141" s="28" t="s">
        <v>20</v>
      </c>
      <c r="S141" s="28" t="s">
        <v>20</v>
      </c>
      <c r="T141" s="148" t="s">
        <v>20</v>
      </c>
    </row>
    <row r="142" spans="2:20" ht="19.5" x14ac:dyDescent="0.25">
      <c r="B142" s="146">
        <v>436</v>
      </c>
      <c r="C142" s="146">
        <v>12</v>
      </c>
      <c r="D142" s="28" t="s">
        <v>1789</v>
      </c>
      <c r="E142" s="28" t="s">
        <v>1789</v>
      </c>
      <c r="F142" s="108">
        <v>45452</v>
      </c>
      <c r="G142" s="109">
        <v>0.45624999999999999</v>
      </c>
      <c r="H142" s="124" t="s">
        <v>2434</v>
      </c>
      <c r="I142" s="124" t="s">
        <v>1904</v>
      </c>
      <c r="J142" s="124" t="s">
        <v>1904</v>
      </c>
      <c r="K142" s="28" t="s">
        <v>2443</v>
      </c>
      <c r="L142" s="28"/>
      <c r="M142" s="28">
        <v>200000</v>
      </c>
      <c r="N142" s="28">
        <v>300000</v>
      </c>
      <c r="O142" s="28" t="s">
        <v>20</v>
      </c>
      <c r="P142" s="28" t="s">
        <v>20</v>
      </c>
      <c r="Q142" s="28" t="s">
        <v>20</v>
      </c>
      <c r="R142" s="28" t="s">
        <v>20</v>
      </c>
      <c r="S142" s="28" t="s">
        <v>20</v>
      </c>
      <c r="T142" s="148" t="s">
        <v>20</v>
      </c>
    </row>
    <row r="143" spans="2:20" ht="19.5" x14ac:dyDescent="0.25">
      <c r="B143" s="146">
        <v>437</v>
      </c>
      <c r="C143" s="146">
        <v>13</v>
      </c>
      <c r="D143" s="28" t="s">
        <v>1789</v>
      </c>
      <c r="E143" s="28" t="s">
        <v>1789</v>
      </c>
      <c r="F143" s="108">
        <v>45452</v>
      </c>
      <c r="G143" s="109">
        <v>0.4236111111111111</v>
      </c>
      <c r="H143" s="124" t="s">
        <v>2435</v>
      </c>
      <c r="I143" s="124" t="s">
        <v>2307</v>
      </c>
      <c r="J143" s="124" t="s">
        <v>5903</v>
      </c>
      <c r="K143" s="28" t="s">
        <v>2443</v>
      </c>
      <c r="L143" s="28"/>
      <c r="M143" s="28">
        <v>0</v>
      </c>
      <c r="N143" s="28">
        <v>0</v>
      </c>
      <c r="O143" s="28" t="s">
        <v>20</v>
      </c>
      <c r="P143" s="28" t="s">
        <v>20</v>
      </c>
      <c r="Q143" s="28" t="s">
        <v>20</v>
      </c>
      <c r="R143" s="28" t="s">
        <v>20</v>
      </c>
      <c r="S143" s="28" t="s">
        <v>20</v>
      </c>
      <c r="T143" s="148" t="s">
        <v>20</v>
      </c>
    </row>
    <row r="144" spans="2:20" ht="273" x14ac:dyDescent="0.35">
      <c r="B144" s="146">
        <v>1953</v>
      </c>
      <c r="C144" s="147">
        <v>5</v>
      </c>
      <c r="D144" s="26" t="s">
        <v>1789</v>
      </c>
      <c r="E144" s="26" t="s">
        <v>5072</v>
      </c>
      <c r="F144" s="108">
        <v>45452</v>
      </c>
      <c r="G144" s="28" t="s">
        <v>5263</v>
      </c>
      <c r="H144" s="179"/>
      <c r="I144" s="179"/>
      <c r="J144" s="179"/>
      <c r="K144" s="122" t="s">
        <v>5264</v>
      </c>
      <c r="L144" s="28"/>
      <c r="M144" s="28" t="s">
        <v>127</v>
      </c>
      <c r="N144" s="28" t="s">
        <v>5204</v>
      </c>
      <c r="O144" s="26" t="s">
        <v>5071</v>
      </c>
      <c r="P144" s="26" t="s">
        <v>5071</v>
      </c>
      <c r="Q144" s="26" t="s">
        <v>5071</v>
      </c>
      <c r="R144" s="26" t="s">
        <v>5071</v>
      </c>
      <c r="S144" s="26" t="s">
        <v>5071</v>
      </c>
      <c r="T144" s="242" t="s">
        <v>5071</v>
      </c>
    </row>
    <row r="145" spans="2:20" ht="117" x14ac:dyDescent="0.25">
      <c r="B145" s="146">
        <v>2206</v>
      </c>
      <c r="C145" s="146">
        <v>229</v>
      </c>
      <c r="D145" s="28" t="s">
        <v>5357</v>
      </c>
      <c r="E145" s="28" t="s">
        <v>5475</v>
      </c>
      <c r="F145" s="108">
        <v>45452</v>
      </c>
      <c r="G145" s="109">
        <v>0.52777777777777779</v>
      </c>
      <c r="H145" s="124" t="s">
        <v>5396</v>
      </c>
      <c r="I145" s="124"/>
      <c r="J145" s="124"/>
      <c r="K145" s="28"/>
      <c r="L145" s="28"/>
      <c r="M145" s="28">
        <v>500</v>
      </c>
      <c r="N145" s="162">
        <v>999500</v>
      </c>
      <c r="O145" s="28" t="s">
        <v>20</v>
      </c>
      <c r="P145" s="28" t="s">
        <v>20</v>
      </c>
      <c r="Q145" s="28" t="s">
        <v>20</v>
      </c>
      <c r="R145" s="28" t="s">
        <v>20</v>
      </c>
      <c r="S145" s="28" t="s">
        <v>20</v>
      </c>
      <c r="T145" s="148" t="s">
        <v>20</v>
      </c>
    </row>
    <row r="146" spans="2:20" ht="117" x14ac:dyDescent="0.25">
      <c r="B146" s="146">
        <v>2207</v>
      </c>
      <c r="C146" s="146">
        <v>230</v>
      </c>
      <c r="D146" s="28" t="s">
        <v>5357</v>
      </c>
      <c r="E146" s="28" t="s">
        <v>5475</v>
      </c>
      <c r="F146" s="108">
        <v>45452</v>
      </c>
      <c r="G146" s="109">
        <v>0.77569444444444446</v>
      </c>
      <c r="H146" s="124" t="s">
        <v>5397</v>
      </c>
      <c r="I146" s="124"/>
      <c r="J146" s="124"/>
      <c r="K146" s="28"/>
      <c r="L146" s="28"/>
      <c r="M146" s="28" t="s">
        <v>20</v>
      </c>
      <c r="N146" s="28" t="s">
        <v>20</v>
      </c>
      <c r="O146" s="28" t="s">
        <v>20</v>
      </c>
      <c r="P146" s="28" t="s">
        <v>20</v>
      </c>
      <c r="Q146" s="28" t="s">
        <v>20</v>
      </c>
      <c r="R146" s="28" t="s">
        <v>20</v>
      </c>
      <c r="S146" s="28" t="s">
        <v>20</v>
      </c>
      <c r="T146" s="148" t="s">
        <v>20</v>
      </c>
    </row>
    <row r="147" spans="2:20" ht="78" x14ac:dyDescent="0.25">
      <c r="B147" s="146">
        <v>2208</v>
      </c>
      <c r="C147" s="146">
        <v>231</v>
      </c>
      <c r="D147" s="28" t="s">
        <v>5357</v>
      </c>
      <c r="E147" s="28" t="s">
        <v>5475</v>
      </c>
      <c r="F147" s="108">
        <v>45452</v>
      </c>
      <c r="G147" s="109">
        <v>0.81944444444444442</v>
      </c>
      <c r="H147" s="124" t="s">
        <v>5398</v>
      </c>
      <c r="I147" s="124"/>
      <c r="J147" s="124"/>
      <c r="K147" s="28"/>
      <c r="L147" s="28"/>
      <c r="M147" s="28" t="s">
        <v>20</v>
      </c>
      <c r="N147" s="28" t="s">
        <v>20</v>
      </c>
      <c r="O147" s="28" t="s">
        <v>20</v>
      </c>
      <c r="P147" s="28" t="s">
        <v>20</v>
      </c>
      <c r="Q147" s="28" t="s">
        <v>20</v>
      </c>
      <c r="R147" s="28" t="s">
        <v>20</v>
      </c>
      <c r="S147" s="28" t="s">
        <v>20</v>
      </c>
      <c r="T147" s="148" t="s">
        <v>20</v>
      </c>
    </row>
    <row r="148" spans="2:20" ht="97.5" x14ac:dyDescent="0.25">
      <c r="B148" s="146">
        <v>2209</v>
      </c>
      <c r="C148" s="146">
        <v>232</v>
      </c>
      <c r="D148" s="28" t="s">
        <v>5357</v>
      </c>
      <c r="E148" s="28" t="s">
        <v>5475</v>
      </c>
      <c r="F148" s="108">
        <v>45452</v>
      </c>
      <c r="G148" s="109">
        <v>0.88402777777777775</v>
      </c>
      <c r="H148" s="124" t="s">
        <v>5399</v>
      </c>
      <c r="I148" s="124"/>
      <c r="J148" s="124"/>
      <c r="K148" s="28"/>
      <c r="L148" s="28"/>
      <c r="M148" s="28" t="s">
        <v>20</v>
      </c>
      <c r="N148" s="28" t="s">
        <v>20</v>
      </c>
      <c r="O148" s="28" t="s">
        <v>20</v>
      </c>
      <c r="P148" s="28" t="s">
        <v>20</v>
      </c>
      <c r="Q148" s="28" t="s">
        <v>20</v>
      </c>
      <c r="R148" s="28" t="s">
        <v>20</v>
      </c>
      <c r="S148" s="28" t="s">
        <v>20</v>
      </c>
      <c r="T148" s="148" t="s">
        <v>20</v>
      </c>
    </row>
    <row r="149" spans="2:20" ht="58.5" x14ac:dyDescent="0.25">
      <c r="B149" s="146">
        <v>2210</v>
      </c>
      <c r="C149" s="146">
        <v>233</v>
      </c>
      <c r="D149" s="28" t="s">
        <v>5357</v>
      </c>
      <c r="E149" s="28" t="s">
        <v>5475</v>
      </c>
      <c r="F149" s="108">
        <v>45452</v>
      </c>
      <c r="G149" s="109">
        <v>0.97569444444444442</v>
      </c>
      <c r="H149" s="124" t="s">
        <v>5400</v>
      </c>
      <c r="I149" s="124"/>
      <c r="J149" s="124"/>
      <c r="K149" s="28"/>
      <c r="L149" s="28"/>
      <c r="M149" s="28" t="s">
        <v>20</v>
      </c>
      <c r="N149" s="28" t="s">
        <v>20</v>
      </c>
      <c r="O149" s="28" t="s">
        <v>20</v>
      </c>
      <c r="P149" s="28" t="s">
        <v>20</v>
      </c>
      <c r="Q149" s="28" t="s">
        <v>20</v>
      </c>
      <c r="R149" s="28" t="s">
        <v>20</v>
      </c>
      <c r="S149" s="28" t="s">
        <v>20</v>
      </c>
      <c r="T149" s="148" t="s">
        <v>20</v>
      </c>
    </row>
    <row r="150" spans="2:20" ht="78" x14ac:dyDescent="0.25">
      <c r="B150" s="146">
        <v>1445</v>
      </c>
      <c r="C150" s="146">
        <v>11</v>
      </c>
      <c r="D150" s="28" t="s">
        <v>93</v>
      </c>
      <c r="E150" s="28" t="s">
        <v>94</v>
      </c>
      <c r="F150" s="108">
        <v>45452</v>
      </c>
      <c r="G150" s="109">
        <v>6.1805555555555558E-2</v>
      </c>
      <c r="H150" s="124" t="s">
        <v>2687</v>
      </c>
      <c r="I150" s="124" t="s">
        <v>2677</v>
      </c>
      <c r="J150" s="124" t="s">
        <v>4168</v>
      </c>
      <c r="K150" s="28" t="s">
        <v>2688</v>
      </c>
      <c r="L150" s="28" t="s">
        <v>503</v>
      </c>
      <c r="M150" s="28" t="s">
        <v>155</v>
      </c>
      <c r="N150" s="28" t="s">
        <v>179</v>
      </c>
      <c r="O150" s="28" t="s">
        <v>20</v>
      </c>
      <c r="P150" s="28" t="s">
        <v>20</v>
      </c>
      <c r="Q150" s="28" t="s">
        <v>20</v>
      </c>
      <c r="R150" s="28" t="s">
        <v>20</v>
      </c>
      <c r="S150" s="28" t="s">
        <v>20</v>
      </c>
      <c r="T150" s="148" t="s">
        <v>20</v>
      </c>
    </row>
    <row r="151" spans="2:20" ht="78" x14ac:dyDescent="0.25">
      <c r="B151" s="146">
        <v>1446</v>
      </c>
      <c r="C151" s="146">
        <v>12</v>
      </c>
      <c r="D151" s="28" t="s">
        <v>93</v>
      </c>
      <c r="E151" s="28" t="s">
        <v>94</v>
      </c>
      <c r="F151" s="108">
        <v>45452</v>
      </c>
      <c r="G151" s="109">
        <v>0.56180555555555556</v>
      </c>
      <c r="H151" s="124" t="s">
        <v>2689</v>
      </c>
      <c r="I151" s="124" t="s">
        <v>2690</v>
      </c>
      <c r="J151" s="124" t="s">
        <v>1899</v>
      </c>
      <c r="K151" s="28" t="s">
        <v>2691</v>
      </c>
      <c r="L151" s="28"/>
      <c r="M151" s="28" t="s">
        <v>20</v>
      </c>
      <c r="N151" s="28" t="s">
        <v>20</v>
      </c>
      <c r="O151" s="28" t="s">
        <v>20</v>
      </c>
      <c r="P151" s="28" t="s">
        <v>20</v>
      </c>
      <c r="Q151" s="28" t="s">
        <v>20</v>
      </c>
      <c r="R151" s="28" t="s">
        <v>20</v>
      </c>
      <c r="S151" s="28" t="s">
        <v>20</v>
      </c>
      <c r="T151" s="148" t="s">
        <v>20</v>
      </c>
    </row>
    <row r="152" spans="2:20" ht="58.5" x14ac:dyDescent="0.25">
      <c r="B152" s="146">
        <v>1447</v>
      </c>
      <c r="C152" s="146">
        <v>13</v>
      </c>
      <c r="D152" s="28" t="s">
        <v>93</v>
      </c>
      <c r="E152" s="28" t="s">
        <v>94</v>
      </c>
      <c r="F152" s="108">
        <v>45452</v>
      </c>
      <c r="G152" s="109">
        <v>0.59166666666666667</v>
      </c>
      <c r="H152" s="124" t="s">
        <v>2692</v>
      </c>
      <c r="I152" s="124" t="s">
        <v>2665</v>
      </c>
      <c r="J152" s="124" t="s">
        <v>385</v>
      </c>
      <c r="K152" s="28" t="s">
        <v>2669</v>
      </c>
      <c r="L152" s="28"/>
      <c r="M152" s="28" t="s">
        <v>20</v>
      </c>
      <c r="N152" s="28">
        <v>500000</v>
      </c>
      <c r="O152" s="28" t="s">
        <v>20</v>
      </c>
      <c r="P152" s="28" t="s">
        <v>20</v>
      </c>
      <c r="Q152" s="28" t="s">
        <v>20</v>
      </c>
      <c r="R152" s="28" t="s">
        <v>20</v>
      </c>
      <c r="S152" s="28" t="s">
        <v>20</v>
      </c>
      <c r="T152" s="148" t="s">
        <v>20</v>
      </c>
    </row>
    <row r="153" spans="2:20" ht="78" x14ac:dyDescent="0.25">
      <c r="B153" s="146">
        <v>1448</v>
      </c>
      <c r="C153" s="146">
        <v>14</v>
      </c>
      <c r="D153" s="28" t="s">
        <v>93</v>
      </c>
      <c r="E153" s="28" t="s">
        <v>94</v>
      </c>
      <c r="F153" s="108">
        <v>45452</v>
      </c>
      <c r="G153" s="109">
        <v>0.65625</v>
      </c>
      <c r="H153" s="124" t="s">
        <v>2693</v>
      </c>
      <c r="I153" s="124" t="s">
        <v>2694</v>
      </c>
      <c r="J153" s="124" t="s">
        <v>4168</v>
      </c>
      <c r="K153" s="28" t="s">
        <v>2695</v>
      </c>
      <c r="L153" s="28" t="s">
        <v>5896</v>
      </c>
      <c r="M153" s="28">
        <v>350000</v>
      </c>
      <c r="N153" s="28">
        <v>650000</v>
      </c>
      <c r="O153" s="28">
        <v>1</v>
      </c>
      <c r="P153" s="28">
        <v>1</v>
      </c>
      <c r="Q153" s="28" t="s">
        <v>20</v>
      </c>
      <c r="R153" s="28" t="s">
        <v>20</v>
      </c>
      <c r="S153" s="28" t="s">
        <v>20</v>
      </c>
      <c r="T153" s="148" t="s">
        <v>20</v>
      </c>
    </row>
    <row r="154" spans="2:20" ht="58.5" x14ac:dyDescent="0.25">
      <c r="B154" s="146">
        <v>1449</v>
      </c>
      <c r="C154" s="146">
        <v>15</v>
      </c>
      <c r="D154" s="28" t="s">
        <v>93</v>
      </c>
      <c r="E154" s="28" t="s">
        <v>94</v>
      </c>
      <c r="F154" s="108">
        <v>45452</v>
      </c>
      <c r="G154" s="109">
        <v>0.70694444444444449</v>
      </c>
      <c r="H154" s="124" t="s">
        <v>2696</v>
      </c>
      <c r="I154" s="124" t="s">
        <v>2697</v>
      </c>
      <c r="J154" s="124"/>
      <c r="K154" s="28" t="s">
        <v>2698</v>
      </c>
      <c r="L154" s="28" t="s">
        <v>499</v>
      </c>
      <c r="M154" s="28" t="s">
        <v>20</v>
      </c>
      <c r="N154" s="28">
        <v>100000</v>
      </c>
      <c r="O154" s="28" t="s">
        <v>20</v>
      </c>
      <c r="P154" s="28" t="s">
        <v>20</v>
      </c>
      <c r="Q154" s="28" t="s">
        <v>20</v>
      </c>
      <c r="R154" s="28" t="s">
        <v>20</v>
      </c>
      <c r="S154" s="28" t="s">
        <v>20</v>
      </c>
      <c r="T154" s="148" t="s">
        <v>20</v>
      </c>
    </row>
    <row r="155" spans="2:20" ht="292.5" x14ac:dyDescent="0.25">
      <c r="B155" s="146">
        <v>2322</v>
      </c>
      <c r="C155" s="146">
        <v>45</v>
      </c>
      <c r="D155" s="28" t="s">
        <v>4832</v>
      </c>
      <c r="E155" s="28" t="s">
        <v>5610</v>
      </c>
      <c r="F155" s="108">
        <v>45453</v>
      </c>
      <c r="G155" s="109">
        <v>0.57847222222222228</v>
      </c>
      <c r="H155" s="124" t="s">
        <v>5579</v>
      </c>
      <c r="I155" s="124"/>
      <c r="J155" s="124"/>
      <c r="K155" s="28"/>
      <c r="L155" s="28"/>
      <c r="M155" s="28" t="s">
        <v>5580</v>
      </c>
      <c r="N155" s="28" t="s">
        <v>174</v>
      </c>
      <c r="O155" s="28" t="s">
        <v>20</v>
      </c>
      <c r="P155" s="28" t="s">
        <v>20</v>
      </c>
      <c r="Q155" s="28" t="s">
        <v>20</v>
      </c>
      <c r="R155" s="28" t="s">
        <v>20</v>
      </c>
      <c r="S155" s="28" t="s">
        <v>20</v>
      </c>
      <c r="T155" s="148" t="s">
        <v>20</v>
      </c>
    </row>
    <row r="156" spans="2:20" ht="58.5" x14ac:dyDescent="0.25">
      <c r="B156" s="146">
        <v>999</v>
      </c>
      <c r="C156" s="146">
        <v>487</v>
      </c>
      <c r="D156" s="28" t="s">
        <v>321</v>
      </c>
      <c r="E156" s="28" t="s">
        <v>3776</v>
      </c>
      <c r="F156" s="108">
        <v>45453</v>
      </c>
      <c r="G156" s="109">
        <v>0.45208333333333334</v>
      </c>
      <c r="H156" s="124" t="s">
        <v>4372</v>
      </c>
      <c r="I156" s="124" t="s">
        <v>3656</v>
      </c>
      <c r="J156" s="124" t="s">
        <v>4168</v>
      </c>
      <c r="K156" s="28" t="s">
        <v>4373</v>
      </c>
      <c r="L156" s="28"/>
      <c r="M156" s="28">
        <v>50000</v>
      </c>
      <c r="N156" s="28">
        <v>50000</v>
      </c>
      <c r="O156" s="28" t="s">
        <v>20</v>
      </c>
      <c r="P156" s="28" t="s">
        <v>20</v>
      </c>
      <c r="Q156" s="28" t="s">
        <v>20</v>
      </c>
      <c r="R156" s="28" t="s">
        <v>20</v>
      </c>
      <c r="S156" s="28" t="s">
        <v>20</v>
      </c>
      <c r="T156" s="148" t="s">
        <v>20</v>
      </c>
    </row>
    <row r="157" spans="2:20" ht="58.5" x14ac:dyDescent="0.25">
      <c r="B157" s="146">
        <v>1000</v>
      </c>
      <c r="C157" s="146">
        <v>488</v>
      </c>
      <c r="D157" s="28" t="s">
        <v>321</v>
      </c>
      <c r="E157" s="28" t="s">
        <v>3776</v>
      </c>
      <c r="F157" s="108">
        <v>45453</v>
      </c>
      <c r="G157" s="109">
        <v>0.65277777777777779</v>
      </c>
      <c r="H157" s="124" t="s">
        <v>4374</v>
      </c>
      <c r="I157" s="124" t="s">
        <v>3656</v>
      </c>
      <c r="J157" s="124" t="s">
        <v>4168</v>
      </c>
      <c r="K157" s="28" t="s">
        <v>3897</v>
      </c>
      <c r="L157" s="28"/>
      <c r="M157" s="28">
        <v>1000</v>
      </c>
      <c r="N157" s="28">
        <v>99000</v>
      </c>
      <c r="O157" s="28" t="s">
        <v>20</v>
      </c>
      <c r="P157" s="28" t="s">
        <v>20</v>
      </c>
      <c r="Q157" s="28" t="s">
        <v>20</v>
      </c>
      <c r="R157" s="28" t="s">
        <v>20</v>
      </c>
      <c r="S157" s="28" t="s">
        <v>20</v>
      </c>
      <c r="T157" s="148" t="s">
        <v>20</v>
      </c>
    </row>
    <row r="158" spans="2:20" ht="39" x14ac:dyDescent="0.25">
      <c r="B158" s="146">
        <v>1015</v>
      </c>
      <c r="C158" s="146">
        <v>514</v>
      </c>
      <c r="D158" s="28" t="s">
        <v>321</v>
      </c>
      <c r="E158" s="28" t="s">
        <v>307</v>
      </c>
      <c r="F158" s="108">
        <v>45453</v>
      </c>
      <c r="G158" s="109">
        <v>0.25486111111111109</v>
      </c>
      <c r="H158" s="124" t="s">
        <v>4410</v>
      </c>
      <c r="I158" s="124" t="s">
        <v>500</v>
      </c>
      <c r="J158" s="124" t="s">
        <v>2010</v>
      </c>
      <c r="K158" s="28" t="s">
        <v>501</v>
      </c>
      <c r="L158" s="28"/>
      <c r="M158" s="28">
        <v>20000</v>
      </c>
      <c r="N158" s="28">
        <v>500000</v>
      </c>
      <c r="O158" s="28" t="s">
        <v>20</v>
      </c>
      <c r="P158" s="28" t="s">
        <v>20</v>
      </c>
      <c r="Q158" s="28" t="s">
        <v>20</v>
      </c>
      <c r="R158" s="28" t="s">
        <v>20</v>
      </c>
      <c r="S158" s="28" t="s">
        <v>20</v>
      </c>
      <c r="T158" s="148" t="s">
        <v>20</v>
      </c>
    </row>
    <row r="159" spans="2:20" ht="19.5" x14ac:dyDescent="0.25">
      <c r="B159" s="146">
        <v>1032</v>
      </c>
      <c r="C159" s="146">
        <v>532</v>
      </c>
      <c r="D159" s="28" t="s">
        <v>321</v>
      </c>
      <c r="E159" s="28" t="s">
        <v>3685</v>
      </c>
      <c r="F159" s="108">
        <v>45453</v>
      </c>
      <c r="G159" s="109">
        <v>0.77569444444444446</v>
      </c>
      <c r="H159" s="124" t="s">
        <v>4419</v>
      </c>
      <c r="I159" s="124" t="s">
        <v>2873</v>
      </c>
      <c r="J159" s="124" t="s">
        <v>385</v>
      </c>
      <c r="K159" s="28" t="s">
        <v>4420</v>
      </c>
      <c r="L159" s="28"/>
      <c r="M159" s="28">
        <v>5000</v>
      </c>
      <c r="N159" s="28">
        <v>5000</v>
      </c>
      <c r="O159" s="28" t="s">
        <v>20</v>
      </c>
      <c r="P159" s="28" t="s">
        <v>20</v>
      </c>
      <c r="Q159" s="28" t="s">
        <v>20</v>
      </c>
      <c r="R159" s="28" t="s">
        <v>20</v>
      </c>
      <c r="S159" s="28" t="s">
        <v>20</v>
      </c>
      <c r="T159" s="148" t="s">
        <v>20</v>
      </c>
    </row>
    <row r="160" spans="2:20" ht="19.5" x14ac:dyDescent="0.25">
      <c r="B160" s="146">
        <v>1043</v>
      </c>
      <c r="C160" s="146">
        <v>543</v>
      </c>
      <c r="D160" s="28" t="s">
        <v>321</v>
      </c>
      <c r="E160" s="28" t="s">
        <v>3685</v>
      </c>
      <c r="F160" s="108">
        <v>45453</v>
      </c>
      <c r="G160" s="109">
        <v>0.68333333333333335</v>
      </c>
      <c r="H160" s="124" t="s">
        <v>4435</v>
      </c>
      <c r="I160" s="124" t="s">
        <v>4122</v>
      </c>
      <c r="J160" s="124" t="s">
        <v>4168</v>
      </c>
      <c r="K160" s="28" t="s">
        <v>4436</v>
      </c>
      <c r="L160" s="28"/>
      <c r="M160" s="28">
        <v>5000</v>
      </c>
      <c r="N160" s="28">
        <v>10000</v>
      </c>
      <c r="O160" s="28" t="s">
        <v>20</v>
      </c>
      <c r="P160" s="28" t="s">
        <v>20</v>
      </c>
      <c r="Q160" s="28" t="s">
        <v>20</v>
      </c>
      <c r="R160" s="28" t="s">
        <v>20</v>
      </c>
      <c r="S160" s="28" t="s">
        <v>20</v>
      </c>
      <c r="T160" s="148" t="s">
        <v>20</v>
      </c>
    </row>
    <row r="161" spans="2:20" ht="78" x14ac:dyDescent="0.25">
      <c r="B161" s="146">
        <v>1049</v>
      </c>
      <c r="C161" s="146">
        <v>549</v>
      </c>
      <c r="D161" s="28" t="s">
        <v>321</v>
      </c>
      <c r="E161" s="28" t="s">
        <v>306</v>
      </c>
      <c r="F161" s="108">
        <v>45453</v>
      </c>
      <c r="G161" s="109">
        <v>0.91319444444444442</v>
      </c>
      <c r="H161" s="124" t="s">
        <v>4444</v>
      </c>
      <c r="I161" s="124" t="s">
        <v>3649</v>
      </c>
      <c r="J161" s="124" t="s">
        <v>385</v>
      </c>
      <c r="K161" s="28" t="s">
        <v>4445</v>
      </c>
      <c r="L161" s="28"/>
      <c r="M161" s="28">
        <v>600000</v>
      </c>
      <c r="N161" s="28">
        <v>150000</v>
      </c>
      <c r="O161" s="28" t="s">
        <v>20</v>
      </c>
      <c r="P161" s="28" t="s">
        <v>20</v>
      </c>
      <c r="Q161" s="28" t="s">
        <v>20</v>
      </c>
      <c r="R161" s="28" t="s">
        <v>20</v>
      </c>
      <c r="S161" s="28" t="s">
        <v>20</v>
      </c>
      <c r="T161" s="148" t="s">
        <v>20</v>
      </c>
    </row>
    <row r="162" spans="2:20" ht="19.5" x14ac:dyDescent="0.25">
      <c r="B162" s="146">
        <v>2363</v>
      </c>
      <c r="C162" s="146" t="s">
        <v>5755</v>
      </c>
      <c r="D162" s="28" t="s">
        <v>1789</v>
      </c>
      <c r="E162" s="124" t="s">
        <v>4908</v>
      </c>
      <c r="F162" s="108">
        <v>45453</v>
      </c>
      <c r="G162" s="109"/>
      <c r="H162" s="124"/>
      <c r="I162" s="124" t="s">
        <v>20</v>
      </c>
      <c r="J162" s="124" t="s">
        <v>2448</v>
      </c>
      <c r="K162" s="28" t="s">
        <v>2443</v>
      </c>
      <c r="L162" s="28"/>
      <c r="M162" s="28"/>
      <c r="N162" s="28"/>
      <c r="O162" s="28"/>
      <c r="P162" s="28"/>
      <c r="Q162" s="28"/>
      <c r="R162" s="28"/>
      <c r="S162" s="28"/>
      <c r="T162" s="148"/>
    </row>
    <row r="163" spans="2:20" ht="19.5" x14ac:dyDescent="0.25">
      <c r="B163" s="146">
        <v>361</v>
      </c>
      <c r="C163" s="146">
        <v>25</v>
      </c>
      <c r="D163" s="28" t="s">
        <v>1789</v>
      </c>
      <c r="E163" s="28" t="s">
        <v>1789</v>
      </c>
      <c r="F163" s="108">
        <v>45453</v>
      </c>
      <c r="G163" s="109">
        <v>0.89097222222222228</v>
      </c>
      <c r="H163" s="124" t="s">
        <v>2337</v>
      </c>
      <c r="I163" s="124" t="s">
        <v>385</v>
      </c>
      <c r="J163" s="124" t="s">
        <v>385</v>
      </c>
      <c r="K163" s="28" t="s">
        <v>2045</v>
      </c>
      <c r="L163" s="28"/>
      <c r="M163" s="28">
        <v>0</v>
      </c>
      <c r="N163" s="28">
        <v>0</v>
      </c>
      <c r="O163" s="28" t="s">
        <v>20</v>
      </c>
      <c r="P163" s="28" t="s">
        <v>20</v>
      </c>
      <c r="Q163" s="28" t="s">
        <v>20</v>
      </c>
      <c r="R163" s="28" t="s">
        <v>20</v>
      </c>
      <c r="S163" s="28" t="s">
        <v>20</v>
      </c>
      <c r="T163" s="148" t="s">
        <v>20</v>
      </c>
    </row>
    <row r="164" spans="2:20" ht="19.5" x14ac:dyDescent="0.25">
      <c r="B164" s="146">
        <v>438</v>
      </c>
      <c r="C164" s="146">
        <v>14</v>
      </c>
      <c r="D164" s="28" t="s">
        <v>1789</v>
      </c>
      <c r="E164" s="28" t="s">
        <v>1789</v>
      </c>
      <c r="F164" s="108">
        <v>45453</v>
      </c>
      <c r="G164" s="109">
        <v>0.5756944444444444</v>
      </c>
      <c r="H164" s="124" t="s">
        <v>2436</v>
      </c>
      <c r="I164" s="124" t="s">
        <v>1904</v>
      </c>
      <c r="J164" s="124" t="s">
        <v>1904</v>
      </c>
      <c r="K164" s="28" t="s">
        <v>2443</v>
      </c>
      <c r="L164" s="28"/>
      <c r="M164" s="28">
        <v>200000</v>
      </c>
      <c r="N164" s="28">
        <v>800000</v>
      </c>
      <c r="O164" s="28" t="s">
        <v>20</v>
      </c>
      <c r="P164" s="28" t="s">
        <v>20</v>
      </c>
      <c r="Q164" s="28" t="s">
        <v>20</v>
      </c>
      <c r="R164" s="28" t="s">
        <v>20</v>
      </c>
      <c r="S164" s="28" t="s">
        <v>20</v>
      </c>
      <c r="T164" s="148" t="s">
        <v>20</v>
      </c>
    </row>
    <row r="165" spans="2:20" ht="19.5" x14ac:dyDescent="0.25">
      <c r="B165" s="146">
        <v>439</v>
      </c>
      <c r="C165" s="146">
        <v>15</v>
      </c>
      <c r="D165" s="28" t="s">
        <v>1789</v>
      </c>
      <c r="E165" s="28" t="s">
        <v>1789</v>
      </c>
      <c r="F165" s="108">
        <v>45453</v>
      </c>
      <c r="G165" s="109">
        <v>0.67708333333333337</v>
      </c>
      <c r="H165" s="124" t="s">
        <v>2437</v>
      </c>
      <c r="I165" s="124" t="s">
        <v>1904</v>
      </c>
      <c r="J165" s="124" t="s">
        <v>1904</v>
      </c>
      <c r="K165" s="28" t="s">
        <v>2443</v>
      </c>
      <c r="L165" s="28"/>
      <c r="M165" s="28">
        <v>50000</v>
      </c>
      <c r="N165" s="28">
        <v>150000</v>
      </c>
      <c r="O165" s="28" t="s">
        <v>20</v>
      </c>
      <c r="P165" s="28" t="s">
        <v>20</v>
      </c>
      <c r="Q165" s="28" t="s">
        <v>20</v>
      </c>
      <c r="R165" s="28" t="s">
        <v>20</v>
      </c>
      <c r="S165" s="28" t="s">
        <v>20</v>
      </c>
      <c r="T165" s="148" t="s">
        <v>20</v>
      </c>
    </row>
    <row r="166" spans="2:20" ht="19.5" x14ac:dyDescent="0.25">
      <c r="B166" s="146">
        <v>440</v>
      </c>
      <c r="C166" s="146">
        <v>16</v>
      </c>
      <c r="D166" s="28" t="s">
        <v>1789</v>
      </c>
      <c r="E166" s="28" t="s">
        <v>1789</v>
      </c>
      <c r="F166" s="108">
        <v>45453</v>
      </c>
      <c r="G166" s="109">
        <v>0.59027777777777779</v>
      </c>
      <c r="H166" s="124" t="s">
        <v>2438</v>
      </c>
      <c r="I166" s="124" t="s">
        <v>1904</v>
      </c>
      <c r="J166" s="124" t="s">
        <v>1904</v>
      </c>
      <c r="K166" s="28" t="s">
        <v>2443</v>
      </c>
      <c r="L166" s="28"/>
      <c r="M166" s="28">
        <v>5000</v>
      </c>
      <c r="N166" s="28">
        <v>995000</v>
      </c>
      <c r="O166" s="28" t="s">
        <v>20</v>
      </c>
      <c r="P166" s="28" t="s">
        <v>20</v>
      </c>
      <c r="Q166" s="28" t="s">
        <v>20</v>
      </c>
      <c r="R166" s="28" t="s">
        <v>20</v>
      </c>
      <c r="S166" s="28" t="s">
        <v>20</v>
      </c>
      <c r="T166" s="148" t="s">
        <v>20</v>
      </c>
    </row>
    <row r="167" spans="2:20" ht="253.5" x14ac:dyDescent="0.35">
      <c r="B167" s="146">
        <v>1954</v>
      </c>
      <c r="C167" s="147">
        <v>6</v>
      </c>
      <c r="D167" s="26" t="s">
        <v>1789</v>
      </c>
      <c r="E167" s="26" t="s">
        <v>5072</v>
      </c>
      <c r="F167" s="108">
        <v>45453</v>
      </c>
      <c r="G167" s="28" t="s">
        <v>5266</v>
      </c>
      <c r="H167" s="179"/>
      <c r="I167" s="179"/>
      <c r="J167" s="179"/>
      <c r="K167" s="122" t="s">
        <v>5267</v>
      </c>
      <c r="L167" s="28"/>
      <c r="M167" s="28" t="s">
        <v>204</v>
      </c>
      <c r="N167" s="28" t="s">
        <v>5118</v>
      </c>
      <c r="O167" s="26" t="s">
        <v>5071</v>
      </c>
      <c r="P167" s="26" t="s">
        <v>5071</v>
      </c>
      <c r="Q167" s="26" t="s">
        <v>5071</v>
      </c>
      <c r="R167" s="26" t="s">
        <v>5071</v>
      </c>
      <c r="S167" s="26" t="s">
        <v>5071</v>
      </c>
      <c r="T167" s="242" t="s">
        <v>5071</v>
      </c>
    </row>
    <row r="168" spans="2:20" ht="117" x14ac:dyDescent="0.25">
      <c r="B168" s="146">
        <v>2211</v>
      </c>
      <c r="C168" s="146">
        <v>234</v>
      </c>
      <c r="D168" s="28" t="s">
        <v>5357</v>
      </c>
      <c r="E168" s="28" t="s">
        <v>5475</v>
      </c>
      <c r="F168" s="108">
        <v>45453</v>
      </c>
      <c r="G168" s="109">
        <v>0.41597222222222224</v>
      </c>
      <c r="H168" s="124" t="s">
        <v>5401</v>
      </c>
      <c r="I168" s="124"/>
      <c r="J168" s="124"/>
      <c r="K168" s="28"/>
      <c r="L168" s="28"/>
      <c r="M168" s="28" t="s">
        <v>20</v>
      </c>
      <c r="N168" s="28" t="s">
        <v>20</v>
      </c>
      <c r="O168" s="28" t="s">
        <v>20</v>
      </c>
      <c r="P168" s="28" t="s">
        <v>20</v>
      </c>
      <c r="Q168" s="28" t="s">
        <v>20</v>
      </c>
      <c r="R168" s="28" t="s">
        <v>20</v>
      </c>
      <c r="S168" s="28" t="s">
        <v>20</v>
      </c>
      <c r="T168" s="148" t="s">
        <v>20</v>
      </c>
    </row>
    <row r="169" spans="2:20" ht="117" x14ac:dyDescent="0.25">
      <c r="B169" s="146">
        <v>2212</v>
      </c>
      <c r="C169" s="146">
        <v>235</v>
      </c>
      <c r="D169" s="28" t="s">
        <v>5357</v>
      </c>
      <c r="E169" s="28" t="s">
        <v>5475</v>
      </c>
      <c r="F169" s="108">
        <v>45453</v>
      </c>
      <c r="G169" s="109">
        <v>0.76041666666666663</v>
      </c>
      <c r="H169" s="124" t="s">
        <v>5402</v>
      </c>
      <c r="I169" s="124"/>
      <c r="J169" s="124"/>
      <c r="K169" s="28"/>
      <c r="L169" s="28"/>
      <c r="M169" s="28" t="s">
        <v>20</v>
      </c>
      <c r="N169" s="28" t="s">
        <v>20</v>
      </c>
      <c r="O169" s="28" t="s">
        <v>20</v>
      </c>
      <c r="P169" s="28" t="s">
        <v>20</v>
      </c>
      <c r="Q169" s="28" t="s">
        <v>20</v>
      </c>
      <c r="R169" s="28" t="s">
        <v>20</v>
      </c>
      <c r="S169" s="28" t="s">
        <v>20</v>
      </c>
      <c r="T169" s="148" t="s">
        <v>20</v>
      </c>
    </row>
    <row r="170" spans="2:20" ht="156" x14ac:dyDescent="0.25">
      <c r="B170" s="146">
        <v>2213</v>
      </c>
      <c r="C170" s="146">
        <v>236</v>
      </c>
      <c r="D170" s="28" t="s">
        <v>5357</v>
      </c>
      <c r="E170" s="28" t="s">
        <v>5475</v>
      </c>
      <c r="F170" s="108">
        <v>45453</v>
      </c>
      <c r="G170" s="109">
        <v>0.88749999999999996</v>
      </c>
      <c r="H170" s="124" t="s">
        <v>5403</v>
      </c>
      <c r="I170" s="124"/>
      <c r="J170" s="124"/>
      <c r="K170" s="28"/>
      <c r="L170" s="28"/>
      <c r="M170" s="28" t="s">
        <v>20</v>
      </c>
      <c r="N170" s="28" t="s">
        <v>20</v>
      </c>
      <c r="O170" s="28" t="s">
        <v>20</v>
      </c>
      <c r="P170" s="28" t="s">
        <v>20</v>
      </c>
      <c r="Q170" s="28" t="s">
        <v>20</v>
      </c>
      <c r="R170" s="28" t="s">
        <v>20</v>
      </c>
      <c r="S170" s="28" t="s">
        <v>20</v>
      </c>
      <c r="T170" s="148" t="s">
        <v>20</v>
      </c>
    </row>
    <row r="171" spans="2:20" ht="117" x14ac:dyDescent="0.25">
      <c r="B171" s="146">
        <v>2248</v>
      </c>
      <c r="C171" s="146">
        <v>271</v>
      </c>
      <c r="D171" s="28" t="s">
        <v>5357</v>
      </c>
      <c r="E171" s="28" t="s">
        <v>5471</v>
      </c>
      <c r="F171" s="108">
        <v>45453</v>
      </c>
      <c r="G171" s="109" t="s">
        <v>5462</v>
      </c>
      <c r="H171" s="124" t="s">
        <v>5436</v>
      </c>
      <c r="I171" s="124"/>
      <c r="J171" s="124"/>
      <c r="K171" s="28"/>
      <c r="L171" s="28"/>
      <c r="M171" s="28" t="s">
        <v>341</v>
      </c>
      <c r="N171" s="28">
        <v>50000</v>
      </c>
      <c r="O171" s="28" t="s">
        <v>20</v>
      </c>
      <c r="P171" s="28" t="s">
        <v>20</v>
      </c>
      <c r="Q171" s="28" t="s">
        <v>20</v>
      </c>
      <c r="R171" s="28" t="s">
        <v>20</v>
      </c>
      <c r="S171" s="28" t="s">
        <v>20</v>
      </c>
      <c r="T171" s="148" t="s">
        <v>20</v>
      </c>
    </row>
    <row r="172" spans="2:20" ht="58.5" x14ac:dyDescent="0.25">
      <c r="B172" s="146">
        <v>2257</v>
      </c>
      <c r="C172" s="146">
        <v>280</v>
      </c>
      <c r="D172" s="28" t="s">
        <v>5357</v>
      </c>
      <c r="E172" s="28" t="s">
        <v>5469</v>
      </c>
      <c r="F172" s="108">
        <v>45453</v>
      </c>
      <c r="G172" s="109">
        <v>0.50763888888888886</v>
      </c>
      <c r="H172" s="124" t="s">
        <v>5445</v>
      </c>
      <c r="I172" s="124"/>
      <c r="J172" s="124"/>
      <c r="K172" s="28"/>
      <c r="L172" s="28"/>
      <c r="M172" s="28" t="s">
        <v>20</v>
      </c>
      <c r="N172" s="28" t="s">
        <v>20</v>
      </c>
      <c r="O172" s="28" t="s">
        <v>20</v>
      </c>
      <c r="P172" s="28" t="s">
        <v>20</v>
      </c>
      <c r="Q172" s="28" t="s">
        <v>20</v>
      </c>
      <c r="R172" s="28" t="s">
        <v>696</v>
      </c>
      <c r="S172" s="28" t="s">
        <v>20</v>
      </c>
      <c r="T172" s="148" t="s">
        <v>20</v>
      </c>
    </row>
    <row r="173" spans="2:20" ht="39" x14ac:dyDescent="0.35">
      <c r="B173" s="146">
        <v>3634</v>
      </c>
      <c r="C173" s="146" t="s">
        <v>5780</v>
      </c>
      <c r="D173" s="28" t="s">
        <v>4825</v>
      </c>
      <c r="E173" s="28" t="s">
        <v>5682</v>
      </c>
      <c r="F173" s="108">
        <v>45453</v>
      </c>
      <c r="G173" s="109">
        <v>0.8305555555555556</v>
      </c>
      <c r="H173" s="28" t="s">
        <v>5630</v>
      </c>
      <c r="I173" s="131"/>
      <c r="J173" s="131"/>
      <c r="K173" s="131"/>
      <c r="L173" s="104"/>
      <c r="M173" s="28" t="s">
        <v>127</v>
      </c>
      <c r="N173" s="28" t="s">
        <v>204</v>
      </c>
      <c r="O173" s="28" t="s">
        <v>20</v>
      </c>
      <c r="P173" s="28" t="s">
        <v>20</v>
      </c>
      <c r="Q173" s="28" t="s">
        <v>20</v>
      </c>
      <c r="R173" s="28" t="s">
        <v>20</v>
      </c>
      <c r="S173" s="28" t="s">
        <v>20</v>
      </c>
      <c r="T173" s="148" t="s">
        <v>20</v>
      </c>
    </row>
    <row r="174" spans="2:20" ht="39" x14ac:dyDescent="0.35">
      <c r="B174" s="146">
        <v>3629</v>
      </c>
      <c r="C174" s="146" t="s">
        <v>5775</v>
      </c>
      <c r="D174" s="28" t="s">
        <v>4825</v>
      </c>
      <c r="E174" s="28" t="s">
        <v>4825</v>
      </c>
      <c r="F174" s="108">
        <v>45453</v>
      </c>
      <c r="G174" s="109">
        <v>0.71666666666666667</v>
      </c>
      <c r="H174" s="28" t="s">
        <v>5625</v>
      </c>
      <c r="I174" s="131"/>
      <c r="J174" s="131"/>
      <c r="K174" s="131"/>
      <c r="L174" s="104"/>
      <c r="M174" s="27" t="s">
        <v>20</v>
      </c>
      <c r="N174" s="27" t="s">
        <v>20</v>
      </c>
      <c r="O174" s="27" t="s">
        <v>20</v>
      </c>
      <c r="P174" s="27" t="s">
        <v>20</v>
      </c>
      <c r="Q174" s="27" t="s">
        <v>20</v>
      </c>
      <c r="R174" s="27" t="s">
        <v>20</v>
      </c>
      <c r="S174" s="27" t="s">
        <v>20</v>
      </c>
      <c r="T174" s="241" t="s">
        <v>20</v>
      </c>
    </row>
    <row r="175" spans="2:20" ht="19.5" x14ac:dyDescent="0.25">
      <c r="B175" s="146">
        <v>1511</v>
      </c>
      <c r="C175" s="146">
        <v>77</v>
      </c>
      <c r="D175" s="28" t="s">
        <v>93</v>
      </c>
      <c r="E175" s="28" t="s">
        <v>587</v>
      </c>
      <c r="F175" s="108">
        <v>45453</v>
      </c>
      <c r="G175" s="109">
        <v>0.58125000000000004</v>
      </c>
      <c r="H175" s="124" t="s">
        <v>2818</v>
      </c>
      <c r="I175" s="124" t="s">
        <v>406</v>
      </c>
      <c r="J175" s="124" t="s">
        <v>406</v>
      </c>
      <c r="K175" s="28" t="s">
        <v>2819</v>
      </c>
      <c r="L175" s="28"/>
      <c r="M175" s="28">
        <v>5000</v>
      </c>
      <c r="N175" s="28">
        <v>45000</v>
      </c>
      <c r="O175" s="28" t="s">
        <v>23</v>
      </c>
      <c r="P175" s="28" t="s">
        <v>23</v>
      </c>
      <c r="Q175" s="28" t="s">
        <v>23</v>
      </c>
      <c r="R175" s="28" t="s">
        <v>23</v>
      </c>
      <c r="S175" s="28" t="s">
        <v>23</v>
      </c>
      <c r="T175" s="148" t="s">
        <v>23</v>
      </c>
    </row>
    <row r="176" spans="2:20" ht="58.5" x14ac:dyDescent="0.25">
      <c r="B176" s="146">
        <v>1450</v>
      </c>
      <c r="C176" s="146">
        <v>16</v>
      </c>
      <c r="D176" s="28" t="s">
        <v>93</v>
      </c>
      <c r="E176" s="28" t="s">
        <v>94</v>
      </c>
      <c r="F176" s="108">
        <v>45453</v>
      </c>
      <c r="G176" s="109">
        <v>0.81388888888888888</v>
      </c>
      <c r="H176" s="124" t="s">
        <v>2699</v>
      </c>
      <c r="I176" s="124" t="s">
        <v>2700</v>
      </c>
      <c r="J176" s="124" t="s">
        <v>4168</v>
      </c>
      <c r="K176" s="28" t="s">
        <v>2701</v>
      </c>
      <c r="L176" s="28" t="s">
        <v>5904</v>
      </c>
      <c r="M176" s="28" t="s">
        <v>20</v>
      </c>
      <c r="N176" s="28">
        <v>50000</v>
      </c>
      <c r="O176" s="28" t="s">
        <v>20</v>
      </c>
      <c r="P176" s="28" t="s">
        <v>20</v>
      </c>
      <c r="Q176" s="28" t="s">
        <v>20</v>
      </c>
      <c r="R176" s="28" t="s">
        <v>20</v>
      </c>
      <c r="S176" s="28" t="s">
        <v>20</v>
      </c>
      <c r="T176" s="148" t="s">
        <v>20</v>
      </c>
    </row>
    <row r="177" spans="2:20" ht="175.5" x14ac:dyDescent="0.25">
      <c r="B177" s="146">
        <v>2305</v>
      </c>
      <c r="C177" s="146">
        <v>28</v>
      </c>
      <c r="D177" s="28" t="s">
        <v>4832</v>
      </c>
      <c r="E177" s="28" t="s">
        <v>4832</v>
      </c>
      <c r="F177" s="108">
        <v>45454</v>
      </c>
      <c r="G177" s="109">
        <v>0.47569444444444442</v>
      </c>
      <c r="H177" s="124" t="s">
        <v>5558</v>
      </c>
      <c r="I177" s="124"/>
      <c r="J177" s="124"/>
      <c r="K177" s="28"/>
      <c r="L177" s="28"/>
      <c r="M177" s="162">
        <v>20000</v>
      </c>
      <c r="N177" s="162">
        <v>2480000</v>
      </c>
      <c r="O177" s="28" t="s">
        <v>20</v>
      </c>
      <c r="P177" s="28" t="s">
        <v>20</v>
      </c>
      <c r="Q177" s="28" t="s">
        <v>20</v>
      </c>
      <c r="R177" s="28" t="s">
        <v>20</v>
      </c>
      <c r="S177" s="28" t="s">
        <v>20</v>
      </c>
      <c r="T177" s="148" t="s">
        <v>20</v>
      </c>
    </row>
    <row r="178" spans="2:20" ht="214.5" x14ac:dyDescent="0.25">
      <c r="B178" s="146">
        <v>2323</v>
      </c>
      <c r="C178" s="146">
        <v>46</v>
      </c>
      <c r="D178" s="28" t="s">
        <v>4832</v>
      </c>
      <c r="E178" s="28" t="s">
        <v>5610</v>
      </c>
      <c r="F178" s="108">
        <v>45454</v>
      </c>
      <c r="G178" s="109">
        <v>0.76736111111111116</v>
      </c>
      <c r="H178" s="124" t="s">
        <v>5581</v>
      </c>
      <c r="I178" s="124"/>
      <c r="J178" s="124"/>
      <c r="K178" s="28"/>
      <c r="L178" s="28"/>
      <c r="M178" s="28" t="s">
        <v>5582</v>
      </c>
      <c r="N178" s="28" t="s">
        <v>5583</v>
      </c>
      <c r="O178" s="28" t="s">
        <v>20</v>
      </c>
      <c r="P178" s="28" t="s">
        <v>20</v>
      </c>
      <c r="Q178" s="28" t="s">
        <v>20</v>
      </c>
      <c r="R178" s="28" t="s">
        <v>20</v>
      </c>
      <c r="S178" s="28" t="s">
        <v>20</v>
      </c>
      <c r="T178" s="148" t="s">
        <v>20</v>
      </c>
    </row>
    <row r="179" spans="2:20" ht="58.5" x14ac:dyDescent="0.25">
      <c r="B179" s="146">
        <v>1001</v>
      </c>
      <c r="C179" s="146">
        <v>489</v>
      </c>
      <c r="D179" s="28" t="s">
        <v>321</v>
      </c>
      <c r="E179" s="28" t="s">
        <v>3776</v>
      </c>
      <c r="F179" s="108">
        <v>45454</v>
      </c>
      <c r="G179" s="109">
        <v>0.49861111111111112</v>
      </c>
      <c r="H179" s="124" t="s">
        <v>4375</v>
      </c>
      <c r="I179" s="124" t="s">
        <v>3656</v>
      </c>
      <c r="J179" s="124" t="s">
        <v>4168</v>
      </c>
      <c r="K179" s="28" t="s">
        <v>3662</v>
      </c>
      <c r="L179" s="28"/>
      <c r="M179" s="28">
        <v>1000</v>
      </c>
      <c r="N179" s="28">
        <v>99000</v>
      </c>
      <c r="O179" s="28" t="s">
        <v>20</v>
      </c>
      <c r="P179" s="28" t="s">
        <v>20</v>
      </c>
      <c r="Q179" s="28" t="s">
        <v>20</v>
      </c>
      <c r="R179" s="28" t="s">
        <v>20</v>
      </c>
      <c r="S179" s="28" t="s">
        <v>20</v>
      </c>
      <c r="T179" s="148" t="s">
        <v>20</v>
      </c>
    </row>
    <row r="180" spans="2:20" ht="58.5" x14ac:dyDescent="0.25">
      <c r="B180" s="146">
        <v>1045</v>
      </c>
      <c r="C180" s="146">
        <v>545</v>
      </c>
      <c r="D180" s="28" t="s">
        <v>321</v>
      </c>
      <c r="E180" s="28" t="s">
        <v>4111</v>
      </c>
      <c r="F180" s="108">
        <v>45454</v>
      </c>
      <c r="G180" s="109">
        <v>0.54513888888888884</v>
      </c>
      <c r="H180" s="124" t="s">
        <v>4440</v>
      </c>
      <c r="I180" s="124" t="s">
        <v>3752</v>
      </c>
      <c r="J180" s="124" t="s">
        <v>4168</v>
      </c>
      <c r="K180" s="28" t="s">
        <v>340</v>
      </c>
      <c r="L180" s="28"/>
      <c r="M180" s="28" t="s">
        <v>341</v>
      </c>
      <c r="N180" s="28" t="s">
        <v>341</v>
      </c>
      <c r="O180" s="28" t="s">
        <v>20</v>
      </c>
      <c r="P180" s="28" t="s">
        <v>20</v>
      </c>
      <c r="Q180" s="28" t="s">
        <v>20</v>
      </c>
      <c r="R180" s="28" t="s">
        <v>20</v>
      </c>
      <c r="S180" s="28" t="s">
        <v>20</v>
      </c>
      <c r="T180" s="148" t="s">
        <v>20</v>
      </c>
    </row>
    <row r="181" spans="2:20" ht="19.5" x14ac:dyDescent="0.25">
      <c r="B181" s="146">
        <v>1016</v>
      </c>
      <c r="C181" s="146">
        <v>515</v>
      </c>
      <c r="D181" s="28" t="s">
        <v>321</v>
      </c>
      <c r="E181" s="28" t="s">
        <v>307</v>
      </c>
      <c r="F181" s="108">
        <v>45454</v>
      </c>
      <c r="G181" s="109">
        <v>0.77013888888888893</v>
      </c>
      <c r="H181" s="124" t="s">
        <v>4411</v>
      </c>
      <c r="I181" s="124" t="s">
        <v>502</v>
      </c>
      <c r="J181" s="124" t="s">
        <v>2448</v>
      </c>
      <c r="K181" s="28" t="s">
        <v>503</v>
      </c>
      <c r="L181" s="28"/>
      <c r="M181" s="28">
        <v>20000</v>
      </c>
      <c r="N181" s="28">
        <v>50000</v>
      </c>
      <c r="O181" s="28" t="s">
        <v>20</v>
      </c>
      <c r="P181" s="28" t="s">
        <v>20</v>
      </c>
      <c r="Q181" s="28" t="s">
        <v>20</v>
      </c>
      <c r="R181" s="28" t="s">
        <v>20</v>
      </c>
      <c r="S181" s="28" t="s">
        <v>20</v>
      </c>
      <c r="T181" s="148" t="s">
        <v>20</v>
      </c>
    </row>
    <row r="182" spans="2:20" ht="273" customHeight="1" x14ac:dyDescent="0.25">
      <c r="B182" s="146">
        <v>1050</v>
      </c>
      <c r="C182" s="146">
        <v>550</v>
      </c>
      <c r="D182" s="28" t="s">
        <v>321</v>
      </c>
      <c r="E182" s="28" t="s">
        <v>306</v>
      </c>
      <c r="F182" s="108">
        <v>45454</v>
      </c>
      <c r="G182" s="109">
        <v>0.67361111111111116</v>
      </c>
      <c r="H182" s="124" t="s">
        <v>4446</v>
      </c>
      <c r="I182" s="124" t="s">
        <v>3726</v>
      </c>
      <c r="J182" s="124" t="s">
        <v>4168</v>
      </c>
      <c r="K182" s="28" t="s">
        <v>4447</v>
      </c>
      <c r="L182" s="28"/>
      <c r="M182" s="28" t="s">
        <v>341</v>
      </c>
      <c r="N182" s="28" t="s">
        <v>341</v>
      </c>
      <c r="O182" s="28" t="s">
        <v>20</v>
      </c>
      <c r="P182" s="28" t="s">
        <v>20</v>
      </c>
      <c r="Q182" s="28" t="s">
        <v>20</v>
      </c>
      <c r="R182" s="28" t="s">
        <v>20</v>
      </c>
      <c r="S182" s="28" t="s">
        <v>20</v>
      </c>
      <c r="T182" s="148" t="s">
        <v>20</v>
      </c>
    </row>
    <row r="183" spans="2:20" ht="78" x14ac:dyDescent="0.25">
      <c r="B183" s="146">
        <v>1785</v>
      </c>
      <c r="C183" s="146">
        <v>16</v>
      </c>
      <c r="D183" s="28" t="s">
        <v>4777</v>
      </c>
      <c r="E183" s="28" t="s">
        <v>4780</v>
      </c>
      <c r="F183" s="108">
        <v>45454</v>
      </c>
      <c r="G183" s="109">
        <v>0.4861111111111111</v>
      </c>
      <c r="H183" s="124" t="s">
        <v>4813</v>
      </c>
      <c r="I183" s="124"/>
      <c r="J183" s="124"/>
      <c r="K183" s="28"/>
      <c r="L183" s="28"/>
      <c r="M183" s="28">
        <v>50000</v>
      </c>
      <c r="N183" s="28">
        <v>5000000</v>
      </c>
      <c r="O183" s="28" t="s">
        <v>20</v>
      </c>
      <c r="P183" s="28" t="s">
        <v>20</v>
      </c>
      <c r="Q183" s="28" t="s">
        <v>20</v>
      </c>
      <c r="R183" s="28" t="s">
        <v>20</v>
      </c>
      <c r="S183" s="28" t="s">
        <v>20</v>
      </c>
      <c r="T183" s="148" t="s">
        <v>20</v>
      </c>
    </row>
    <row r="184" spans="2:20" ht="312" x14ac:dyDescent="0.35">
      <c r="B184" s="146">
        <v>1958</v>
      </c>
      <c r="C184" s="147">
        <v>1</v>
      </c>
      <c r="D184" s="26" t="s">
        <v>1789</v>
      </c>
      <c r="E184" s="26" t="s">
        <v>5149</v>
      </c>
      <c r="F184" s="108">
        <v>45454</v>
      </c>
      <c r="G184" s="28" t="s">
        <v>5277</v>
      </c>
      <c r="H184" s="179"/>
      <c r="I184" s="179"/>
      <c r="J184" s="179"/>
      <c r="K184" s="122" t="s">
        <v>5278</v>
      </c>
      <c r="L184" s="28"/>
      <c r="M184" s="28" t="s">
        <v>198</v>
      </c>
      <c r="N184" s="28" t="s">
        <v>208</v>
      </c>
      <c r="O184" s="26" t="s">
        <v>5071</v>
      </c>
      <c r="P184" s="26" t="s">
        <v>5071</v>
      </c>
      <c r="Q184" s="26" t="s">
        <v>5071</v>
      </c>
      <c r="R184" s="26" t="s">
        <v>5071</v>
      </c>
      <c r="S184" s="26" t="s">
        <v>5071</v>
      </c>
      <c r="T184" s="242" t="s">
        <v>5071</v>
      </c>
    </row>
    <row r="185" spans="2:20" ht="19.5" x14ac:dyDescent="0.25">
      <c r="B185" s="146">
        <v>362</v>
      </c>
      <c r="C185" s="146">
        <v>26</v>
      </c>
      <c r="D185" s="28" t="s">
        <v>1789</v>
      </c>
      <c r="E185" s="28" t="s">
        <v>1789</v>
      </c>
      <c r="F185" s="108">
        <v>45454</v>
      </c>
      <c r="G185" s="109">
        <v>0.44166666666666665</v>
      </c>
      <c r="H185" s="124" t="s">
        <v>2339</v>
      </c>
      <c r="I185" s="124" t="s">
        <v>406</v>
      </c>
      <c r="J185" s="124" t="s">
        <v>406</v>
      </c>
      <c r="K185" s="28" t="s">
        <v>2047</v>
      </c>
      <c r="L185" s="28"/>
      <c r="M185" s="28">
        <v>200000</v>
      </c>
      <c r="N185" s="28">
        <v>600000</v>
      </c>
      <c r="O185" s="28" t="s">
        <v>20</v>
      </c>
      <c r="P185" s="28" t="s">
        <v>20</v>
      </c>
      <c r="Q185" s="28" t="s">
        <v>20</v>
      </c>
      <c r="R185" s="28" t="s">
        <v>20</v>
      </c>
      <c r="S185" s="28" t="s">
        <v>20</v>
      </c>
      <c r="T185" s="148" t="s">
        <v>20</v>
      </c>
    </row>
    <row r="186" spans="2:20" ht="19.5" x14ac:dyDescent="0.25">
      <c r="B186" s="146">
        <v>363</v>
      </c>
      <c r="C186" s="146">
        <v>27</v>
      </c>
      <c r="D186" s="28" t="s">
        <v>1789</v>
      </c>
      <c r="E186" s="28" t="s">
        <v>1789</v>
      </c>
      <c r="F186" s="108">
        <v>45454</v>
      </c>
      <c r="G186" s="109">
        <v>0.48125000000000001</v>
      </c>
      <c r="H186" s="124" t="s">
        <v>2340</v>
      </c>
      <c r="I186" s="124" t="s">
        <v>1904</v>
      </c>
      <c r="J186" s="124" t="s">
        <v>1904</v>
      </c>
      <c r="K186" s="28" t="s">
        <v>2341</v>
      </c>
      <c r="L186" s="28"/>
      <c r="M186" s="28">
        <v>50000</v>
      </c>
      <c r="N186" s="28">
        <v>450000</v>
      </c>
      <c r="O186" s="28" t="s">
        <v>20</v>
      </c>
      <c r="P186" s="28" t="s">
        <v>20</v>
      </c>
      <c r="Q186" s="28" t="s">
        <v>20</v>
      </c>
      <c r="R186" s="28" t="s">
        <v>20</v>
      </c>
      <c r="S186" s="28" t="s">
        <v>20</v>
      </c>
      <c r="T186" s="148" t="s">
        <v>20</v>
      </c>
    </row>
    <row r="187" spans="2:20" ht="19.5" x14ac:dyDescent="0.25">
      <c r="B187" s="146">
        <v>364</v>
      </c>
      <c r="C187" s="146">
        <v>28</v>
      </c>
      <c r="D187" s="28" t="s">
        <v>1789</v>
      </c>
      <c r="E187" s="28" t="s">
        <v>1789</v>
      </c>
      <c r="F187" s="108">
        <v>45454</v>
      </c>
      <c r="G187" s="109">
        <v>0.52777777777777779</v>
      </c>
      <c r="H187" s="124" t="s">
        <v>2342</v>
      </c>
      <c r="I187" s="124" t="s">
        <v>1904</v>
      </c>
      <c r="J187" s="124" t="s">
        <v>1904</v>
      </c>
      <c r="K187" s="28" t="s">
        <v>2343</v>
      </c>
      <c r="L187" s="28"/>
      <c r="M187" s="28">
        <v>20000</v>
      </c>
      <c r="N187" s="28">
        <v>480000</v>
      </c>
      <c r="O187" s="28" t="s">
        <v>20</v>
      </c>
      <c r="P187" s="28" t="s">
        <v>20</v>
      </c>
      <c r="Q187" s="28" t="s">
        <v>20</v>
      </c>
      <c r="R187" s="28" t="s">
        <v>20</v>
      </c>
      <c r="S187" s="28" t="s">
        <v>20</v>
      </c>
      <c r="T187" s="148" t="s">
        <v>20</v>
      </c>
    </row>
    <row r="188" spans="2:20" ht="19.5" x14ac:dyDescent="0.25">
      <c r="B188" s="146">
        <v>365</v>
      </c>
      <c r="C188" s="146">
        <v>29</v>
      </c>
      <c r="D188" s="28" t="s">
        <v>1789</v>
      </c>
      <c r="E188" s="28" t="s">
        <v>1789</v>
      </c>
      <c r="F188" s="108">
        <v>45454</v>
      </c>
      <c r="G188" s="109">
        <v>0.56944444444444442</v>
      </c>
      <c r="H188" s="124" t="s">
        <v>2344</v>
      </c>
      <c r="I188" s="124" t="s">
        <v>357</v>
      </c>
      <c r="J188" s="124" t="s">
        <v>385</v>
      </c>
      <c r="K188" s="28" t="s">
        <v>2047</v>
      </c>
      <c r="L188" s="28"/>
      <c r="M188" s="28">
        <v>500000</v>
      </c>
      <c r="N188" s="28">
        <v>1500000</v>
      </c>
      <c r="O188" s="28" t="s">
        <v>20</v>
      </c>
      <c r="P188" s="28" t="s">
        <v>20</v>
      </c>
      <c r="Q188" s="28" t="s">
        <v>20</v>
      </c>
      <c r="R188" s="28" t="s">
        <v>20</v>
      </c>
      <c r="S188" s="28" t="s">
        <v>20</v>
      </c>
      <c r="T188" s="148" t="s">
        <v>20</v>
      </c>
    </row>
    <row r="189" spans="2:20" ht="234" customHeight="1" x14ac:dyDescent="0.25">
      <c r="B189" s="146">
        <v>366</v>
      </c>
      <c r="C189" s="146">
        <v>30</v>
      </c>
      <c r="D189" s="28" t="s">
        <v>1789</v>
      </c>
      <c r="E189" s="28" t="s">
        <v>1789</v>
      </c>
      <c r="F189" s="108">
        <v>45454</v>
      </c>
      <c r="G189" s="109">
        <v>0.5708333333333333</v>
      </c>
      <c r="H189" s="124" t="s">
        <v>2345</v>
      </c>
      <c r="I189" s="124" t="s">
        <v>385</v>
      </c>
      <c r="J189" s="124" t="s">
        <v>385</v>
      </c>
      <c r="K189" s="28" t="s">
        <v>2011</v>
      </c>
      <c r="L189" s="28"/>
      <c r="M189" s="28">
        <v>250000</v>
      </c>
      <c r="N189" s="28">
        <v>50000</v>
      </c>
      <c r="O189" s="28" t="s">
        <v>20</v>
      </c>
      <c r="P189" s="28" t="s">
        <v>20</v>
      </c>
      <c r="Q189" s="28" t="s">
        <v>20</v>
      </c>
      <c r="R189" s="28" t="s">
        <v>20</v>
      </c>
      <c r="S189" s="28" t="s">
        <v>20</v>
      </c>
      <c r="T189" s="148" t="s">
        <v>20</v>
      </c>
    </row>
    <row r="190" spans="2:20" ht="195" customHeight="1" x14ac:dyDescent="0.25">
      <c r="B190" s="146">
        <v>367</v>
      </c>
      <c r="C190" s="146">
        <v>31</v>
      </c>
      <c r="D190" s="28" t="s">
        <v>1789</v>
      </c>
      <c r="E190" s="28" t="s">
        <v>1789</v>
      </c>
      <c r="F190" s="108">
        <v>45454</v>
      </c>
      <c r="G190" s="109">
        <v>0.59722222222222221</v>
      </c>
      <c r="H190" s="124" t="s">
        <v>2346</v>
      </c>
      <c r="I190" s="124" t="s">
        <v>2347</v>
      </c>
      <c r="J190" s="124" t="s">
        <v>1904</v>
      </c>
      <c r="K190" s="28" t="s">
        <v>2165</v>
      </c>
      <c r="L190" s="28"/>
      <c r="M190" s="28">
        <v>300000</v>
      </c>
      <c r="N190" s="28">
        <v>1700000</v>
      </c>
      <c r="O190" s="28" t="s">
        <v>20</v>
      </c>
      <c r="P190" s="28" t="s">
        <v>20</v>
      </c>
      <c r="Q190" s="28" t="s">
        <v>20</v>
      </c>
      <c r="R190" s="28" t="s">
        <v>20</v>
      </c>
      <c r="S190" s="28" t="s">
        <v>20</v>
      </c>
      <c r="T190" s="148" t="s">
        <v>20</v>
      </c>
    </row>
    <row r="191" spans="2:20" ht="292.5" customHeight="1" x14ac:dyDescent="0.25">
      <c r="B191" s="146">
        <v>441</v>
      </c>
      <c r="C191" s="146">
        <v>17</v>
      </c>
      <c r="D191" s="28" t="s">
        <v>1789</v>
      </c>
      <c r="E191" s="28" t="s">
        <v>1789</v>
      </c>
      <c r="F191" s="108">
        <v>45454</v>
      </c>
      <c r="G191" s="109">
        <v>0.14305555555555555</v>
      </c>
      <c r="H191" s="124" t="s">
        <v>2372</v>
      </c>
      <c r="I191" s="124" t="s">
        <v>1904</v>
      </c>
      <c r="J191" s="124" t="s">
        <v>1904</v>
      </c>
      <c r="K191" s="28" t="s">
        <v>2443</v>
      </c>
      <c r="L191" s="28"/>
      <c r="M191" s="28">
        <v>200000</v>
      </c>
      <c r="N191" s="28">
        <v>1800000</v>
      </c>
      <c r="O191" s="28" t="s">
        <v>20</v>
      </c>
      <c r="P191" s="28" t="s">
        <v>20</v>
      </c>
      <c r="Q191" s="28" t="s">
        <v>20</v>
      </c>
      <c r="R191" s="28" t="s">
        <v>20</v>
      </c>
      <c r="S191" s="28" t="s">
        <v>20</v>
      </c>
      <c r="T191" s="148" t="s">
        <v>20</v>
      </c>
    </row>
    <row r="192" spans="2:20" ht="19.5" x14ac:dyDescent="0.25">
      <c r="B192" s="146">
        <v>442</v>
      </c>
      <c r="C192" s="146">
        <v>18</v>
      </c>
      <c r="D192" s="28" t="s">
        <v>1789</v>
      </c>
      <c r="E192" s="28" t="s">
        <v>1789</v>
      </c>
      <c r="F192" s="108">
        <v>45454</v>
      </c>
      <c r="G192" s="109">
        <v>0.61111111111111116</v>
      </c>
      <c r="H192" s="124" t="s">
        <v>2430</v>
      </c>
      <c r="I192" s="124" t="s">
        <v>1904</v>
      </c>
      <c r="J192" s="124" t="s">
        <v>1904</v>
      </c>
      <c r="K192" s="28" t="s">
        <v>2443</v>
      </c>
      <c r="L192" s="28"/>
      <c r="M192" s="28">
        <v>50000</v>
      </c>
      <c r="N192" s="28">
        <v>150000</v>
      </c>
      <c r="O192" s="28" t="s">
        <v>20</v>
      </c>
      <c r="P192" s="28" t="s">
        <v>20</v>
      </c>
      <c r="Q192" s="28" t="s">
        <v>20</v>
      </c>
      <c r="R192" s="28" t="s">
        <v>20</v>
      </c>
      <c r="S192" s="28" t="s">
        <v>20</v>
      </c>
      <c r="T192" s="148" t="s">
        <v>20</v>
      </c>
    </row>
    <row r="193" spans="2:20" ht="19.5" x14ac:dyDescent="0.25">
      <c r="B193" s="146">
        <v>443</v>
      </c>
      <c r="C193" s="146">
        <v>19</v>
      </c>
      <c r="D193" s="28" t="s">
        <v>1789</v>
      </c>
      <c r="E193" s="28" t="s">
        <v>1789</v>
      </c>
      <c r="F193" s="108">
        <v>45454</v>
      </c>
      <c r="G193" s="109">
        <v>0.6118055555555556</v>
      </c>
      <c r="H193" s="124" t="s">
        <v>2430</v>
      </c>
      <c r="I193" s="124" t="s">
        <v>1904</v>
      </c>
      <c r="J193" s="124" t="s">
        <v>1904</v>
      </c>
      <c r="K193" s="28" t="s">
        <v>2443</v>
      </c>
      <c r="L193" s="28"/>
      <c r="M193" s="28">
        <v>100000</v>
      </c>
      <c r="N193" s="28">
        <v>200000</v>
      </c>
      <c r="O193" s="28" t="s">
        <v>20</v>
      </c>
      <c r="P193" s="28" t="s">
        <v>20</v>
      </c>
      <c r="Q193" s="28" t="s">
        <v>20</v>
      </c>
      <c r="R193" s="28" t="s">
        <v>20</v>
      </c>
      <c r="S193" s="28" t="s">
        <v>20</v>
      </c>
      <c r="T193" s="148" t="s">
        <v>20</v>
      </c>
    </row>
    <row r="194" spans="2:20" ht="195" x14ac:dyDescent="0.35">
      <c r="B194" s="146">
        <v>1955</v>
      </c>
      <c r="C194" s="147">
        <v>7</v>
      </c>
      <c r="D194" s="26" t="s">
        <v>1789</v>
      </c>
      <c r="E194" s="26" t="s">
        <v>5072</v>
      </c>
      <c r="F194" s="108">
        <v>45454</v>
      </c>
      <c r="G194" s="28" t="s">
        <v>5268</v>
      </c>
      <c r="H194" s="179"/>
      <c r="I194" s="179"/>
      <c r="J194" s="179"/>
      <c r="K194" s="122" t="s">
        <v>5269</v>
      </c>
      <c r="L194" s="28"/>
      <c r="M194" s="28" t="s">
        <v>5270</v>
      </c>
      <c r="N194" s="28" t="s">
        <v>5271</v>
      </c>
      <c r="O194" s="26" t="s">
        <v>5071</v>
      </c>
      <c r="P194" s="26" t="s">
        <v>5071</v>
      </c>
      <c r="Q194" s="26" t="s">
        <v>5071</v>
      </c>
      <c r="R194" s="26" t="s">
        <v>5071</v>
      </c>
      <c r="S194" s="26" t="s">
        <v>5071</v>
      </c>
      <c r="T194" s="242" t="s">
        <v>5071</v>
      </c>
    </row>
    <row r="195" spans="2:20" ht="117" x14ac:dyDescent="0.25">
      <c r="B195" s="146">
        <v>2214</v>
      </c>
      <c r="C195" s="146">
        <v>237</v>
      </c>
      <c r="D195" s="28" t="s">
        <v>5357</v>
      </c>
      <c r="E195" s="28" t="s">
        <v>5475</v>
      </c>
      <c r="F195" s="108">
        <v>45454</v>
      </c>
      <c r="G195" s="109">
        <v>0.37430555555555556</v>
      </c>
      <c r="H195" s="124" t="s">
        <v>5404</v>
      </c>
      <c r="I195" s="124"/>
      <c r="J195" s="124"/>
      <c r="K195" s="28"/>
      <c r="L195" s="28"/>
      <c r="M195" s="28">
        <v>500</v>
      </c>
      <c r="N195" s="162">
        <v>499500</v>
      </c>
      <c r="O195" s="28" t="s">
        <v>20</v>
      </c>
      <c r="P195" s="28" t="s">
        <v>20</v>
      </c>
      <c r="Q195" s="28" t="s">
        <v>20</v>
      </c>
      <c r="R195" s="28" t="s">
        <v>20</v>
      </c>
      <c r="S195" s="28" t="s">
        <v>20</v>
      </c>
      <c r="T195" s="148" t="s">
        <v>20</v>
      </c>
    </row>
    <row r="196" spans="2:20" ht="58.5" x14ac:dyDescent="0.25">
      <c r="B196" s="146">
        <v>2215</v>
      </c>
      <c r="C196" s="146">
        <v>238</v>
      </c>
      <c r="D196" s="28" t="s">
        <v>5357</v>
      </c>
      <c r="E196" s="28" t="s">
        <v>5475</v>
      </c>
      <c r="F196" s="108">
        <v>45454</v>
      </c>
      <c r="G196" s="109">
        <v>0.64652777777777781</v>
      </c>
      <c r="H196" s="124" t="s">
        <v>5405</v>
      </c>
      <c r="I196" s="124"/>
      <c r="J196" s="124"/>
      <c r="K196" s="28"/>
      <c r="L196" s="28"/>
      <c r="M196" s="28" t="s">
        <v>20</v>
      </c>
      <c r="N196" s="28" t="s">
        <v>20</v>
      </c>
      <c r="O196" s="28" t="s">
        <v>20</v>
      </c>
      <c r="P196" s="28" t="s">
        <v>20</v>
      </c>
      <c r="Q196" s="28" t="s">
        <v>20</v>
      </c>
      <c r="R196" s="28" t="s">
        <v>20</v>
      </c>
      <c r="S196" s="28" t="s">
        <v>20</v>
      </c>
      <c r="T196" s="148" t="s">
        <v>20</v>
      </c>
    </row>
    <row r="197" spans="2:20" ht="97.5" x14ac:dyDescent="0.25">
      <c r="B197" s="146">
        <v>2216</v>
      </c>
      <c r="C197" s="146">
        <v>239</v>
      </c>
      <c r="D197" s="28" t="s">
        <v>5357</v>
      </c>
      <c r="E197" s="28" t="s">
        <v>5475</v>
      </c>
      <c r="F197" s="108">
        <v>45454</v>
      </c>
      <c r="G197" s="109">
        <v>0.75</v>
      </c>
      <c r="H197" s="124" t="s">
        <v>5406</v>
      </c>
      <c r="I197" s="124"/>
      <c r="J197" s="124"/>
      <c r="K197" s="28"/>
      <c r="L197" s="28"/>
      <c r="M197" s="28" t="s">
        <v>20</v>
      </c>
      <c r="N197" s="28" t="s">
        <v>20</v>
      </c>
      <c r="O197" s="28" t="s">
        <v>20</v>
      </c>
      <c r="P197" s="28" t="s">
        <v>20</v>
      </c>
      <c r="Q197" s="28" t="s">
        <v>20</v>
      </c>
      <c r="R197" s="28" t="s">
        <v>20</v>
      </c>
      <c r="S197" s="28" t="s">
        <v>20</v>
      </c>
      <c r="T197" s="148" t="s">
        <v>20</v>
      </c>
    </row>
    <row r="198" spans="2:20" ht="234" customHeight="1" x14ac:dyDescent="0.25">
      <c r="B198" s="146">
        <v>2258</v>
      </c>
      <c r="C198" s="146">
        <v>281</v>
      </c>
      <c r="D198" s="28" t="s">
        <v>5357</v>
      </c>
      <c r="E198" s="28" t="s">
        <v>5469</v>
      </c>
      <c r="F198" s="108">
        <v>45454</v>
      </c>
      <c r="G198" s="109">
        <v>0.16666666666666666</v>
      </c>
      <c r="H198" s="124" t="s">
        <v>5446</v>
      </c>
      <c r="I198" s="124"/>
      <c r="J198" s="124"/>
      <c r="K198" s="28"/>
      <c r="L198" s="28"/>
      <c r="M198" s="28" t="s">
        <v>20</v>
      </c>
      <c r="N198" s="28">
        <v>500000</v>
      </c>
      <c r="O198" s="28" t="s">
        <v>20</v>
      </c>
      <c r="P198" s="28" t="s">
        <v>20</v>
      </c>
      <c r="Q198" s="28" t="s">
        <v>20</v>
      </c>
      <c r="R198" s="28" t="s">
        <v>20</v>
      </c>
      <c r="S198" s="28" t="s">
        <v>20</v>
      </c>
      <c r="T198" s="148" t="s">
        <v>20</v>
      </c>
    </row>
    <row r="199" spans="2:20" ht="195" customHeight="1" x14ac:dyDescent="0.35">
      <c r="B199" s="146">
        <v>3630</v>
      </c>
      <c r="C199" s="146" t="s">
        <v>5776</v>
      </c>
      <c r="D199" s="28" t="s">
        <v>4825</v>
      </c>
      <c r="E199" s="28" t="s">
        <v>4825</v>
      </c>
      <c r="F199" s="108">
        <v>45454</v>
      </c>
      <c r="G199" s="109">
        <v>0.77430555555555558</v>
      </c>
      <c r="H199" s="28" t="s">
        <v>5626</v>
      </c>
      <c r="I199" s="131"/>
      <c r="J199" s="131"/>
      <c r="K199" s="131"/>
      <c r="L199" s="104"/>
      <c r="M199" s="27" t="s">
        <v>20</v>
      </c>
      <c r="N199" s="27" t="s">
        <v>20</v>
      </c>
      <c r="O199" s="27" t="s">
        <v>20</v>
      </c>
      <c r="P199" s="27" t="s">
        <v>20</v>
      </c>
      <c r="Q199" s="27" t="s">
        <v>20</v>
      </c>
      <c r="R199" s="27" t="s">
        <v>20</v>
      </c>
      <c r="S199" s="27" t="s">
        <v>20</v>
      </c>
      <c r="T199" s="241" t="s">
        <v>20</v>
      </c>
    </row>
    <row r="200" spans="2:20" ht="292.5" customHeight="1" x14ac:dyDescent="0.25">
      <c r="B200" s="146">
        <v>1451</v>
      </c>
      <c r="C200" s="146">
        <v>17</v>
      </c>
      <c r="D200" s="28" t="s">
        <v>93</v>
      </c>
      <c r="E200" s="28" t="s">
        <v>94</v>
      </c>
      <c r="F200" s="108">
        <v>45454</v>
      </c>
      <c r="G200" s="109">
        <v>8.611111111111111E-2</v>
      </c>
      <c r="H200" s="124" t="s">
        <v>2702</v>
      </c>
      <c r="I200" s="124" t="s">
        <v>2703</v>
      </c>
      <c r="J200" s="124"/>
      <c r="K200" s="28" t="s">
        <v>2704</v>
      </c>
      <c r="L200" s="28" t="s">
        <v>5896</v>
      </c>
      <c r="M200" s="28">
        <v>180000</v>
      </c>
      <c r="N200" s="28">
        <v>20000</v>
      </c>
      <c r="O200" s="28" t="s">
        <v>20</v>
      </c>
      <c r="P200" s="28" t="s">
        <v>20</v>
      </c>
      <c r="Q200" s="28" t="s">
        <v>20</v>
      </c>
      <c r="R200" s="28" t="s">
        <v>20</v>
      </c>
      <c r="S200" s="28" t="s">
        <v>20</v>
      </c>
      <c r="T200" s="148">
        <v>1</v>
      </c>
    </row>
    <row r="201" spans="2:20" ht="234" customHeight="1" x14ac:dyDescent="0.25">
      <c r="B201" s="146">
        <v>1452</v>
      </c>
      <c r="C201" s="146">
        <v>18</v>
      </c>
      <c r="D201" s="28" t="s">
        <v>93</v>
      </c>
      <c r="E201" s="28" t="s">
        <v>94</v>
      </c>
      <c r="F201" s="108">
        <v>45454</v>
      </c>
      <c r="G201" s="109">
        <v>0.4375</v>
      </c>
      <c r="H201" s="124" t="s">
        <v>2705</v>
      </c>
      <c r="I201" s="124" t="s">
        <v>2706</v>
      </c>
      <c r="J201" s="124" t="s">
        <v>4168</v>
      </c>
      <c r="K201" s="28" t="s">
        <v>2707</v>
      </c>
      <c r="L201" s="28"/>
      <c r="M201" s="28">
        <v>50000</v>
      </c>
      <c r="N201" s="28">
        <v>450000</v>
      </c>
      <c r="O201" s="28" t="s">
        <v>20</v>
      </c>
      <c r="P201" s="28" t="s">
        <v>20</v>
      </c>
      <c r="Q201" s="28" t="s">
        <v>20</v>
      </c>
      <c r="R201" s="28" t="s">
        <v>20</v>
      </c>
      <c r="S201" s="28" t="s">
        <v>20</v>
      </c>
      <c r="T201" s="148" t="s">
        <v>20</v>
      </c>
    </row>
    <row r="202" spans="2:20" ht="234" customHeight="1" x14ac:dyDescent="0.25">
      <c r="B202" s="146">
        <v>1453</v>
      </c>
      <c r="C202" s="146">
        <v>19</v>
      </c>
      <c r="D202" s="28" t="s">
        <v>93</v>
      </c>
      <c r="E202" s="28" t="s">
        <v>94</v>
      </c>
      <c r="F202" s="108">
        <v>45454</v>
      </c>
      <c r="G202" s="109">
        <v>0.72638888888888886</v>
      </c>
      <c r="H202" s="124" t="s">
        <v>2708</v>
      </c>
      <c r="I202" s="124" t="s">
        <v>2709</v>
      </c>
      <c r="J202" s="124" t="s">
        <v>4168</v>
      </c>
      <c r="K202" s="28" t="s">
        <v>2710</v>
      </c>
      <c r="L202" s="28"/>
      <c r="M202" s="28" t="s">
        <v>20</v>
      </c>
      <c r="N202" s="28">
        <v>100000</v>
      </c>
      <c r="O202" s="28" t="s">
        <v>20</v>
      </c>
      <c r="P202" s="28" t="s">
        <v>20</v>
      </c>
      <c r="Q202" s="28" t="s">
        <v>20</v>
      </c>
      <c r="R202" s="28" t="s">
        <v>20</v>
      </c>
      <c r="S202" s="28" t="s">
        <v>20</v>
      </c>
      <c r="T202" s="148" t="s">
        <v>20</v>
      </c>
    </row>
    <row r="203" spans="2:20" ht="195" customHeight="1" x14ac:dyDescent="0.25">
      <c r="B203" s="146">
        <v>1454</v>
      </c>
      <c r="C203" s="146">
        <v>20</v>
      </c>
      <c r="D203" s="28" t="s">
        <v>93</v>
      </c>
      <c r="E203" s="28" t="s">
        <v>94</v>
      </c>
      <c r="F203" s="108">
        <v>45454</v>
      </c>
      <c r="G203" s="109">
        <v>0.82708333333333328</v>
      </c>
      <c r="H203" s="124" t="s">
        <v>2711</v>
      </c>
      <c r="I203" s="124" t="s">
        <v>2712</v>
      </c>
      <c r="J203" s="124" t="s">
        <v>4168</v>
      </c>
      <c r="K203" s="28" t="s">
        <v>2710</v>
      </c>
      <c r="L203" s="28"/>
      <c r="M203" s="28" t="s">
        <v>20</v>
      </c>
      <c r="N203" s="28" t="s">
        <v>20</v>
      </c>
      <c r="O203" s="28" t="s">
        <v>20</v>
      </c>
      <c r="P203" s="28" t="s">
        <v>20</v>
      </c>
      <c r="Q203" s="28" t="s">
        <v>20</v>
      </c>
      <c r="R203" s="28" t="s">
        <v>20</v>
      </c>
      <c r="S203" s="28" t="s">
        <v>20</v>
      </c>
      <c r="T203" s="148" t="s">
        <v>20</v>
      </c>
    </row>
    <row r="204" spans="2:20" ht="195" customHeight="1" x14ac:dyDescent="0.25">
      <c r="B204" s="146">
        <v>1455</v>
      </c>
      <c r="C204" s="146">
        <v>21</v>
      </c>
      <c r="D204" s="28" t="s">
        <v>93</v>
      </c>
      <c r="E204" s="28" t="s">
        <v>94</v>
      </c>
      <c r="F204" s="108">
        <v>45454</v>
      </c>
      <c r="G204" s="109">
        <v>0.60972222222222228</v>
      </c>
      <c r="H204" s="124" t="s">
        <v>2713</v>
      </c>
      <c r="I204" s="124" t="s">
        <v>2714</v>
      </c>
      <c r="J204" s="124"/>
      <c r="K204" s="28"/>
      <c r="L204" s="28"/>
      <c r="M204" s="28"/>
      <c r="N204" s="28"/>
      <c r="O204" s="28" t="s">
        <v>20</v>
      </c>
      <c r="P204" s="28">
        <v>84</v>
      </c>
      <c r="Q204" s="28" t="s">
        <v>20</v>
      </c>
      <c r="R204" s="28" t="s">
        <v>20</v>
      </c>
      <c r="S204" s="28" t="s">
        <v>20</v>
      </c>
      <c r="T204" s="148">
        <v>200</v>
      </c>
    </row>
    <row r="205" spans="2:20" ht="195" customHeight="1" x14ac:dyDescent="0.25">
      <c r="B205" s="146">
        <v>1456</v>
      </c>
      <c r="C205" s="146">
        <v>22</v>
      </c>
      <c r="D205" s="28" t="s">
        <v>93</v>
      </c>
      <c r="E205" s="28" t="s">
        <v>94</v>
      </c>
      <c r="F205" s="108">
        <v>45454</v>
      </c>
      <c r="G205" s="109">
        <v>0.96180555555555558</v>
      </c>
      <c r="H205" s="124" t="s">
        <v>2715</v>
      </c>
      <c r="I205" s="124" t="s">
        <v>2610</v>
      </c>
      <c r="J205" s="124" t="s">
        <v>4168</v>
      </c>
      <c r="K205" s="28" t="s">
        <v>2716</v>
      </c>
      <c r="L205" s="28"/>
      <c r="M205" s="28" t="s">
        <v>20</v>
      </c>
      <c r="N205" s="28">
        <v>1000000</v>
      </c>
      <c r="O205" s="28" t="s">
        <v>20</v>
      </c>
      <c r="P205" s="28" t="s">
        <v>20</v>
      </c>
      <c r="Q205" s="28" t="s">
        <v>20</v>
      </c>
      <c r="R205" s="28" t="s">
        <v>20</v>
      </c>
      <c r="S205" s="28" t="s">
        <v>20</v>
      </c>
      <c r="T205" s="148" t="s">
        <v>20</v>
      </c>
    </row>
    <row r="206" spans="2:20" ht="234" customHeight="1" x14ac:dyDescent="0.25">
      <c r="B206" s="146">
        <v>1477</v>
      </c>
      <c r="C206" s="146">
        <v>43</v>
      </c>
      <c r="D206" s="28" t="s">
        <v>93</v>
      </c>
      <c r="E206" s="28" t="s">
        <v>584</v>
      </c>
      <c r="F206" s="108">
        <v>45454</v>
      </c>
      <c r="G206" s="109">
        <v>0.58125000000000004</v>
      </c>
      <c r="H206" s="124" t="s">
        <v>2758</v>
      </c>
      <c r="I206" s="124" t="s">
        <v>2559</v>
      </c>
      <c r="J206" s="124" t="s">
        <v>4168</v>
      </c>
      <c r="K206" s="28" t="s">
        <v>2759</v>
      </c>
      <c r="L206" s="28"/>
      <c r="M206" s="28">
        <v>500</v>
      </c>
      <c r="N206" s="28">
        <v>49500</v>
      </c>
      <c r="O206" s="28" t="s">
        <v>75</v>
      </c>
      <c r="P206" s="28" t="s">
        <v>75</v>
      </c>
      <c r="Q206" s="28" t="s">
        <v>75</v>
      </c>
      <c r="R206" s="28" t="s">
        <v>75</v>
      </c>
      <c r="S206" s="28" t="s">
        <v>75</v>
      </c>
      <c r="T206" s="148" t="s">
        <v>75</v>
      </c>
    </row>
    <row r="207" spans="2:20" ht="292.5" customHeight="1" x14ac:dyDescent="0.25">
      <c r="B207" s="146">
        <v>1478</v>
      </c>
      <c r="C207" s="146">
        <v>44</v>
      </c>
      <c r="D207" s="28" t="s">
        <v>93</v>
      </c>
      <c r="E207" s="28" t="s">
        <v>584</v>
      </c>
      <c r="F207" s="108">
        <v>45454</v>
      </c>
      <c r="G207" s="109">
        <v>0.71875</v>
      </c>
      <c r="H207" s="124" t="s">
        <v>2760</v>
      </c>
      <c r="I207" s="124" t="s">
        <v>2559</v>
      </c>
      <c r="J207" s="124" t="s">
        <v>4168</v>
      </c>
      <c r="K207" s="28" t="s">
        <v>2761</v>
      </c>
      <c r="L207" s="28"/>
      <c r="M207" s="28" t="s">
        <v>75</v>
      </c>
      <c r="N207" s="28">
        <v>10000</v>
      </c>
      <c r="O207" s="28" t="s">
        <v>75</v>
      </c>
      <c r="P207" s="28" t="s">
        <v>75</v>
      </c>
      <c r="Q207" s="28" t="s">
        <v>75</v>
      </c>
      <c r="R207" s="28" t="s">
        <v>75</v>
      </c>
      <c r="S207" s="28" t="s">
        <v>75</v>
      </c>
      <c r="T207" s="148" t="s">
        <v>75</v>
      </c>
    </row>
    <row r="208" spans="2:20" ht="175.5" customHeight="1" x14ac:dyDescent="0.25">
      <c r="B208" s="146">
        <v>1479</v>
      </c>
      <c r="C208" s="146">
        <v>45</v>
      </c>
      <c r="D208" s="28" t="s">
        <v>93</v>
      </c>
      <c r="E208" s="28" t="s">
        <v>584</v>
      </c>
      <c r="F208" s="108">
        <v>45454</v>
      </c>
      <c r="G208" s="109">
        <v>0.93402777777777779</v>
      </c>
      <c r="H208" s="124" t="s">
        <v>2762</v>
      </c>
      <c r="I208" s="124" t="s">
        <v>406</v>
      </c>
      <c r="J208" s="124" t="s">
        <v>406</v>
      </c>
      <c r="K208" s="28" t="s">
        <v>2763</v>
      </c>
      <c r="L208" s="28"/>
      <c r="M208" s="28">
        <v>5000</v>
      </c>
      <c r="N208" s="28">
        <v>45000</v>
      </c>
      <c r="O208" s="28" t="s">
        <v>75</v>
      </c>
      <c r="P208" s="28" t="s">
        <v>75</v>
      </c>
      <c r="Q208" s="28" t="s">
        <v>75</v>
      </c>
      <c r="R208" s="28" t="s">
        <v>75</v>
      </c>
      <c r="S208" s="28" t="s">
        <v>75</v>
      </c>
      <c r="T208" s="148" t="s">
        <v>75</v>
      </c>
    </row>
    <row r="209" spans="2:20" ht="195" customHeight="1" x14ac:dyDescent="0.25">
      <c r="B209" s="146">
        <v>2477</v>
      </c>
      <c r="C209" s="146" t="s">
        <v>5761</v>
      </c>
      <c r="D209" s="28" t="s">
        <v>1789</v>
      </c>
      <c r="E209" s="108" t="s">
        <v>5714</v>
      </c>
      <c r="F209" s="108">
        <v>45454</v>
      </c>
      <c r="G209" s="109">
        <v>0.64861111111111114</v>
      </c>
      <c r="H209" s="124"/>
      <c r="I209" s="124" t="s">
        <v>20</v>
      </c>
      <c r="J209" s="124" t="s">
        <v>2448</v>
      </c>
      <c r="K209" s="28" t="s">
        <v>2443</v>
      </c>
      <c r="L209" s="28"/>
      <c r="M209" s="28"/>
      <c r="N209" s="28"/>
      <c r="O209" s="28"/>
      <c r="P209" s="28"/>
      <c r="Q209" s="28"/>
      <c r="R209" s="28"/>
      <c r="S209" s="28"/>
      <c r="T209" s="148"/>
    </row>
    <row r="210" spans="2:20" ht="175.5" customHeight="1" x14ac:dyDescent="0.25">
      <c r="B210" s="146">
        <v>2324</v>
      </c>
      <c r="C210" s="146">
        <v>47</v>
      </c>
      <c r="D210" s="28" t="s">
        <v>4832</v>
      </c>
      <c r="E210" s="28" t="s">
        <v>5610</v>
      </c>
      <c r="F210" s="108">
        <v>45455</v>
      </c>
      <c r="G210" s="109">
        <v>0.60833333333333328</v>
      </c>
      <c r="H210" s="124" t="s">
        <v>5584</v>
      </c>
      <c r="I210" s="124"/>
      <c r="J210" s="124"/>
      <c r="K210" s="28"/>
      <c r="L210" s="28"/>
      <c r="M210" s="28" t="s">
        <v>141</v>
      </c>
      <c r="N210" s="28" t="s">
        <v>152</v>
      </c>
      <c r="O210" s="28" t="s">
        <v>20</v>
      </c>
      <c r="P210" s="28" t="s">
        <v>20</v>
      </c>
      <c r="Q210" s="28" t="s">
        <v>20</v>
      </c>
      <c r="R210" s="28" t="s">
        <v>20</v>
      </c>
      <c r="S210" s="28" t="s">
        <v>20</v>
      </c>
      <c r="T210" s="148" t="s">
        <v>20</v>
      </c>
    </row>
    <row r="211" spans="2:20" ht="234" customHeight="1" x14ac:dyDescent="0.25">
      <c r="B211" s="146">
        <v>1046</v>
      </c>
      <c r="C211" s="146">
        <v>546</v>
      </c>
      <c r="D211" s="28" t="s">
        <v>321</v>
      </c>
      <c r="E211" s="28" t="s">
        <v>4111</v>
      </c>
      <c r="F211" s="108">
        <v>45455</v>
      </c>
      <c r="G211" s="109">
        <v>0.81597222222222221</v>
      </c>
      <c r="H211" s="124" t="s">
        <v>4441</v>
      </c>
      <c r="I211" s="124" t="s">
        <v>4113</v>
      </c>
      <c r="J211" s="124" t="s">
        <v>4168</v>
      </c>
      <c r="K211" s="28" t="s">
        <v>2757</v>
      </c>
      <c r="L211" s="28"/>
      <c r="M211" s="28" t="s">
        <v>341</v>
      </c>
      <c r="N211" s="28" t="s">
        <v>341</v>
      </c>
      <c r="O211" s="28" t="s">
        <v>20</v>
      </c>
      <c r="P211" s="28" t="s">
        <v>20</v>
      </c>
      <c r="Q211" s="28" t="s">
        <v>20</v>
      </c>
      <c r="R211" s="28" t="s">
        <v>20</v>
      </c>
      <c r="S211" s="28" t="s">
        <v>20</v>
      </c>
      <c r="T211" s="148" t="s">
        <v>20</v>
      </c>
    </row>
    <row r="212" spans="2:20" ht="234" customHeight="1" x14ac:dyDescent="0.25">
      <c r="B212" s="146">
        <v>1017</v>
      </c>
      <c r="C212" s="146">
        <v>516</v>
      </c>
      <c r="D212" s="28" t="s">
        <v>321</v>
      </c>
      <c r="E212" s="28" t="s">
        <v>307</v>
      </c>
      <c r="F212" s="108">
        <v>45455</v>
      </c>
      <c r="G212" s="109">
        <v>0.3888888888888889</v>
      </c>
      <c r="H212" s="124" t="s">
        <v>4412</v>
      </c>
      <c r="I212" s="124" t="s">
        <v>504</v>
      </c>
      <c r="J212" s="124" t="s">
        <v>385</v>
      </c>
      <c r="K212" s="28" t="s">
        <v>482</v>
      </c>
      <c r="L212" s="28"/>
      <c r="M212" s="28">
        <v>200000</v>
      </c>
      <c r="N212" s="28">
        <v>500000</v>
      </c>
      <c r="O212" s="28" t="s">
        <v>20</v>
      </c>
      <c r="P212" s="28" t="s">
        <v>20</v>
      </c>
      <c r="Q212" s="28" t="s">
        <v>20</v>
      </c>
      <c r="R212" s="28" t="s">
        <v>20</v>
      </c>
      <c r="S212" s="28" t="s">
        <v>20</v>
      </c>
      <c r="T212" s="148" t="s">
        <v>20</v>
      </c>
    </row>
    <row r="213" spans="2:20" ht="234" customHeight="1" x14ac:dyDescent="0.25">
      <c r="B213" s="146">
        <v>1018</v>
      </c>
      <c r="C213" s="146">
        <v>517</v>
      </c>
      <c r="D213" s="28" t="s">
        <v>321</v>
      </c>
      <c r="E213" s="28" t="s">
        <v>307</v>
      </c>
      <c r="F213" s="108">
        <v>45455</v>
      </c>
      <c r="G213" s="109"/>
      <c r="H213" s="124" t="s">
        <v>4410</v>
      </c>
      <c r="I213" s="124" t="s">
        <v>500</v>
      </c>
      <c r="J213" s="124" t="s">
        <v>2010</v>
      </c>
      <c r="K213" s="28" t="s">
        <v>501</v>
      </c>
      <c r="L213" s="28"/>
      <c r="M213" s="28">
        <v>50000</v>
      </c>
      <c r="N213" s="28">
        <v>500000</v>
      </c>
      <c r="O213" s="28" t="s">
        <v>20</v>
      </c>
      <c r="P213" s="28" t="s">
        <v>20</v>
      </c>
      <c r="Q213" s="28" t="s">
        <v>20</v>
      </c>
      <c r="R213" s="28" t="s">
        <v>20</v>
      </c>
      <c r="S213" s="28" t="s">
        <v>20</v>
      </c>
      <c r="T213" s="148" t="s">
        <v>20</v>
      </c>
    </row>
    <row r="214" spans="2:20" ht="195" customHeight="1" x14ac:dyDescent="0.25">
      <c r="B214" s="146">
        <v>1019</v>
      </c>
      <c r="C214" s="146">
        <v>518</v>
      </c>
      <c r="D214" s="28" t="s">
        <v>321</v>
      </c>
      <c r="E214" s="28" t="s">
        <v>307</v>
      </c>
      <c r="F214" s="108">
        <v>45455</v>
      </c>
      <c r="G214" s="109">
        <v>0.61527777777777781</v>
      </c>
      <c r="H214" s="124" t="s">
        <v>4413</v>
      </c>
      <c r="I214" s="124" t="s">
        <v>505</v>
      </c>
      <c r="J214" s="124"/>
      <c r="K214" s="28" t="s">
        <v>506</v>
      </c>
      <c r="L214" s="28"/>
      <c r="M214" s="28">
        <v>100000</v>
      </c>
      <c r="N214" s="28">
        <v>400000</v>
      </c>
      <c r="O214" s="28" t="s">
        <v>20</v>
      </c>
      <c r="P214" s="28" t="s">
        <v>20</v>
      </c>
      <c r="Q214" s="28" t="s">
        <v>20</v>
      </c>
      <c r="R214" s="28" t="s">
        <v>20</v>
      </c>
      <c r="S214" s="28" t="s">
        <v>20</v>
      </c>
      <c r="T214" s="148" t="s">
        <v>20</v>
      </c>
    </row>
    <row r="215" spans="2:20" ht="234" customHeight="1" x14ac:dyDescent="0.25">
      <c r="B215" s="146">
        <v>1020</v>
      </c>
      <c r="C215" s="146">
        <v>519</v>
      </c>
      <c r="D215" s="28" t="s">
        <v>321</v>
      </c>
      <c r="E215" s="28" t="s">
        <v>307</v>
      </c>
      <c r="F215" s="108">
        <v>45455</v>
      </c>
      <c r="G215" s="109">
        <v>0.77083333333333337</v>
      </c>
      <c r="H215" s="124" t="s">
        <v>4414</v>
      </c>
      <c r="I215" s="124" t="s">
        <v>507</v>
      </c>
      <c r="J215" s="124"/>
      <c r="K215" s="28" t="s">
        <v>508</v>
      </c>
      <c r="L215" s="28"/>
      <c r="M215" s="28">
        <v>20000</v>
      </c>
      <c r="N215" s="28">
        <v>100000</v>
      </c>
      <c r="O215" s="28" t="s">
        <v>20</v>
      </c>
      <c r="P215" s="28" t="s">
        <v>20</v>
      </c>
      <c r="Q215" s="28" t="s">
        <v>20</v>
      </c>
      <c r="R215" s="28" t="s">
        <v>20</v>
      </c>
      <c r="S215" s="28" t="s">
        <v>20</v>
      </c>
      <c r="T215" s="148" t="s">
        <v>20</v>
      </c>
    </row>
    <row r="216" spans="2:20" ht="273" customHeight="1" x14ac:dyDescent="0.25">
      <c r="B216" s="146">
        <v>1051</v>
      </c>
      <c r="C216" s="146">
        <v>551</v>
      </c>
      <c r="D216" s="28" t="s">
        <v>321</v>
      </c>
      <c r="E216" s="28" t="s">
        <v>306</v>
      </c>
      <c r="F216" s="108">
        <v>45455</v>
      </c>
      <c r="G216" s="109">
        <v>0.47708333333333336</v>
      </c>
      <c r="H216" s="124" t="s">
        <v>4047</v>
      </c>
      <c r="I216" s="124" t="s">
        <v>3726</v>
      </c>
      <c r="J216" s="124" t="s">
        <v>4168</v>
      </c>
      <c r="K216" s="28" t="s">
        <v>4448</v>
      </c>
      <c r="L216" s="28"/>
      <c r="M216" s="28" t="s">
        <v>341</v>
      </c>
      <c r="N216" s="28" t="s">
        <v>341</v>
      </c>
      <c r="O216" s="28" t="s">
        <v>20</v>
      </c>
      <c r="P216" s="28" t="s">
        <v>20</v>
      </c>
      <c r="Q216" s="28" t="s">
        <v>20</v>
      </c>
      <c r="R216" s="28" t="s">
        <v>20</v>
      </c>
      <c r="S216" s="28" t="s">
        <v>20</v>
      </c>
      <c r="T216" s="148" t="s">
        <v>20</v>
      </c>
    </row>
    <row r="217" spans="2:20" ht="234" customHeight="1" x14ac:dyDescent="0.25">
      <c r="B217" s="146">
        <v>1052</v>
      </c>
      <c r="C217" s="146">
        <v>552</v>
      </c>
      <c r="D217" s="28" t="s">
        <v>321</v>
      </c>
      <c r="E217" s="28" t="s">
        <v>306</v>
      </c>
      <c r="F217" s="108">
        <v>45455</v>
      </c>
      <c r="G217" s="109">
        <v>0.62083333333333335</v>
      </c>
      <c r="H217" s="124" t="s">
        <v>4449</v>
      </c>
      <c r="I217" s="124" t="s">
        <v>4450</v>
      </c>
      <c r="J217" s="124" t="s">
        <v>5797</v>
      </c>
      <c r="K217" s="28" t="s">
        <v>4451</v>
      </c>
      <c r="L217" s="28"/>
      <c r="M217" s="28">
        <v>50000</v>
      </c>
      <c r="N217" s="28">
        <v>3950000</v>
      </c>
      <c r="O217" s="28" t="s">
        <v>20</v>
      </c>
      <c r="P217" s="28" t="s">
        <v>20</v>
      </c>
      <c r="Q217" s="28" t="s">
        <v>20</v>
      </c>
      <c r="R217" s="28" t="s">
        <v>20</v>
      </c>
      <c r="S217" s="28" t="s">
        <v>20</v>
      </c>
      <c r="T217" s="148" t="s">
        <v>20</v>
      </c>
    </row>
    <row r="218" spans="2:20" ht="214.5" customHeight="1" x14ac:dyDescent="0.25">
      <c r="B218" s="146">
        <v>1776</v>
      </c>
      <c r="C218" s="146">
        <v>15</v>
      </c>
      <c r="D218" s="28" t="s">
        <v>4777</v>
      </c>
      <c r="E218" s="28" t="s">
        <v>4778</v>
      </c>
      <c r="F218" s="108">
        <v>45455</v>
      </c>
      <c r="G218" s="109">
        <v>0.92638888888888893</v>
      </c>
      <c r="H218" s="124" t="s">
        <v>4822</v>
      </c>
      <c r="I218" s="124" t="s">
        <v>4799</v>
      </c>
      <c r="J218" s="124" t="s">
        <v>406</v>
      </c>
      <c r="K218" s="28" t="s">
        <v>4800</v>
      </c>
      <c r="L218" s="28"/>
      <c r="M218" s="28">
        <v>150000</v>
      </c>
      <c r="N218" s="28">
        <v>50000</v>
      </c>
      <c r="O218" s="28" t="s">
        <v>20</v>
      </c>
      <c r="P218" s="28" t="s">
        <v>20</v>
      </c>
      <c r="Q218" s="28" t="s">
        <v>20</v>
      </c>
      <c r="R218" s="28" t="s">
        <v>20</v>
      </c>
      <c r="S218" s="28" t="s">
        <v>20</v>
      </c>
      <c r="T218" s="148" t="s">
        <v>20</v>
      </c>
    </row>
    <row r="219" spans="2:20" ht="253.5" customHeight="1" x14ac:dyDescent="0.25">
      <c r="B219" s="146">
        <v>1786</v>
      </c>
      <c r="C219" s="146">
        <v>15</v>
      </c>
      <c r="D219" s="28" t="s">
        <v>4777</v>
      </c>
      <c r="E219" s="28" t="s">
        <v>4780</v>
      </c>
      <c r="F219" s="108">
        <v>45455</v>
      </c>
      <c r="G219" s="109">
        <v>0.94305555555555554</v>
      </c>
      <c r="H219" s="124" t="s">
        <v>4814</v>
      </c>
      <c r="I219" s="124"/>
      <c r="J219" s="124"/>
      <c r="K219" s="28"/>
      <c r="L219" s="28"/>
      <c r="M219" s="28" t="s">
        <v>20</v>
      </c>
      <c r="N219" s="28" t="s">
        <v>20</v>
      </c>
      <c r="O219" s="28" t="s">
        <v>20</v>
      </c>
      <c r="P219" s="28" t="s">
        <v>20</v>
      </c>
      <c r="Q219" s="28" t="s">
        <v>20</v>
      </c>
      <c r="R219" s="28" t="s">
        <v>20</v>
      </c>
      <c r="S219" s="28" t="s">
        <v>20</v>
      </c>
      <c r="T219" s="148" t="s">
        <v>20</v>
      </c>
    </row>
    <row r="220" spans="2:20" ht="214.5" customHeight="1" x14ac:dyDescent="0.25">
      <c r="B220" s="146">
        <v>368</v>
      </c>
      <c r="C220" s="146">
        <v>32</v>
      </c>
      <c r="D220" s="28" t="s">
        <v>1789</v>
      </c>
      <c r="E220" s="28" t="s">
        <v>1789</v>
      </c>
      <c r="F220" s="108">
        <v>45455</v>
      </c>
      <c r="G220" s="109">
        <v>3.3333333333333333E-2</v>
      </c>
      <c r="H220" s="124" t="s">
        <v>2348</v>
      </c>
      <c r="I220" s="124" t="s">
        <v>2334</v>
      </c>
      <c r="J220" s="124" t="s">
        <v>385</v>
      </c>
      <c r="K220" s="28" t="s">
        <v>2349</v>
      </c>
      <c r="L220" s="28"/>
      <c r="M220" s="28">
        <v>50000</v>
      </c>
      <c r="N220" s="28">
        <v>450000</v>
      </c>
      <c r="O220" s="28"/>
      <c r="P220" s="28"/>
      <c r="Q220" s="28"/>
      <c r="R220" s="28"/>
      <c r="S220" s="28"/>
      <c r="T220" s="148"/>
    </row>
    <row r="221" spans="2:20" ht="253.5" customHeight="1" x14ac:dyDescent="0.25">
      <c r="B221" s="146">
        <v>369</v>
      </c>
      <c r="C221" s="146">
        <v>33</v>
      </c>
      <c r="D221" s="28" t="s">
        <v>1789</v>
      </c>
      <c r="E221" s="28" t="s">
        <v>1789</v>
      </c>
      <c r="F221" s="108">
        <v>45455</v>
      </c>
      <c r="G221" s="109">
        <v>0.54791666666666672</v>
      </c>
      <c r="H221" s="124" t="s">
        <v>2350</v>
      </c>
      <c r="I221" s="124" t="s">
        <v>1904</v>
      </c>
      <c r="J221" s="124" t="s">
        <v>1904</v>
      </c>
      <c r="K221" s="26" t="s">
        <v>2351</v>
      </c>
      <c r="L221" s="28"/>
      <c r="M221" s="28">
        <v>0</v>
      </c>
      <c r="N221" s="28">
        <v>0</v>
      </c>
      <c r="O221" s="28"/>
      <c r="P221" s="28"/>
      <c r="Q221" s="28"/>
      <c r="R221" s="28"/>
      <c r="S221" s="28"/>
      <c r="T221" s="148"/>
    </row>
    <row r="222" spans="2:20" ht="273" customHeight="1" x14ac:dyDescent="0.25">
      <c r="B222" s="146">
        <v>370</v>
      </c>
      <c r="C222" s="146">
        <v>34</v>
      </c>
      <c r="D222" s="28" t="s">
        <v>1789</v>
      </c>
      <c r="E222" s="28" t="s">
        <v>1789</v>
      </c>
      <c r="F222" s="108">
        <v>45455</v>
      </c>
      <c r="G222" s="109">
        <v>0.58819444444444446</v>
      </c>
      <c r="H222" s="124" t="s">
        <v>2352</v>
      </c>
      <c r="I222" s="124" t="s">
        <v>2334</v>
      </c>
      <c r="J222" s="124" t="s">
        <v>385</v>
      </c>
      <c r="K222" s="28" t="s">
        <v>2325</v>
      </c>
      <c r="L222" s="28"/>
      <c r="M222" s="28">
        <v>600000</v>
      </c>
      <c r="N222" s="28">
        <v>2400000</v>
      </c>
      <c r="O222" s="28" t="s">
        <v>20</v>
      </c>
      <c r="P222" s="28" t="s">
        <v>20</v>
      </c>
      <c r="Q222" s="28" t="s">
        <v>20</v>
      </c>
      <c r="R222" s="28" t="s">
        <v>20</v>
      </c>
      <c r="S222" s="28" t="s">
        <v>20</v>
      </c>
      <c r="T222" s="148" t="s">
        <v>20</v>
      </c>
    </row>
    <row r="223" spans="2:20" ht="253.5" customHeight="1" x14ac:dyDescent="0.25">
      <c r="B223" s="146">
        <v>371</v>
      </c>
      <c r="C223" s="146">
        <v>35</v>
      </c>
      <c r="D223" s="28" t="s">
        <v>1789</v>
      </c>
      <c r="E223" s="28" t="s">
        <v>1789</v>
      </c>
      <c r="F223" s="108">
        <v>45455</v>
      </c>
      <c r="G223" s="109">
        <v>0.64513888888888893</v>
      </c>
      <c r="H223" s="124" t="s">
        <v>2353</v>
      </c>
      <c r="I223" s="124" t="s">
        <v>2354</v>
      </c>
      <c r="J223" s="124" t="s">
        <v>1904</v>
      </c>
      <c r="K223" s="28" t="s">
        <v>2165</v>
      </c>
      <c r="L223" s="28"/>
      <c r="M223" s="28">
        <v>0</v>
      </c>
      <c r="N223" s="28">
        <v>0</v>
      </c>
      <c r="O223" s="28" t="s">
        <v>20</v>
      </c>
      <c r="P223" s="28" t="s">
        <v>20</v>
      </c>
      <c r="Q223" s="28" t="s">
        <v>20</v>
      </c>
      <c r="R223" s="28" t="s">
        <v>20</v>
      </c>
      <c r="S223" s="28" t="s">
        <v>20</v>
      </c>
      <c r="T223" s="148" t="s">
        <v>20</v>
      </c>
    </row>
    <row r="224" spans="2:20" ht="195" customHeight="1" x14ac:dyDescent="0.25">
      <c r="B224" s="146">
        <v>372</v>
      </c>
      <c r="C224" s="146">
        <v>36</v>
      </c>
      <c r="D224" s="28" t="s">
        <v>1789</v>
      </c>
      <c r="E224" s="28" t="s">
        <v>1789</v>
      </c>
      <c r="F224" s="108">
        <v>45455</v>
      </c>
      <c r="G224" s="109">
        <v>0.64722222222222225</v>
      </c>
      <c r="H224" s="124" t="s">
        <v>2355</v>
      </c>
      <c r="I224" s="124" t="s">
        <v>406</v>
      </c>
      <c r="J224" s="124" t="s">
        <v>406</v>
      </c>
      <c r="K224" s="28" t="s">
        <v>1992</v>
      </c>
      <c r="L224" s="28"/>
      <c r="M224" s="28">
        <v>400000</v>
      </c>
      <c r="N224" s="28">
        <v>1600000</v>
      </c>
      <c r="O224" s="28" t="s">
        <v>20</v>
      </c>
      <c r="P224" s="28" t="s">
        <v>20</v>
      </c>
      <c r="Q224" s="28" t="s">
        <v>20</v>
      </c>
      <c r="R224" s="28" t="s">
        <v>20</v>
      </c>
      <c r="S224" s="28" t="s">
        <v>20</v>
      </c>
      <c r="T224" s="148" t="s">
        <v>20</v>
      </c>
    </row>
    <row r="225" spans="2:20" ht="214.5" customHeight="1" x14ac:dyDescent="0.25">
      <c r="B225" s="146">
        <v>373</v>
      </c>
      <c r="C225" s="146">
        <v>37</v>
      </c>
      <c r="D225" s="28" t="s">
        <v>1789</v>
      </c>
      <c r="E225" s="28" t="s">
        <v>1789</v>
      </c>
      <c r="F225" s="108">
        <v>45455</v>
      </c>
      <c r="G225" s="109">
        <v>0.79513888888888884</v>
      </c>
      <c r="H225" s="124" t="s">
        <v>2356</v>
      </c>
      <c r="I225" s="124" t="s">
        <v>1899</v>
      </c>
      <c r="J225" s="124" t="s">
        <v>1899</v>
      </c>
      <c r="K225" s="28" t="s">
        <v>2357</v>
      </c>
      <c r="L225" s="28"/>
      <c r="M225" s="28">
        <v>10000</v>
      </c>
      <c r="N225" s="28">
        <v>1990000</v>
      </c>
      <c r="O225" s="28" t="s">
        <v>20</v>
      </c>
      <c r="P225" s="28" t="s">
        <v>20</v>
      </c>
      <c r="Q225" s="28" t="s">
        <v>20</v>
      </c>
      <c r="R225" s="28" t="s">
        <v>20</v>
      </c>
      <c r="S225" s="28" t="s">
        <v>20</v>
      </c>
      <c r="T225" s="148" t="s">
        <v>20</v>
      </c>
    </row>
    <row r="226" spans="2:20" ht="351" customHeight="1" x14ac:dyDescent="0.25">
      <c r="B226" s="146">
        <v>374</v>
      </c>
      <c r="C226" s="146">
        <v>38</v>
      </c>
      <c r="D226" s="28" t="s">
        <v>1789</v>
      </c>
      <c r="E226" s="28" t="s">
        <v>1789</v>
      </c>
      <c r="F226" s="108">
        <v>45455</v>
      </c>
      <c r="G226" s="109">
        <v>0.90833333333333333</v>
      </c>
      <c r="H226" s="124" t="s">
        <v>2358</v>
      </c>
      <c r="I226" s="124" t="s">
        <v>385</v>
      </c>
      <c r="J226" s="124" t="s">
        <v>385</v>
      </c>
      <c r="K226" s="28" t="s">
        <v>2045</v>
      </c>
      <c r="L226" s="28"/>
      <c r="M226" s="28">
        <v>20000</v>
      </c>
      <c r="N226" s="28">
        <v>480000</v>
      </c>
      <c r="O226" s="28" t="s">
        <v>20</v>
      </c>
      <c r="P226" s="28" t="s">
        <v>20</v>
      </c>
      <c r="Q226" s="28" t="s">
        <v>20</v>
      </c>
      <c r="R226" s="28" t="s">
        <v>20</v>
      </c>
      <c r="S226" s="28" t="s">
        <v>20</v>
      </c>
      <c r="T226" s="148" t="s">
        <v>20</v>
      </c>
    </row>
    <row r="227" spans="2:20" ht="312" customHeight="1" x14ac:dyDescent="0.25">
      <c r="B227" s="146">
        <v>444</v>
      </c>
      <c r="C227" s="146">
        <v>20</v>
      </c>
      <c r="D227" s="28" t="s">
        <v>1789</v>
      </c>
      <c r="E227" s="28" t="s">
        <v>1789</v>
      </c>
      <c r="F227" s="108">
        <v>45455</v>
      </c>
      <c r="G227" s="109">
        <v>0.56041666666666667</v>
      </c>
      <c r="H227" s="124" t="s">
        <v>2439</v>
      </c>
      <c r="I227" s="124" t="s">
        <v>1904</v>
      </c>
      <c r="J227" s="124" t="s">
        <v>1904</v>
      </c>
      <c r="K227" s="28" t="s">
        <v>2443</v>
      </c>
      <c r="L227" s="28"/>
      <c r="M227" s="28">
        <v>500000</v>
      </c>
      <c r="N227" s="28">
        <v>300000</v>
      </c>
      <c r="O227" s="28" t="s">
        <v>20</v>
      </c>
      <c r="P227" s="28" t="s">
        <v>20</v>
      </c>
      <c r="Q227" s="28" t="s">
        <v>20</v>
      </c>
      <c r="R227" s="28" t="s">
        <v>20</v>
      </c>
      <c r="S227" s="28" t="s">
        <v>20</v>
      </c>
      <c r="T227" s="148" t="s">
        <v>20</v>
      </c>
    </row>
    <row r="228" spans="2:20" ht="253.5" customHeight="1" x14ac:dyDescent="0.25">
      <c r="B228" s="146">
        <v>445</v>
      </c>
      <c r="C228" s="146">
        <v>21</v>
      </c>
      <c r="D228" s="28" t="s">
        <v>1789</v>
      </c>
      <c r="E228" s="28" t="s">
        <v>1789</v>
      </c>
      <c r="F228" s="108">
        <v>45455</v>
      </c>
      <c r="G228" s="109">
        <v>0.61319444444444449</v>
      </c>
      <c r="H228" s="124" t="s">
        <v>2440</v>
      </c>
      <c r="I228" s="124" t="s">
        <v>1904</v>
      </c>
      <c r="J228" s="124" t="s">
        <v>1904</v>
      </c>
      <c r="K228" s="28" t="s">
        <v>2443</v>
      </c>
      <c r="L228" s="28"/>
      <c r="M228" s="28">
        <v>300000</v>
      </c>
      <c r="N228" s="28">
        <v>1500000</v>
      </c>
      <c r="O228" s="28" t="s">
        <v>20</v>
      </c>
      <c r="P228" s="28" t="s">
        <v>20</v>
      </c>
      <c r="Q228" s="28" t="s">
        <v>20</v>
      </c>
      <c r="R228" s="28" t="s">
        <v>20</v>
      </c>
      <c r="S228" s="28" t="s">
        <v>20</v>
      </c>
      <c r="T228" s="148" t="s">
        <v>20</v>
      </c>
    </row>
    <row r="229" spans="2:20" ht="253.5" customHeight="1" x14ac:dyDescent="0.25">
      <c r="B229" s="146">
        <v>2191</v>
      </c>
      <c r="C229" s="146">
        <v>214</v>
      </c>
      <c r="D229" s="28" t="s">
        <v>5357</v>
      </c>
      <c r="E229" s="28" t="s">
        <v>5474</v>
      </c>
      <c r="F229" s="108">
        <v>45455</v>
      </c>
      <c r="G229" s="109" t="s">
        <v>5457</v>
      </c>
      <c r="H229" s="124" t="s">
        <v>5372</v>
      </c>
      <c r="I229" s="124" t="s">
        <v>406</v>
      </c>
      <c r="J229" s="124" t="s">
        <v>406</v>
      </c>
      <c r="K229" s="28" t="s">
        <v>5373</v>
      </c>
      <c r="L229" s="28"/>
      <c r="M229" s="162">
        <v>10000</v>
      </c>
      <c r="N229" s="162">
        <v>5000000</v>
      </c>
      <c r="O229" s="28" t="s">
        <v>20</v>
      </c>
      <c r="P229" s="28" t="s">
        <v>20</v>
      </c>
      <c r="Q229" s="28" t="s">
        <v>20</v>
      </c>
      <c r="R229" s="28" t="s">
        <v>20</v>
      </c>
      <c r="S229" s="28" t="s">
        <v>20</v>
      </c>
      <c r="T229" s="148" t="s">
        <v>20</v>
      </c>
    </row>
    <row r="230" spans="2:20" ht="97.5" x14ac:dyDescent="0.25">
      <c r="B230" s="146">
        <v>2197</v>
      </c>
      <c r="C230" s="146">
        <v>220</v>
      </c>
      <c r="D230" s="28" t="s">
        <v>5357</v>
      </c>
      <c r="E230" s="28" t="s">
        <v>5470</v>
      </c>
      <c r="F230" s="108">
        <v>45455</v>
      </c>
      <c r="G230" s="109" t="s">
        <v>5484</v>
      </c>
      <c r="H230" s="124" t="s">
        <v>5385</v>
      </c>
      <c r="I230" s="124" t="s">
        <v>5386</v>
      </c>
      <c r="J230" s="124"/>
      <c r="K230" s="28" t="s">
        <v>5387</v>
      </c>
      <c r="L230" s="28"/>
      <c r="M230" s="28" t="s">
        <v>20</v>
      </c>
      <c r="N230" s="28" t="s">
        <v>20</v>
      </c>
      <c r="O230" s="28" t="s">
        <v>20</v>
      </c>
      <c r="P230" s="28" t="s">
        <v>20</v>
      </c>
      <c r="Q230" s="28" t="s">
        <v>20</v>
      </c>
      <c r="R230" s="28" t="s">
        <v>20</v>
      </c>
      <c r="S230" s="28" t="s">
        <v>20</v>
      </c>
      <c r="T230" s="148" t="s">
        <v>20</v>
      </c>
    </row>
    <row r="231" spans="2:20" ht="97.5" x14ac:dyDescent="0.25">
      <c r="B231" s="146">
        <v>2263</v>
      </c>
      <c r="C231" s="146">
        <v>286</v>
      </c>
      <c r="D231" s="28" t="s">
        <v>5357</v>
      </c>
      <c r="E231" s="28" t="s">
        <v>5470</v>
      </c>
      <c r="F231" s="108">
        <v>45455</v>
      </c>
      <c r="G231" s="109" t="s">
        <v>5486</v>
      </c>
      <c r="H231" s="124" t="s">
        <v>5451</v>
      </c>
      <c r="I231" s="124"/>
      <c r="J231" s="124"/>
      <c r="K231" s="28"/>
      <c r="L231" s="28"/>
      <c r="M231" s="28" t="s">
        <v>20</v>
      </c>
      <c r="N231" s="28" t="s">
        <v>20</v>
      </c>
      <c r="O231" s="28" t="s">
        <v>20</v>
      </c>
      <c r="P231" s="28" t="s">
        <v>20</v>
      </c>
      <c r="Q231" s="28" t="s">
        <v>20</v>
      </c>
      <c r="R231" s="28" t="s">
        <v>696</v>
      </c>
      <c r="S231" s="28" t="s">
        <v>20</v>
      </c>
      <c r="T231" s="148" t="s">
        <v>20</v>
      </c>
    </row>
    <row r="232" spans="2:20" ht="97.5" x14ac:dyDescent="0.25">
      <c r="B232" s="146">
        <v>2217</v>
      </c>
      <c r="C232" s="146">
        <v>240</v>
      </c>
      <c r="D232" s="28" t="s">
        <v>5357</v>
      </c>
      <c r="E232" s="28" t="s">
        <v>5475</v>
      </c>
      <c r="F232" s="108">
        <v>45455</v>
      </c>
      <c r="G232" s="109">
        <v>0.27430555555555558</v>
      </c>
      <c r="H232" s="124" t="s">
        <v>5407</v>
      </c>
      <c r="I232" s="124"/>
      <c r="J232" s="124"/>
      <c r="K232" s="28"/>
      <c r="L232" s="28"/>
      <c r="M232" s="28">
        <v>500</v>
      </c>
      <c r="N232" s="162">
        <v>1999500</v>
      </c>
      <c r="O232" s="28" t="s">
        <v>20</v>
      </c>
      <c r="P232" s="28" t="s">
        <v>20</v>
      </c>
      <c r="Q232" s="28" t="s">
        <v>20</v>
      </c>
      <c r="R232" s="28" t="s">
        <v>20</v>
      </c>
      <c r="S232" s="28" t="s">
        <v>20</v>
      </c>
      <c r="T232" s="148" t="s">
        <v>20</v>
      </c>
    </row>
    <row r="233" spans="2:20" ht="78" x14ac:dyDescent="0.25">
      <c r="B233" s="146">
        <v>2218</v>
      </c>
      <c r="C233" s="146">
        <v>241</v>
      </c>
      <c r="D233" s="28" t="s">
        <v>5357</v>
      </c>
      <c r="E233" s="28" t="s">
        <v>5475</v>
      </c>
      <c r="F233" s="108">
        <v>45455</v>
      </c>
      <c r="G233" s="109">
        <v>0.63194444444444442</v>
      </c>
      <c r="H233" s="124" t="s">
        <v>5408</v>
      </c>
      <c r="I233" s="124"/>
      <c r="J233" s="124"/>
      <c r="K233" s="28"/>
      <c r="L233" s="28"/>
      <c r="M233" s="28" t="s">
        <v>20</v>
      </c>
      <c r="N233" s="28" t="s">
        <v>20</v>
      </c>
      <c r="O233" s="28" t="s">
        <v>20</v>
      </c>
      <c r="P233" s="28" t="s">
        <v>20</v>
      </c>
      <c r="Q233" s="28" t="s">
        <v>20</v>
      </c>
      <c r="R233" s="28" t="s">
        <v>20</v>
      </c>
      <c r="S233" s="28" t="s">
        <v>20</v>
      </c>
      <c r="T233" s="148" t="s">
        <v>20</v>
      </c>
    </row>
    <row r="234" spans="2:20" ht="78" x14ac:dyDescent="0.25">
      <c r="B234" s="146">
        <v>2219</v>
      </c>
      <c r="C234" s="146">
        <v>242</v>
      </c>
      <c r="D234" s="28" t="s">
        <v>5357</v>
      </c>
      <c r="E234" s="28" t="s">
        <v>5475</v>
      </c>
      <c r="F234" s="108">
        <v>45455</v>
      </c>
      <c r="G234" s="109">
        <v>0.82499999999999996</v>
      </c>
      <c r="H234" s="124" t="s">
        <v>5409</v>
      </c>
      <c r="I234" s="124"/>
      <c r="J234" s="124"/>
      <c r="K234" s="28"/>
      <c r="L234" s="28"/>
      <c r="M234" s="28">
        <v>500</v>
      </c>
      <c r="N234" s="162">
        <v>249500</v>
      </c>
      <c r="O234" s="28" t="s">
        <v>20</v>
      </c>
      <c r="P234" s="28" t="s">
        <v>20</v>
      </c>
      <c r="Q234" s="28" t="s">
        <v>20</v>
      </c>
      <c r="R234" s="28" t="s">
        <v>20</v>
      </c>
      <c r="S234" s="28" t="s">
        <v>20</v>
      </c>
      <c r="T234" s="148" t="s">
        <v>20</v>
      </c>
    </row>
    <row r="235" spans="2:20" ht="97.5" x14ac:dyDescent="0.25">
      <c r="B235" s="146">
        <v>2220</v>
      </c>
      <c r="C235" s="146">
        <v>243</v>
      </c>
      <c r="D235" s="28" t="s">
        <v>5357</v>
      </c>
      <c r="E235" s="28" t="s">
        <v>5475</v>
      </c>
      <c r="F235" s="108">
        <v>45455</v>
      </c>
      <c r="G235" s="109">
        <v>0.83819444444444446</v>
      </c>
      <c r="H235" s="124" t="s">
        <v>5410</v>
      </c>
      <c r="I235" s="124"/>
      <c r="J235" s="124"/>
      <c r="K235" s="28"/>
      <c r="L235" s="28"/>
      <c r="M235" s="28">
        <v>500</v>
      </c>
      <c r="N235" s="162">
        <v>999500</v>
      </c>
      <c r="O235" s="28" t="s">
        <v>20</v>
      </c>
      <c r="P235" s="28" t="s">
        <v>20</v>
      </c>
      <c r="Q235" s="28" t="s">
        <v>20</v>
      </c>
      <c r="R235" s="28" t="s">
        <v>20</v>
      </c>
      <c r="S235" s="28" t="s">
        <v>20</v>
      </c>
      <c r="T235" s="148" t="s">
        <v>20</v>
      </c>
    </row>
    <row r="236" spans="2:20" ht="78" x14ac:dyDescent="0.25">
      <c r="B236" s="146">
        <v>2259</v>
      </c>
      <c r="C236" s="146">
        <v>282</v>
      </c>
      <c r="D236" s="28" t="s">
        <v>5357</v>
      </c>
      <c r="E236" s="28" t="s">
        <v>5469</v>
      </c>
      <c r="F236" s="108">
        <v>45455</v>
      </c>
      <c r="G236" s="109">
        <v>0.53472222222222221</v>
      </c>
      <c r="H236" s="124" t="s">
        <v>5447</v>
      </c>
      <c r="I236" s="124"/>
      <c r="J236" s="124"/>
      <c r="K236" s="28"/>
      <c r="L236" s="28"/>
      <c r="M236" s="28" t="s">
        <v>20</v>
      </c>
      <c r="N236" s="162">
        <v>1000000</v>
      </c>
      <c r="O236" s="28" t="s">
        <v>20</v>
      </c>
      <c r="P236" s="28" t="s">
        <v>20</v>
      </c>
      <c r="Q236" s="28" t="s">
        <v>20</v>
      </c>
      <c r="R236" s="28" t="s">
        <v>20</v>
      </c>
      <c r="S236" s="28" t="s">
        <v>20</v>
      </c>
      <c r="T236" s="148" t="s">
        <v>20</v>
      </c>
    </row>
    <row r="237" spans="2:20" ht="19.5" x14ac:dyDescent="0.25">
      <c r="B237" s="146">
        <v>3625</v>
      </c>
      <c r="C237" s="146" t="s">
        <v>5771</v>
      </c>
      <c r="D237" s="28" t="s">
        <v>4825</v>
      </c>
      <c r="E237" s="26" t="s">
        <v>5794</v>
      </c>
      <c r="F237" s="108">
        <v>45455</v>
      </c>
      <c r="G237" s="109">
        <v>0.78125</v>
      </c>
      <c r="H237" s="28" t="s">
        <v>5796</v>
      </c>
      <c r="I237" s="26" t="s">
        <v>406</v>
      </c>
      <c r="J237" s="26"/>
      <c r="K237" s="26" t="s">
        <v>5623</v>
      </c>
      <c r="L237" s="28"/>
      <c r="M237" s="26" t="s">
        <v>20</v>
      </c>
      <c r="N237" s="26" t="s">
        <v>20</v>
      </c>
      <c r="O237" s="26" t="s">
        <v>20</v>
      </c>
      <c r="P237" s="26" t="s">
        <v>20</v>
      </c>
      <c r="Q237" s="26" t="s">
        <v>20</v>
      </c>
      <c r="R237" s="26" t="s">
        <v>20</v>
      </c>
      <c r="S237" s="26" t="s">
        <v>20</v>
      </c>
      <c r="T237" s="242" t="s">
        <v>20</v>
      </c>
    </row>
    <row r="238" spans="2:20" ht="58.5" x14ac:dyDescent="0.25">
      <c r="B238" s="146">
        <v>3622</v>
      </c>
      <c r="C238" s="146" t="s">
        <v>5768</v>
      </c>
      <c r="D238" s="28" t="s">
        <v>4825</v>
      </c>
      <c r="E238" s="28" t="s">
        <v>4825</v>
      </c>
      <c r="F238" s="108">
        <v>45455</v>
      </c>
      <c r="G238" s="109">
        <v>0.65625</v>
      </c>
      <c r="H238" s="28" t="s">
        <v>5615</v>
      </c>
      <c r="I238" s="28" t="s">
        <v>5616</v>
      </c>
      <c r="J238" s="28"/>
      <c r="K238" s="28" t="s">
        <v>5617</v>
      </c>
      <c r="L238" s="28"/>
      <c r="M238" s="27" t="s">
        <v>20</v>
      </c>
      <c r="N238" s="27" t="s">
        <v>20</v>
      </c>
      <c r="O238" s="27" t="s">
        <v>20</v>
      </c>
      <c r="P238" s="27" t="s">
        <v>20</v>
      </c>
      <c r="Q238" s="27" t="s">
        <v>20</v>
      </c>
      <c r="R238" s="27" t="s">
        <v>20</v>
      </c>
      <c r="S238" s="27" t="s">
        <v>20</v>
      </c>
      <c r="T238" s="241" t="s">
        <v>20</v>
      </c>
    </row>
    <row r="239" spans="2:20" ht="54" x14ac:dyDescent="0.25">
      <c r="B239" s="146">
        <v>2826</v>
      </c>
      <c r="C239" s="146" t="s">
        <v>5884</v>
      </c>
      <c r="D239" s="222" t="s">
        <v>5725</v>
      </c>
      <c r="E239" s="222" t="s">
        <v>5725</v>
      </c>
      <c r="F239" s="223">
        <v>45455</v>
      </c>
      <c r="G239" s="225" t="s">
        <v>5844</v>
      </c>
      <c r="H239" s="225" t="s">
        <v>5845</v>
      </c>
      <c r="I239" s="225" t="s">
        <v>406</v>
      </c>
      <c r="J239" s="225"/>
      <c r="K239" s="225" t="s">
        <v>5846</v>
      </c>
      <c r="L239" s="225"/>
      <c r="M239" s="225" t="s">
        <v>20</v>
      </c>
      <c r="N239" s="225" t="s">
        <v>20</v>
      </c>
      <c r="O239" s="225" t="s">
        <v>20</v>
      </c>
      <c r="P239" s="225" t="s">
        <v>20</v>
      </c>
      <c r="Q239" s="225" t="s">
        <v>20</v>
      </c>
      <c r="R239" s="225" t="s">
        <v>20</v>
      </c>
      <c r="S239" s="225" t="s">
        <v>20</v>
      </c>
      <c r="T239" s="227" t="s">
        <v>20</v>
      </c>
    </row>
    <row r="240" spans="2:20" ht="90" x14ac:dyDescent="0.25">
      <c r="B240" s="146">
        <v>2827</v>
      </c>
      <c r="C240" s="146" t="s">
        <v>5885</v>
      </c>
      <c r="D240" s="222" t="s">
        <v>5725</v>
      </c>
      <c r="E240" s="222" t="s">
        <v>5725</v>
      </c>
      <c r="F240" s="223">
        <v>45455</v>
      </c>
      <c r="G240" s="225" t="s">
        <v>5838</v>
      </c>
      <c r="H240" s="225" t="s">
        <v>5839</v>
      </c>
      <c r="I240" s="225" t="s">
        <v>5840</v>
      </c>
      <c r="J240" s="225"/>
      <c r="K240" s="225" t="s">
        <v>5841</v>
      </c>
      <c r="L240" s="225"/>
      <c r="M240" s="225" t="s">
        <v>5842</v>
      </c>
      <c r="N240" s="225" t="s">
        <v>5843</v>
      </c>
      <c r="O240" s="225" t="s">
        <v>341</v>
      </c>
      <c r="P240" s="225" t="s">
        <v>341</v>
      </c>
      <c r="Q240" s="225" t="s">
        <v>341</v>
      </c>
      <c r="R240" s="225" t="s">
        <v>341</v>
      </c>
      <c r="S240" s="225" t="s">
        <v>341</v>
      </c>
      <c r="T240" s="227" t="s">
        <v>341</v>
      </c>
    </row>
    <row r="241" spans="2:20" ht="58.5" x14ac:dyDescent="0.25">
      <c r="B241" s="146">
        <v>1457</v>
      </c>
      <c r="C241" s="146">
        <v>23</v>
      </c>
      <c r="D241" s="28" t="s">
        <v>93</v>
      </c>
      <c r="E241" s="28" t="s">
        <v>94</v>
      </c>
      <c r="F241" s="108">
        <v>45455</v>
      </c>
      <c r="G241" s="109">
        <v>0.33263888888888887</v>
      </c>
      <c r="H241" s="124" t="s">
        <v>2713</v>
      </c>
      <c r="I241" s="124" t="s">
        <v>2717</v>
      </c>
      <c r="J241" s="124"/>
      <c r="K241" s="28" t="s">
        <v>2718</v>
      </c>
      <c r="L241" s="28"/>
      <c r="M241" s="28" t="s">
        <v>20</v>
      </c>
      <c r="N241" s="28" t="s">
        <v>20</v>
      </c>
      <c r="O241" s="28" t="s">
        <v>20</v>
      </c>
      <c r="P241" s="28" t="s">
        <v>20</v>
      </c>
      <c r="Q241" s="28" t="s">
        <v>20</v>
      </c>
      <c r="R241" s="28" t="s">
        <v>20</v>
      </c>
      <c r="S241" s="28" t="s">
        <v>20</v>
      </c>
      <c r="T241" s="148" t="s">
        <v>20</v>
      </c>
    </row>
    <row r="242" spans="2:20" ht="58.5" x14ac:dyDescent="0.25">
      <c r="B242" s="146">
        <v>1458</v>
      </c>
      <c r="C242" s="146">
        <v>24</v>
      </c>
      <c r="D242" s="28" t="s">
        <v>93</v>
      </c>
      <c r="E242" s="28" t="s">
        <v>94</v>
      </c>
      <c r="F242" s="108">
        <v>45455</v>
      </c>
      <c r="G242" s="109">
        <v>0.47916666666666669</v>
      </c>
      <c r="H242" s="124" t="s">
        <v>2719</v>
      </c>
      <c r="I242" s="124" t="s">
        <v>2720</v>
      </c>
      <c r="J242" s="124" t="s">
        <v>4168</v>
      </c>
      <c r="K242" s="28" t="s">
        <v>2721</v>
      </c>
      <c r="L242" s="28"/>
      <c r="M242" s="28">
        <v>50000</v>
      </c>
      <c r="N242" s="28">
        <v>50000</v>
      </c>
      <c r="O242" s="28" t="s">
        <v>20</v>
      </c>
      <c r="P242" s="28" t="s">
        <v>20</v>
      </c>
      <c r="Q242" s="28" t="s">
        <v>20</v>
      </c>
      <c r="R242" s="28" t="s">
        <v>20</v>
      </c>
      <c r="S242" s="28" t="s">
        <v>20</v>
      </c>
      <c r="T242" s="148" t="s">
        <v>20</v>
      </c>
    </row>
    <row r="243" spans="2:20" ht="58.5" x14ac:dyDescent="0.25">
      <c r="B243" s="146">
        <v>1459</v>
      </c>
      <c r="C243" s="146">
        <v>25</v>
      </c>
      <c r="D243" s="28" t="s">
        <v>93</v>
      </c>
      <c r="E243" s="28" t="s">
        <v>94</v>
      </c>
      <c r="F243" s="108">
        <v>45455</v>
      </c>
      <c r="G243" s="109">
        <v>0.58402777777777781</v>
      </c>
      <c r="H243" s="124" t="s">
        <v>2722</v>
      </c>
      <c r="I243" s="124" t="s">
        <v>2723</v>
      </c>
      <c r="J243" s="124" t="s">
        <v>4168</v>
      </c>
      <c r="K243" s="28" t="s">
        <v>2710</v>
      </c>
      <c r="L243" s="28"/>
      <c r="M243" s="28">
        <v>10000</v>
      </c>
      <c r="N243" s="28">
        <v>40000</v>
      </c>
      <c r="O243" s="28" t="s">
        <v>20</v>
      </c>
      <c r="P243" s="28" t="s">
        <v>20</v>
      </c>
      <c r="Q243" s="28" t="s">
        <v>20</v>
      </c>
      <c r="R243" s="28" t="s">
        <v>20</v>
      </c>
      <c r="S243" s="28" t="s">
        <v>20</v>
      </c>
      <c r="T243" s="148" t="s">
        <v>20</v>
      </c>
    </row>
    <row r="244" spans="2:20" ht="39" x14ac:dyDescent="0.25">
      <c r="B244" s="146">
        <v>1480</v>
      </c>
      <c r="C244" s="146">
        <v>46</v>
      </c>
      <c r="D244" s="28" t="s">
        <v>93</v>
      </c>
      <c r="E244" s="28" t="s">
        <v>584</v>
      </c>
      <c r="F244" s="108">
        <v>45455</v>
      </c>
      <c r="G244" s="109">
        <v>0.74652777777777779</v>
      </c>
      <c r="H244" s="124" t="s">
        <v>2764</v>
      </c>
      <c r="I244" s="124" t="s">
        <v>2559</v>
      </c>
      <c r="J244" s="124" t="s">
        <v>4168</v>
      </c>
      <c r="K244" s="28" t="s">
        <v>2765</v>
      </c>
      <c r="L244" s="28"/>
      <c r="M244" s="28">
        <v>1000</v>
      </c>
      <c r="N244" s="28">
        <v>499000</v>
      </c>
      <c r="O244" s="28" t="s">
        <v>75</v>
      </c>
      <c r="P244" s="28" t="s">
        <v>75</v>
      </c>
      <c r="Q244" s="28" t="s">
        <v>75</v>
      </c>
      <c r="R244" s="28" t="s">
        <v>75</v>
      </c>
      <c r="S244" s="28" t="s">
        <v>75</v>
      </c>
      <c r="T244" s="148" t="s">
        <v>75</v>
      </c>
    </row>
    <row r="245" spans="2:20" ht="39" x14ac:dyDescent="0.25">
      <c r="B245" s="146">
        <v>1500</v>
      </c>
      <c r="C245" s="146">
        <v>66</v>
      </c>
      <c r="D245" s="28" t="s">
        <v>93</v>
      </c>
      <c r="E245" s="28" t="s">
        <v>1792</v>
      </c>
      <c r="F245" s="108">
        <v>45455</v>
      </c>
      <c r="G245" s="109">
        <v>0.72499999999999998</v>
      </c>
      <c r="H245" s="124" t="s">
        <v>2801</v>
      </c>
      <c r="I245" s="124" t="s">
        <v>2578</v>
      </c>
      <c r="J245" s="124" t="s">
        <v>4168</v>
      </c>
      <c r="K245" s="28" t="s">
        <v>2802</v>
      </c>
      <c r="L245" s="28"/>
      <c r="M245" s="28" t="s">
        <v>1794</v>
      </c>
      <c r="N245" s="28" t="s">
        <v>1831</v>
      </c>
      <c r="O245" s="28" t="s">
        <v>23</v>
      </c>
      <c r="P245" s="28" t="s">
        <v>23</v>
      </c>
      <c r="Q245" s="28" t="s">
        <v>23</v>
      </c>
      <c r="R245" s="28" t="s">
        <v>23</v>
      </c>
      <c r="S245" s="28" t="s">
        <v>23</v>
      </c>
      <c r="T245" s="148" t="s">
        <v>23</v>
      </c>
    </row>
    <row r="246" spans="2:20" ht="214.5" x14ac:dyDescent="0.25">
      <c r="B246" s="146">
        <v>2298</v>
      </c>
      <c r="C246" s="146">
        <v>21</v>
      </c>
      <c r="D246" s="28" t="s">
        <v>4832</v>
      </c>
      <c r="E246" s="28" t="s">
        <v>4832</v>
      </c>
      <c r="F246" s="108">
        <v>45456</v>
      </c>
      <c r="G246" s="109">
        <v>14.16</v>
      </c>
      <c r="H246" s="124" t="s">
        <v>5546</v>
      </c>
      <c r="I246" s="124" t="s">
        <v>1904</v>
      </c>
      <c r="J246" s="124"/>
      <c r="K246" s="28" t="s">
        <v>5547</v>
      </c>
      <c r="L246" s="28"/>
      <c r="M246" s="162">
        <v>50000</v>
      </c>
      <c r="N246" s="162">
        <v>3450000</v>
      </c>
      <c r="O246" s="28" t="s">
        <v>20</v>
      </c>
      <c r="P246" s="28" t="s">
        <v>20</v>
      </c>
      <c r="Q246" s="28" t="s">
        <v>20</v>
      </c>
      <c r="R246" s="28" t="s">
        <v>20</v>
      </c>
      <c r="S246" s="28" t="s">
        <v>20</v>
      </c>
      <c r="T246" s="148">
        <v>1</v>
      </c>
    </row>
    <row r="247" spans="2:20" ht="195" x14ac:dyDescent="0.25">
      <c r="B247" s="146">
        <v>2306</v>
      </c>
      <c r="C247" s="146">
        <v>29</v>
      </c>
      <c r="D247" s="28" t="s">
        <v>4832</v>
      </c>
      <c r="E247" s="28" t="s">
        <v>4832</v>
      </c>
      <c r="F247" s="108">
        <v>45456</v>
      </c>
      <c r="G247" s="109">
        <v>0.47638888888888886</v>
      </c>
      <c r="H247" s="124" t="s">
        <v>5559</v>
      </c>
      <c r="I247" s="124"/>
      <c r="J247" s="124"/>
      <c r="K247" s="28"/>
      <c r="L247" s="28"/>
      <c r="M247" s="162">
        <v>20000</v>
      </c>
      <c r="N247" s="162">
        <v>4980000</v>
      </c>
      <c r="O247" s="28" t="s">
        <v>20</v>
      </c>
      <c r="P247" s="28" t="s">
        <v>20</v>
      </c>
      <c r="Q247" s="28" t="s">
        <v>20</v>
      </c>
      <c r="R247" s="28" t="s">
        <v>20</v>
      </c>
      <c r="S247" s="28" t="s">
        <v>20</v>
      </c>
      <c r="T247" s="148" t="s">
        <v>20</v>
      </c>
    </row>
    <row r="248" spans="2:20" ht="253.5" x14ac:dyDescent="0.25">
      <c r="B248" s="146">
        <v>2325</v>
      </c>
      <c r="C248" s="146">
        <v>48</v>
      </c>
      <c r="D248" s="28" t="s">
        <v>4832</v>
      </c>
      <c r="E248" s="28" t="s">
        <v>5610</v>
      </c>
      <c r="F248" s="108">
        <v>45456</v>
      </c>
      <c r="G248" s="109">
        <v>0.46111111111111114</v>
      </c>
      <c r="H248" s="124" t="s">
        <v>5585</v>
      </c>
      <c r="I248" s="124"/>
      <c r="J248" s="124"/>
      <c r="K248" s="28"/>
      <c r="L248" s="28"/>
      <c r="M248" s="28" t="s">
        <v>171</v>
      </c>
      <c r="N248" s="28" t="s">
        <v>172</v>
      </c>
      <c r="O248" s="28" t="s">
        <v>20</v>
      </c>
      <c r="P248" s="28" t="s">
        <v>20</v>
      </c>
      <c r="Q248" s="28" t="s">
        <v>20</v>
      </c>
      <c r="R248" s="28" t="s">
        <v>20</v>
      </c>
      <c r="S248" s="28" t="s">
        <v>20</v>
      </c>
      <c r="T248" s="148" t="s">
        <v>20</v>
      </c>
    </row>
    <row r="249" spans="2:20" ht="39" x14ac:dyDescent="0.25">
      <c r="B249" s="146">
        <v>1002</v>
      </c>
      <c r="C249" s="146">
        <v>490</v>
      </c>
      <c r="D249" s="28" t="s">
        <v>321</v>
      </c>
      <c r="E249" s="28" t="s">
        <v>3776</v>
      </c>
      <c r="F249" s="108">
        <v>45456</v>
      </c>
      <c r="G249" s="109">
        <v>1.4583333333333334E-2</v>
      </c>
      <c r="H249" s="124" t="s">
        <v>4376</v>
      </c>
      <c r="I249" s="124" t="s">
        <v>3876</v>
      </c>
      <c r="J249" s="124" t="s">
        <v>385</v>
      </c>
      <c r="K249" s="28" t="s">
        <v>4377</v>
      </c>
      <c r="L249" s="28"/>
      <c r="M249" s="28">
        <v>2000</v>
      </c>
      <c r="N249" s="28">
        <v>98000</v>
      </c>
      <c r="O249" s="28" t="s">
        <v>20</v>
      </c>
      <c r="P249" s="28" t="s">
        <v>20</v>
      </c>
      <c r="Q249" s="28" t="s">
        <v>20</v>
      </c>
      <c r="R249" s="28" t="s">
        <v>20</v>
      </c>
      <c r="S249" s="28" t="s">
        <v>20</v>
      </c>
      <c r="T249" s="148" t="s">
        <v>20</v>
      </c>
    </row>
    <row r="250" spans="2:20" ht="39" x14ac:dyDescent="0.25">
      <c r="B250" s="146">
        <v>1012</v>
      </c>
      <c r="C250" s="146">
        <v>511</v>
      </c>
      <c r="D250" s="28" t="s">
        <v>321</v>
      </c>
      <c r="E250" s="28" t="s">
        <v>580</v>
      </c>
      <c r="F250" s="108">
        <v>45456</v>
      </c>
      <c r="G250" s="109">
        <v>0.57499999999999996</v>
      </c>
      <c r="H250" s="124" t="s">
        <v>4407</v>
      </c>
      <c r="I250" s="124" t="s">
        <v>3795</v>
      </c>
      <c r="J250" s="124" t="s">
        <v>406</v>
      </c>
      <c r="K250" s="28" t="s">
        <v>3796</v>
      </c>
      <c r="L250" s="28"/>
      <c r="M250" s="28"/>
      <c r="N250" s="28"/>
      <c r="O250" s="28" t="s">
        <v>20</v>
      </c>
      <c r="P250" s="28" t="s">
        <v>20</v>
      </c>
      <c r="Q250" s="28" t="s">
        <v>20</v>
      </c>
      <c r="R250" s="28" t="s">
        <v>20</v>
      </c>
      <c r="S250" s="28" t="s">
        <v>20</v>
      </c>
      <c r="T250" s="148" t="s">
        <v>20</v>
      </c>
    </row>
    <row r="251" spans="2:20" ht="97.5" x14ac:dyDescent="0.25">
      <c r="B251" s="146">
        <v>1781</v>
      </c>
      <c r="C251" s="146">
        <v>16</v>
      </c>
      <c r="D251" s="28" t="s">
        <v>4777</v>
      </c>
      <c r="E251" s="28" t="s">
        <v>4778</v>
      </c>
      <c r="F251" s="108">
        <v>45456</v>
      </c>
      <c r="G251" s="109">
        <v>0.47916666666666669</v>
      </c>
      <c r="H251" s="124" t="s">
        <v>4807</v>
      </c>
      <c r="I251" s="124"/>
      <c r="J251" s="124"/>
      <c r="K251" s="28"/>
      <c r="L251" s="28"/>
      <c r="M251" s="28">
        <v>20000</v>
      </c>
      <c r="N251" s="28">
        <v>1980000</v>
      </c>
      <c r="O251" s="28" t="s">
        <v>20</v>
      </c>
      <c r="P251" s="28" t="s">
        <v>20</v>
      </c>
      <c r="Q251" s="28" t="s">
        <v>20</v>
      </c>
      <c r="R251" s="28" t="s">
        <v>20</v>
      </c>
      <c r="S251" s="28" t="s">
        <v>20</v>
      </c>
      <c r="T251" s="148" t="s">
        <v>20</v>
      </c>
    </row>
    <row r="252" spans="2:20" ht="58.5" x14ac:dyDescent="0.25">
      <c r="B252" s="146">
        <v>1787</v>
      </c>
      <c r="C252" s="146">
        <v>16</v>
      </c>
      <c r="D252" s="28" t="s">
        <v>4777</v>
      </c>
      <c r="E252" s="28" t="s">
        <v>4780</v>
      </c>
      <c r="F252" s="108">
        <v>45456</v>
      </c>
      <c r="G252" s="109">
        <v>3.6111111111111108E-2</v>
      </c>
      <c r="H252" s="124" t="s">
        <v>4815</v>
      </c>
      <c r="I252" s="124"/>
      <c r="J252" s="124"/>
      <c r="K252" s="28"/>
      <c r="L252" s="28"/>
      <c r="M252" s="28">
        <v>50000</v>
      </c>
      <c r="N252" s="28">
        <v>5000000</v>
      </c>
      <c r="O252" s="28" t="s">
        <v>20</v>
      </c>
      <c r="P252" s="28" t="s">
        <v>20</v>
      </c>
      <c r="Q252" s="28" t="s">
        <v>20</v>
      </c>
      <c r="R252" s="28" t="s">
        <v>20</v>
      </c>
      <c r="S252" s="28" t="s">
        <v>20</v>
      </c>
      <c r="T252" s="148" t="s">
        <v>20</v>
      </c>
    </row>
    <row r="253" spans="2:20" ht="78" x14ac:dyDescent="0.25">
      <c r="B253" s="146">
        <v>1788</v>
      </c>
      <c r="C253" s="146">
        <v>15</v>
      </c>
      <c r="D253" s="28" t="s">
        <v>4777</v>
      </c>
      <c r="E253" s="28" t="s">
        <v>4780</v>
      </c>
      <c r="F253" s="108">
        <v>45456</v>
      </c>
      <c r="G253" s="109">
        <v>0.67986111111111114</v>
      </c>
      <c r="H253" s="124" t="s">
        <v>4816</v>
      </c>
      <c r="I253" s="124"/>
      <c r="J253" s="124"/>
      <c r="K253" s="28"/>
      <c r="L253" s="28"/>
      <c r="M253" s="28">
        <v>40000</v>
      </c>
      <c r="N253" s="28">
        <v>4000000</v>
      </c>
      <c r="O253" s="28" t="s">
        <v>20</v>
      </c>
      <c r="P253" s="28" t="s">
        <v>20</v>
      </c>
      <c r="Q253" s="28" t="s">
        <v>20</v>
      </c>
      <c r="R253" s="28" t="s">
        <v>20</v>
      </c>
      <c r="S253" s="28" t="s">
        <v>20</v>
      </c>
      <c r="T253" s="148" t="s">
        <v>20</v>
      </c>
    </row>
    <row r="254" spans="2:20" ht="78" x14ac:dyDescent="0.25">
      <c r="B254" s="146">
        <v>2345</v>
      </c>
      <c r="C254" s="146" t="s">
        <v>5737</v>
      </c>
      <c r="D254" s="28" t="s">
        <v>1789</v>
      </c>
      <c r="E254" s="124" t="s">
        <v>4908</v>
      </c>
      <c r="F254" s="108">
        <v>45456</v>
      </c>
      <c r="G254" s="109"/>
      <c r="H254" s="124"/>
      <c r="I254" s="124" t="s">
        <v>5810</v>
      </c>
      <c r="J254" s="124" t="s">
        <v>4168</v>
      </c>
      <c r="K254" s="28"/>
      <c r="L254" s="28"/>
      <c r="M254" s="28"/>
      <c r="N254" s="28"/>
      <c r="O254" s="28"/>
      <c r="P254" s="28"/>
      <c r="Q254" s="28"/>
      <c r="R254" s="28"/>
      <c r="S254" s="28"/>
      <c r="T254" s="148"/>
    </row>
    <row r="255" spans="2:20" ht="19.5" x14ac:dyDescent="0.25">
      <c r="B255" s="146">
        <v>375</v>
      </c>
      <c r="C255" s="146">
        <v>39</v>
      </c>
      <c r="D255" s="28" t="s">
        <v>1789</v>
      </c>
      <c r="E255" s="28" t="s">
        <v>1789</v>
      </c>
      <c r="F255" s="108">
        <v>45456</v>
      </c>
      <c r="G255" s="109">
        <v>0.61250000000000004</v>
      </c>
      <c r="H255" s="124" t="s">
        <v>2359</v>
      </c>
      <c r="I255" s="124" t="s">
        <v>2338</v>
      </c>
      <c r="J255" s="124" t="s">
        <v>385</v>
      </c>
      <c r="K255" s="28" t="s">
        <v>2360</v>
      </c>
      <c r="L255" s="28"/>
      <c r="M255" s="28">
        <v>10000</v>
      </c>
      <c r="N255" s="28">
        <v>490000</v>
      </c>
      <c r="O255" s="28" t="s">
        <v>20</v>
      </c>
      <c r="P255" s="28" t="s">
        <v>20</v>
      </c>
      <c r="Q255" s="28" t="s">
        <v>20</v>
      </c>
      <c r="R255" s="28" t="s">
        <v>20</v>
      </c>
      <c r="S255" s="28" t="s">
        <v>20</v>
      </c>
      <c r="T255" s="148" t="s">
        <v>20</v>
      </c>
    </row>
    <row r="256" spans="2:20" ht="19.5" x14ac:dyDescent="0.25">
      <c r="B256" s="146">
        <v>446</v>
      </c>
      <c r="C256" s="146">
        <v>22</v>
      </c>
      <c r="D256" s="28" t="s">
        <v>1789</v>
      </c>
      <c r="E256" s="28" t="s">
        <v>1789</v>
      </c>
      <c r="F256" s="108">
        <v>45456</v>
      </c>
      <c r="G256" s="109">
        <v>0.57430555555555551</v>
      </c>
      <c r="H256" s="124" t="s">
        <v>2441</v>
      </c>
      <c r="I256" s="124" t="s">
        <v>1904</v>
      </c>
      <c r="J256" s="124" t="s">
        <v>1904</v>
      </c>
      <c r="K256" s="28" t="s">
        <v>2442</v>
      </c>
      <c r="L256" s="28"/>
      <c r="M256" s="28">
        <v>0</v>
      </c>
      <c r="N256" s="28">
        <v>0</v>
      </c>
      <c r="O256" s="28" t="s">
        <v>20</v>
      </c>
      <c r="P256" s="28" t="s">
        <v>20</v>
      </c>
      <c r="Q256" s="28" t="s">
        <v>20</v>
      </c>
      <c r="R256" s="28" t="s">
        <v>20</v>
      </c>
      <c r="S256" s="28" t="s">
        <v>20</v>
      </c>
      <c r="T256" s="148" t="s">
        <v>20</v>
      </c>
    </row>
    <row r="257" spans="2:20" ht="214.5" x14ac:dyDescent="0.35">
      <c r="B257" s="146">
        <v>1956</v>
      </c>
      <c r="C257" s="147">
        <v>8</v>
      </c>
      <c r="D257" s="26" t="s">
        <v>1789</v>
      </c>
      <c r="E257" s="26" t="s">
        <v>5072</v>
      </c>
      <c r="F257" s="108">
        <v>45456</v>
      </c>
      <c r="G257" s="28" t="s">
        <v>5272</v>
      </c>
      <c r="H257" s="179"/>
      <c r="I257" s="179"/>
      <c r="J257" s="179"/>
      <c r="K257" s="122" t="s">
        <v>5273</v>
      </c>
      <c r="L257" s="28"/>
      <c r="M257" s="28" t="s">
        <v>20</v>
      </c>
      <c r="N257" s="28" t="s">
        <v>5244</v>
      </c>
      <c r="O257" s="26" t="s">
        <v>5071</v>
      </c>
      <c r="P257" s="26" t="s">
        <v>5071</v>
      </c>
      <c r="Q257" s="26" t="s">
        <v>5071</v>
      </c>
      <c r="R257" s="26" t="s">
        <v>5071</v>
      </c>
      <c r="S257" s="26" t="s">
        <v>5071</v>
      </c>
      <c r="T257" s="242" t="s">
        <v>5071</v>
      </c>
    </row>
    <row r="258" spans="2:20" ht="156" x14ac:dyDescent="0.25">
      <c r="B258" s="146">
        <v>2249</v>
      </c>
      <c r="C258" s="146">
        <v>272</v>
      </c>
      <c r="D258" s="28" t="s">
        <v>5357</v>
      </c>
      <c r="E258" s="28" t="s">
        <v>5474</v>
      </c>
      <c r="F258" s="108">
        <v>45456</v>
      </c>
      <c r="G258" s="109" t="s">
        <v>5463</v>
      </c>
      <c r="H258" s="124" t="s">
        <v>5437</v>
      </c>
      <c r="I258" s="124"/>
      <c r="J258" s="124"/>
      <c r="K258" s="28"/>
      <c r="L258" s="28"/>
      <c r="M258" s="28">
        <v>1000</v>
      </c>
      <c r="N258" s="28">
        <v>99000</v>
      </c>
      <c r="O258" s="28" t="s">
        <v>20</v>
      </c>
      <c r="P258" s="28" t="s">
        <v>20</v>
      </c>
      <c r="Q258" s="28" t="s">
        <v>20</v>
      </c>
      <c r="R258" s="28" t="s">
        <v>20</v>
      </c>
      <c r="S258" s="28" t="s">
        <v>20</v>
      </c>
      <c r="T258" s="148" t="s">
        <v>20</v>
      </c>
    </row>
    <row r="259" spans="2:20" ht="117" x14ac:dyDescent="0.25">
      <c r="B259" s="146">
        <v>2250</v>
      </c>
      <c r="C259" s="146">
        <v>273</v>
      </c>
      <c r="D259" s="28" t="s">
        <v>5357</v>
      </c>
      <c r="E259" s="28" t="s">
        <v>5474</v>
      </c>
      <c r="F259" s="108">
        <v>45456</v>
      </c>
      <c r="G259" s="109" t="s">
        <v>5464</v>
      </c>
      <c r="H259" s="124" t="s">
        <v>5438</v>
      </c>
      <c r="I259" s="124"/>
      <c r="J259" s="124"/>
      <c r="K259" s="28"/>
      <c r="L259" s="28"/>
      <c r="M259" s="28">
        <v>1000</v>
      </c>
      <c r="N259" s="162">
        <v>9000</v>
      </c>
      <c r="O259" s="28" t="s">
        <v>20</v>
      </c>
      <c r="P259" s="28" t="s">
        <v>20</v>
      </c>
      <c r="Q259" s="28" t="s">
        <v>20</v>
      </c>
      <c r="R259" s="28" t="s">
        <v>20</v>
      </c>
      <c r="S259" s="28" t="s">
        <v>20</v>
      </c>
      <c r="T259" s="148" t="s">
        <v>20</v>
      </c>
    </row>
    <row r="260" spans="2:20" ht="97.5" x14ac:dyDescent="0.25">
      <c r="B260" s="146">
        <v>2221</v>
      </c>
      <c r="C260" s="146">
        <v>244</v>
      </c>
      <c r="D260" s="28" t="s">
        <v>5357</v>
      </c>
      <c r="E260" s="28" t="s">
        <v>5475</v>
      </c>
      <c r="F260" s="108">
        <v>45456</v>
      </c>
      <c r="G260" s="109">
        <v>0.60347222222222219</v>
      </c>
      <c r="H260" s="124" t="s">
        <v>5358</v>
      </c>
      <c r="I260" s="124"/>
      <c r="J260" s="124"/>
      <c r="K260" s="28"/>
      <c r="L260" s="28"/>
      <c r="M260" s="28" t="s">
        <v>2663</v>
      </c>
      <c r="N260" s="28" t="s">
        <v>20</v>
      </c>
      <c r="O260" s="28" t="s">
        <v>20</v>
      </c>
      <c r="P260" s="28" t="s">
        <v>20</v>
      </c>
      <c r="Q260" s="28" t="s">
        <v>20</v>
      </c>
      <c r="R260" s="28" t="s">
        <v>20</v>
      </c>
      <c r="S260" s="28" t="s">
        <v>20</v>
      </c>
      <c r="T260" s="148" t="s">
        <v>20</v>
      </c>
    </row>
    <row r="261" spans="2:20" ht="78" x14ac:dyDescent="0.25">
      <c r="B261" s="146">
        <v>2222</v>
      </c>
      <c r="C261" s="146">
        <v>245</v>
      </c>
      <c r="D261" s="28" t="s">
        <v>5357</v>
      </c>
      <c r="E261" s="28" t="s">
        <v>5475</v>
      </c>
      <c r="F261" s="108">
        <v>45456</v>
      </c>
      <c r="G261" s="109">
        <v>0.64444444444444449</v>
      </c>
      <c r="H261" s="124" t="s">
        <v>5411</v>
      </c>
      <c r="I261" s="124"/>
      <c r="J261" s="124"/>
      <c r="K261" s="28"/>
      <c r="L261" s="28"/>
      <c r="M261" s="28" t="s">
        <v>20</v>
      </c>
      <c r="N261" s="162">
        <v>5000000</v>
      </c>
      <c r="O261" s="28" t="s">
        <v>20</v>
      </c>
      <c r="P261" s="28" t="s">
        <v>20</v>
      </c>
      <c r="Q261" s="28" t="s">
        <v>20</v>
      </c>
      <c r="R261" s="28" t="s">
        <v>20</v>
      </c>
      <c r="S261" s="28" t="s">
        <v>20</v>
      </c>
      <c r="T261" s="148" t="s">
        <v>20</v>
      </c>
    </row>
    <row r="262" spans="2:20" ht="136.5" x14ac:dyDescent="0.25">
      <c r="B262" s="146">
        <v>2223</v>
      </c>
      <c r="C262" s="146">
        <v>246</v>
      </c>
      <c r="D262" s="28" t="s">
        <v>5357</v>
      </c>
      <c r="E262" s="28" t="s">
        <v>5475</v>
      </c>
      <c r="F262" s="108">
        <v>45456</v>
      </c>
      <c r="G262" s="109">
        <v>0.65277777777777779</v>
      </c>
      <c r="H262" s="124" t="s">
        <v>5412</v>
      </c>
      <c r="I262" s="124"/>
      <c r="J262" s="124"/>
      <c r="K262" s="28"/>
      <c r="L262" s="28"/>
      <c r="M262" s="28" t="s">
        <v>20</v>
      </c>
      <c r="N262" s="28" t="s">
        <v>20</v>
      </c>
      <c r="O262" s="28" t="s">
        <v>20</v>
      </c>
      <c r="P262" s="28" t="s">
        <v>20</v>
      </c>
      <c r="Q262" s="28" t="s">
        <v>20</v>
      </c>
      <c r="R262" s="28" t="s">
        <v>20</v>
      </c>
      <c r="S262" s="28" t="s">
        <v>20</v>
      </c>
      <c r="T262" s="148" t="s">
        <v>20</v>
      </c>
    </row>
    <row r="263" spans="2:20" ht="97.5" x14ac:dyDescent="0.25">
      <c r="B263" s="146">
        <v>2224</v>
      </c>
      <c r="C263" s="146">
        <v>247</v>
      </c>
      <c r="D263" s="28" t="s">
        <v>5357</v>
      </c>
      <c r="E263" s="28" t="s">
        <v>5475</v>
      </c>
      <c r="F263" s="108">
        <v>45456</v>
      </c>
      <c r="G263" s="109">
        <v>0.81805555555555554</v>
      </c>
      <c r="H263" s="124" t="s">
        <v>5413</v>
      </c>
      <c r="I263" s="124"/>
      <c r="J263" s="124"/>
      <c r="K263" s="28"/>
      <c r="L263" s="28"/>
      <c r="M263" s="28">
        <v>200</v>
      </c>
      <c r="N263" s="162">
        <v>999800</v>
      </c>
      <c r="O263" s="28" t="s">
        <v>20</v>
      </c>
      <c r="P263" s="28" t="s">
        <v>20</v>
      </c>
      <c r="Q263" s="28" t="s">
        <v>20</v>
      </c>
      <c r="R263" s="28" t="s">
        <v>20</v>
      </c>
      <c r="S263" s="28" t="s">
        <v>20</v>
      </c>
      <c r="T263" s="148" t="s">
        <v>20</v>
      </c>
    </row>
    <row r="264" spans="2:20" ht="97.5" x14ac:dyDescent="0.25">
      <c r="B264" s="146">
        <v>2225</v>
      </c>
      <c r="C264" s="146">
        <v>248</v>
      </c>
      <c r="D264" s="28" t="s">
        <v>5357</v>
      </c>
      <c r="E264" s="28" t="s">
        <v>5475</v>
      </c>
      <c r="F264" s="108">
        <v>45456</v>
      </c>
      <c r="G264" s="109">
        <v>0.85486111111111107</v>
      </c>
      <c r="H264" s="124" t="s">
        <v>5414</v>
      </c>
      <c r="I264" s="124"/>
      <c r="J264" s="124"/>
      <c r="K264" s="28"/>
      <c r="L264" s="28"/>
      <c r="M264" s="28" t="s">
        <v>20</v>
      </c>
      <c r="N264" s="162">
        <v>5000000</v>
      </c>
      <c r="O264" s="28" t="s">
        <v>20</v>
      </c>
      <c r="P264" s="28" t="s">
        <v>20</v>
      </c>
      <c r="Q264" s="28" t="s">
        <v>20</v>
      </c>
      <c r="R264" s="28" t="s">
        <v>20</v>
      </c>
      <c r="S264" s="28" t="s">
        <v>20</v>
      </c>
      <c r="T264" s="148" t="s">
        <v>20</v>
      </c>
    </row>
    <row r="265" spans="2:20" ht="117" x14ac:dyDescent="0.25">
      <c r="B265" s="146">
        <v>2226</v>
      </c>
      <c r="C265" s="146">
        <v>249</v>
      </c>
      <c r="D265" s="28" t="s">
        <v>5357</v>
      </c>
      <c r="E265" s="28" t="s">
        <v>5475</v>
      </c>
      <c r="F265" s="108">
        <v>45456</v>
      </c>
      <c r="G265" s="109">
        <v>0.85763888888888884</v>
      </c>
      <c r="H265" s="124" t="s">
        <v>5415</v>
      </c>
      <c r="I265" s="124"/>
      <c r="J265" s="124"/>
      <c r="K265" s="28"/>
      <c r="L265" s="28"/>
      <c r="M265" s="28" t="s">
        <v>20</v>
      </c>
      <c r="N265" s="28" t="s">
        <v>20</v>
      </c>
      <c r="O265" s="28" t="s">
        <v>20</v>
      </c>
      <c r="P265" s="28" t="s">
        <v>20</v>
      </c>
      <c r="Q265" s="28" t="s">
        <v>20</v>
      </c>
      <c r="R265" s="28" t="s">
        <v>20</v>
      </c>
      <c r="S265" s="28" t="s">
        <v>20</v>
      </c>
      <c r="T265" s="148" t="s">
        <v>20</v>
      </c>
    </row>
    <row r="266" spans="2:20" ht="117" x14ac:dyDescent="0.25">
      <c r="B266" s="146">
        <v>2227</v>
      </c>
      <c r="C266" s="146">
        <v>250</v>
      </c>
      <c r="D266" s="28" t="s">
        <v>5357</v>
      </c>
      <c r="E266" s="28" t="s">
        <v>5475</v>
      </c>
      <c r="F266" s="108">
        <v>45456</v>
      </c>
      <c r="G266" s="109">
        <v>0.89930555555555558</v>
      </c>
      <c r="H266" s="124" t="s">
        <v>5416</v>
      </c>
      <c r="I266" s="124"/>
      <c r="J266" s="124"/>
      <c r="K266" s="28"/>
      <c r="L266" s="28"/>
      <c r="M266" s="28">
        <v>500</v>
      </c>
      <c r="N266" s="162">
        <v>2999500</v>
      </c>
      <c r="O266" s="28" t="s">
        <v>20</v>
      </c>
      <c r="P266" s="28" t="s">
        <v>20</v>
      </c>
      <c r="Q266" s="28" t="s">
        <v>20</v>
      </c>
      <c r="R266" s="28" t="s">
        <v>20</v>
      </c>
      <c r="S266" s="28" t="s">
        <v>20</v>
      </c>
      <c r="T266" s="148" t="s">
        <v>20</v>
      </c>
    </row>
    <row r="267" spans="2:20" ht="78" x14ac:dyDescent="0.25">
      <c r="B267" s="146">
        <v>2228</v>
      </c>
      <c r="C267" s="146">
        <v>251</v>
      </c>
      <c r="D267" s="28" t="s">
        <v>5357</v>
      </c>
      <c r="E267" s="28" t="s">
        <v>5475</v>
      </c>
      <c r="F267" s="108">
        <v>45456</v>
      </c>
      <c r="G267" s="109">
        <v>0.96666666666666667</v>
      </c>
      <c r="H267" s="124" t="s">
        <v>5417</v>
      </c>
      <c r="I267" s="124"/>
      <c r="J267" s="124"/>
      <c r="K267" s="28"/>
      <c r="L267" s="28"/>
      <c r="M267" s="28" t="s">
        <v>20</v>
      </c>
      <c r="N267" s="28" t="s">
        <v>20</v>
      </c>
      <c r="O267" s="28" t="s">
        <v>20</v>
      </c>
      <c r="P267" s="28" t="s">
        <v>20</v>
      </c>
      <c r="Q267" s="28" t="s">
        <v>20</v>
      </c>
      <c r="R267" s="28" t="s">
        <v>20</v>
      </c>
      <c r="S267" s="28" t="s">
        <v>20</v>
      </c>
      <c r="T267" s="148" t="s">
        <v>20</v>
      </c>
    </row>
    <row r="268" spans="2:20" ht="136.5" x14ac:dyDescent="0.25">
      <c r="B268" s="146">
        <v>2192</v>
      </c>
      <c r="C268" s="146">
        <v>215</v>
      </c>
      <c r="D268" s="28" t="s">
        <v>5357</v>
      </c>
      <c r="E268" s="28" t="s">
        <v>5471</v>
      </c>
      <c r="F268" s="108">
        <v>45456</v>
      </c>
      <c r="G268" s="109" t="s">
        <v>5458</v>
      </c>
      <c r="H268" s="124" t="s">
        <v>5374</v>
      </c>
      <c r="I268" s="124" t="s">
        <v>362</v>
      </c>
      <c r="J268" s="124" t="s">
        <v>406</v>
      </c>
      <c r="K268" s="28" t="s">
        <v>5375</v>
      </c>
      <c r="L268" s="28"/>
      <c r="M268" s="162">
        <v>1000</v>
      </c>
      <c r="N268" s="162">
        <v>99000</v>
      </c>
      <c r="O268" s="28" t="s">
        <v>20</v>
      </c>
      <c r="P268" s="28" t="s">
        <v>20</v>
      </c>
      <c r="Q268" s="28" t="s">
        <v>20</v>
      </c>
      <c r="R268" s="28" t="s">
        <v>20</v>
      </c>
      <c r="S268" s="28" t="s">
        <v>20</v>
      </c>
      <c r="T268" s="148" t="s">
        <v>20</v>
      </c>
    </row>
    <row r="269" spans="2:20" ht="117" x14ac:dyDescent="0.25">
      <c r="B269" s="146">
        <v>2193</v>
      </c>
      <c r="C269" s="146">
        <v>216</v>
      </c>
      <c r="D269" s="28" t="s">
        <v>5357</v>
      </c>
      <c r="E269" s="28" t="s">
        <v>5471</v>
      </c>
      <c r="F269" s="108">
        <v>45456</v>
      </c>
      <c r="G269" s="109" t="s">
        <v>5454</v>
      </c>
      <c r="H269" s="124" t="s">
        <v>5376</v>
      </c>
      <c r="I269" s="124" t="s">
        <v>5377</v>
      </c>
      <c r="J269" s="124" t="s">
        <v>1899</v>
      </c>
      <c r="K269" s="28" t="s">
        <v>5378</v>
      </c>
      <c r="L269" s="28"/>
      <c r="M269" s="162">
        <v>50000</v>
      </c>
      <c r="N269" s="162">
        <v>950000</v>
      </c>
      <c r="O269" s="28" t="s">
        <v>20</v>
      </c>
      <c r="P269" s="28" t="s">
        <v>20</v>
      </c>
      <c r="Q269" s="28" t="s">
        <v>20</v>
      </c>
      <c r="R269" s="28" t="s">
        <v>20</v>
      </c>
      <c r="S269" s="28" t="s">
        <v>20</v>
      </c>
      <c r="T269" s="148" t="s">
        <v>20</v>
      </c>
    </row>
    <row r="270" spans="2:20" ht="19.5" x14ac:dyDescent="0.25">
      <c r="B270" s="146">
        <v>3626</v>
      </c>
      <c r="C270" s="146" t="s">
        <v>5772</v>
      </c>
      <c r="D270" s="28" t="s">
        <v>4825</v>
      </c>
      <c r="E270" s="26" t="s">
        <v>5794</v>
      </c>
      <c r="F270" s="108">
        <v>45456</v>
      </c>
      <c r="G270" s="109">
        <v>0.49305555555555558</v>
      </c>
      <c r="H270" s="28" t="s">
        <v>5796</v>
      </c>
      <c r="I270" s="26" t="s">
        <v>406</v>
      </c>
      <c r="J270" s="26"/>
      <c r="K270" s="26" t="s">
        <v>5623</v>
      </c>
      <c r="L270" s="28"/>
      <c r="M270" s="26" t="s">
        <v>20</v>
      </c>
      <c r="N270" s="26" t="s">
        <v>20</v>
      </c>
      <c r="O270" s="26" t="s">
        <v>20</v>
      </c>
      <c r="P270" s="26" t="s">
        <v>20</v>
      </c>
      <c r="Q270" s="26" t="s">
        <v>20</v>
      </c>
      <c r="R270" s="26" t="s">
        <v>20</v>
      </c>
      <c r="S270" s="26" t="s">
        <v>20</v>
      </c>
      <c r="T270" s="242" t="s">
        <v>20</v>
      </c>
    </row>
    <row r="271" spans="2:20" ht="58.5" x14ac:dyDescent="0.25">
      <c r="B271" s="146">
        <v>1512</v>
      </c>
      <c r="C271" s="146">
        <v>78</v>
      </c>
      <c r="D271" s="28" t="s">
        <v>93</v>
      </c>
      <c r="E271" s="28" t="s">
        <v>587</v>
      </c>
      <c r="F271" s="108">
        <v>45456</v>
      </c>
      <c r="G271" s="109">
        <v>0.52222222222222225</v>
      </c>
      <c r="H271" s="124" t="s">
        <v>2820</v>
      </c>
      <c r="I271" s="124" t="s">
        <v>2821</v>
      </c>
      <c r="J271" s="124" t="s">
        <v>4168</v>
      </c>
      <c r="K271" s="28" t="s">
        <v>2822</v>
      </c>
      <c r="L271" s="28" t="s">
        <v>5896</v>
      </c>
      <c r="M271" s="28">
        <v>150000</v>
      </c>
      <c r="N271" s="28">
        <v>350000</v>
      </c>
      <c r="O271" s="28" t="s">
        <v>23</v>
      </c>
      <c r="P271" s="28" t="s">
        <v>23</v>
      </c>
      <c r="Q271" s="28" t="s">
        <v>23</v>
      </c>
      <c r="R271" s="28" t="s">
        <v>23</v>
      </c>
      <c r="S271" s="28" t="s">
        <v>23</v>
      </c>
      <c r="T271" s="148" t="s">
        <v>23</v>
      </c>
    </row>
    <row r="272" spans="2:20" ht="39" x14ac:dyDescent="0.25">
      <c r="B272" s="146">
        <v>1460</v>
      </c>
      <c r="C272" s="146">
        <v>26</v>
      </c>
      <c r="D272" s="28" t="s">
        <v>93</v>
      </c>
      <c r="E272" s="28" t="s">
        <v>94</v>
      </c>
      <c r="F272" s="108">
        <v>45456</v>
      </c>
      <c r="G272" s="109">
        <v>0.61319444444444449</v>
      </c>
      <c r="H272" s="124" t="s">
        <v>2724</v>
      </c>
      <c r="I272" s="124" t="s">
        <v>2725</v>
      </c>
      <c r="J272" s="124" t="s">
        <v>4168</v>
      </c>
      <c r="K272" s="28" t="s">
        <v>2716</v>
      </c>
      <c r="L272" s="28"/>
      <c r="M272" s="28" t="s">
        <v>20</v>
      </c>
      <c r="N272" s="28">
        <v>2000000</v>
      </c>
      <c r="O272" s="28" t="s">
        <v>20</v>
      </c>
      <c r="P272" s="28" t="s">
        <v>20</v>
      </c>
      <c r="Q272" s="28" t="s">
        <v>20</v>
      </c>
      <c r="R272" s="28" t="s">
        <v>20</v>
      </c>
      <c r="S272" s="28" t="s">
        <v>20</v>
      </c>
      <c r="T272" s="148" t="s">
        <v>20</v>
      </c>
    </row>
    <row r="273" spans="2:20" ht="58.5" x14ac:dyDescent="0.25">
      <c r="B273" s="146">
        <v>1461</v>
      </c>
      <c r="C273" s="146">
        <v>27</v>
      </c>
      <c r="D273" s="28" t="s">
        <v>93</v>
      </c>
      <c r="E273" s="28" t="s">
        <v>94</v>
      </c>
      <c r="F273" s="108">
        <v>45456</v>
      </c>
      <c r="G273" s="109">
        <v>0.80208333333333337</v>
      </c>
      <c r="H273" s="124" t="s">
        <v>2726</v>
      </c>
      <c r="I273" s="124" t="s">
        <v>2727</v>
      </c>
      <c r="J273" s="124" t="s">
        <v>385</v>
      </c>
      <c r="K273" s="28" t="s">
        <v>2728</v>
      </c>
      <c r="L273" s="28"/>
      <c r="M273" s="28">
        <v>20000</v>
      </c>
      <c r="N273" s="28">
        <v>480000</v>
      </c>
      <c r="O273" s="28" t="s">
        <v>20</v>
      </c>
      <c r="P273" s="28" t="s">
        <v>20</v>
      </c>
      <c r="Q273" s="28" t="s">
        <v>20</v>
      </c>
      <c r="R273" s="28" t="s">
        <v>20</v>
      </c>
      <c r="S273" s="28" t="s">
        <v>20</v>
      </c>
      <c r="T273" s="148" t="s">
        <v>20</v>
      </c>
    </row>
    <row r="274" spans="2:20" ht="39" x14ac:dyDescent="0.25">
      <c r="B274" s="146">
        <v>1501</v>
      </c>
      <c r="C274" s="146">
        <v>67</v>
      </c>
      <c r="D274" s="28" t="s">
        <v>93</v>
      </c>
      <c r="E274" s="28" t="s">
        <v>1792</v>
      </c>
      <c r="F274" s="108">
        <v>45456</v>
      </c>
      <c r="G274" s="109">
        <v>0.75347222222222221</v>
      </c>
      <c r="H274" s="124" t="s">
        <v>2803</v>
      </c>
      <c r="I274" s="124" t="s">
        <v>2578</v>
      </c>
      <c r="J274" s="124" t="s">
        <v>4168</v>
      </c>
      <c r="K274" s="28" t="s">
        <v>2804</v>
      </c>
      <c r="L274" s="28"/>
      <c r="M274" s="28" t="s">
        <v>1819</v>
      </c>
      <c r="N274" s="28" t="s">
        <v>1832</v>
      </c>
      <c r="O274" s="28" t="s">
        <v>23</v>
      </c>
      <c r="P274" s="28" t="s">
        <v>23</v>
      </c>
      <c r="Q274" s="28" t="s">
        <v>23</v>
      </c>
      <c r="R274" s="28" t="s">
        <v>23</v>
      </c>
      <c r="S274" s="28" t="s">
        <v>23</v>
      </c>
      <c r="T274" s="148" t="s">
        <v>23</v>
      </c>
    </row>
    <row r="275" spans="2:20" ht="175.5" x14ac:dyDescent="0.25">
      <c r="B275" s="146">
        <v>2307</v>
      </c>
      <c r="C275" s="146">
        <v>30</v>
      </c>
      <c r="D275" s="28" t="s">
        <v>4832</v>
      </c>
      <c r="E275" s="28" t="s">
        <v>4832</v>
      </c>
      <c r="F275" s="108">
        <v>45457</v>
      </c>
      <c r="G275" s="109">
        <v>0.80694444444444446</v>
      </c>
      <c r="H275" s="124" t="s">
        <v>5560</v>
      </c>
      <c r="I275" s="124"/>
      <c r="J275" s="124"/>
      <c r="K275" s="28"/>
      <c r="L275" s="28"/>
      <c r="M275" s="162">
        <v>20000</v>
      </c>
      <c r="N275" s="162">
        <v>5980000</v>
      </c>
      <c r="O275" s="28" t="s">
        <v>20</v>
      </c>
      <c r="P275" s="28" t="s">
        <v>20</v>
      </c>
      <c r="Q275" s="28" t="s">
        <v>20</v>
      </c>
      <c r="R275" s="28" t="s">
        <v>20</v>
      </c>
      <c r="S275" s="28" t="s">
        <v>20</v>
      </c>
      <c r="T275" s="148" t="s">
        <v>20</v>
      </c>
    </row>
    <row r="276" spans="2:20" ht="273" x14ac:dyDescent="0.25">
      <c r="B276" s="146">
        <v>2326</v>
      </c>
      <c r="C276" s="146">
        <v>49</v>
      </c>
      <c r="D276" s="28" t="s">
        <v>4832</v>
      </c>
      <c r="E276" s="28" t="s">
        <v>5610</v>
      </c>
      <c r="F276" s="108">
        <v>45457</v>
      </c>
      <c r="G276" s="109">
        <v>0.58611111111111114</v>
      </c>
      <c r="H276" s="124" t="s">
        <v>5586</v>
      </c>
      <c r="I276" s="124"/>
      <c r="J276" s="124"/>
      <c r="K276" s="28"/>
      <c r="L276" s="28"/>
      <c r="M276" s="28" t="s">
        <v>141</v>
      </c>
      <c r="N276" s="28" t="s">
        <v>152</v>
      </c>
      <c r="O276" s="28" t="s">
        <v>20</v>
      </c>
      <c r="P276" s="28" t="s">
        <v>20</v>
      </c>
      <c r="Q276" s="28" t="s">
        <v>20</v>
      </c>
      <c r="R276" s="28" t="s">
        <v>20</v>
      </c>
      <c r="S276" s="28" t="s">
        <v>20</v>
      </c>
      <c r="T276" s="148" t="s">
        <v>20</v>
      </c>
    </row>
    <row r="277" spans="2:20" ht="253.5" x14ac:dyDescent="0.25">
      <c r="B277" s="146">
        <v>2327</v>
      </c>
      <c r="C277" s="146">
        <v>50</v>
      </c>
      <c r="D277" s="28" t="s">
        <v>4832</v>
      </c>
      <c r="E277" s="28" t="s">
        <v>5610</v>
      </c>
      <c r="F277" s="108">
        <v>45457</v>
      </c>
      <c r="G277" s="109">
        <v>0.63888888888888884</v>
      </c>
      <c r="H277" s="124" t="s">
        <v>5587</v>
      </c>
      <c r="I277" s="124"/>
      <c r="J277" s="124"/>
      <c r="K277" s="28"/>
      <c r="L277" s="28"/>
      <c r="M277" s="28" t="s">
        <v>157</v>
      </c>
      <c r="N277" s="28" t="s">
        <v>235</v>
      </c>
      <c r="O277" s="28" t="s">
        <v>20</v>
      </c>
      <c r="P277" s="28" t="s">
        <v>20</v>
      </c>
      <c r="Q277" s="28" t="s">
        <v>20</v>
      </c>
      <c r="R277" s="28" t="s">
        <v>20</v>
      </c>
      <c r="S277" s="28" t="s">
        <v>20</v>
      </c>
      <c r="T277" s="148" t="s">
        <v>20</v>
      </c>
    </row>
    <row r="278" spans="2:20" ht="39" x14ac:dyDescent="0.25">
      <c r="B278" s="146">
        <v>1047</v>
      </c>
      <c r="C278" s="146">
        <v>547</v>
      </c>
      <c r="D278" s="28" t="s">
        <v>321</v>
      </c>
      <c r="E278" s="28" t="s">
        <v>4111</v>
      </c>
      <c r="F278" s="108">
        <v>45457</v>
      </c>
      <c r="G278" s="109">
        <v>0.4861111111111111</v>
      </c>
      <c r="H278" s="124" t="s">
        <v>4442</v>
      </c>
      <c r="I278" s="124" t="s">
        <v>4113</v>
      </c>
      <c r="J278" s="124" t="s">
        <v>4168</v>
      </c>
      <c r="K278" s="28" t="s">
        <v>4436</v>
      </c>
      <c r="L278" s="28"/>
      <c r="M278" s="28">
        <v>5000</v>
      </c>
      <c r="N278" s="28">
        <v>10000</v>
      </c>
      <c r="O278" s="28" t="s">
        <v>20</v>
      </c>
      <c r="P278" s="28" t="s">
        <v>20</v>
      </c>
      <c r="Q278" s="28" t="s">
        <v>20</v>
      </c>
      <c r="R278" s="28" t="s">
        <v>20</v>
      </c>
      <c r="S278" s="28" t="s">
        <v>20</v>
      </c>
      <c r="T278" s="148" t="s">
        <v>20</v>
      </c>
    </row>
    <row r="279" spans="2:20" ht="39" x14ac:dyDescent="0.25">
      <c r="B279" s="146">
        <v>1021</v>
      </c>
      <c r="C279" s="146">
        <v>520</v>
      </c>
      <c r="D279" s="28" t="s">
        <v>321</v>
      </c>
      <c r="E279" s="28" t="s">
        <v>307</v>
      </c>
      <c r="F279" s="108">
        <v>45457</v>
      </c>
      <c r="G279" s="109">
        <v>0.68541666666666667</v>
      </c>
      <c r="H279" s="124" t="s">
        <v>509</v>
      </c>
      <c r="I279" s="124" t="s">
        <v>507</v>
      </c>
      <c r="J279" s="124"/>
      <c r="K279" s="28" t="s">
        <v>510</v>
      </c>
      <c r="L279" s="28" t="s">
        <v>5901</v>
      </c>
      <c r="M279" s="28">
        <v>25000</v>
      </c>
      <c r="N279" s="28">
        <v>50000</v>
      </c>
      <c r="O279" s="28" t="s">
        <v>20</v>
      </c>
      <c r="P279" s="28" t="s">
        <v>20</v>
      </c>
      <c r="Q279" s="28" t="s">
        <v>20</v>
      </c>
      <c r="R279" s="28" t="s">
        <v>20</v>
      </c>
      <c r="S279" s="28" t="s">
        <v>20</v>
      </c>
      <c r="T279" s="148" t="s">
        <v>20</v>
      </c>
    </row>
    <row r="280" spans="2:20" ht="19.5" x14ac:dyDescent="0.25">
      <c r="B280" s="146">
        <v>989</v>
      </c>
      <c r="C280" s="146">
        <v>477</v>
      </c>
      <c r="D280" s="28" t="s">
        <v>321</v>
      </c>
      <c r="E280" s="28" t="s">
        <v>334</v>
      </c>
      <c r="F280" s="108">
        <v>45457</v>
      </c>
      <c r="G280" s="109">
        <v>0.79166666666666663</v>
      </c>
      <c r="H280" s="124" t="s">
        <v>488</v>
      </c>
      <c r="I280" s="124" t="s">
        <v>489</v>
      </c>
      <c r="J280" s="124"/>
      <c r="K280" s="28" t="s">
        <v>489</v>
      </c>
      <c r="L280" s="28"/>
      <c r="M280" s="28"/>
      <c r="N280" s="28"/>
      <c r="O280" s="28" t="s">
        <v>20</v>
      </c>
      <c r="P280" s="28" t="s">
        <v>20</v>
      </c>
      <c r="Q280" s="28" t="s">
        <v>20</v>
      </c>
      <c r="R280" s="28" t="s">
        <v>20</v>
      </c>
      <c r="S280" s="28" t="s">
        <v>20</v>
      </c>
      <c r="T280" s="148" t="s">
        <v>20</v>
      </c>
    </row>
    <row r="281" spans="2:20" ht="19.5" x14ac:dyDescent="0.25">
      <c r="B281" s="146">
        <v>1033</v>
      </c>
      <c r="C281" s="146">
        <v>533</v>
      </c>
      <c r="D281" s="28" t="s">
        <v>321</v>
      </c>
      <c r="E281" s="28" t="s">
        <v>3685</v>
      </c>
      <c r="F281" s="108">
        <v>45457</v>
      </c>
      <c r="G281" s="109">
        <v>0.65833333333333333</v>
      </c>
      <c r="H281" s="124" t="s">
        <v>4421</v>
      </c>
      <c r="I281" s="124" t="s">
        <v>496</v>
      </c>
      <c r="J281" s="124"/>
      <c r="K281" s="28" t="s">
        <v>4422</v>
      </c>
      <c r="L281" s="28" t="s">
        <v>2002</v>
      </c>
      <c r="M281" s="28" t="s">
        <v>3674</v>
      </c>
      <c r="N281" s="28" t="s">
        <v>3674</v>
      </c>
      <c r="O281" s="28" t="s">
        <v>20</v>
      </c>
      <c r="P281" s="28" t="s">
        <v>20</v>
      </c>
      <c r="Q281" s="28" t="s">
        <v>20</v>
      </c>
      <c r="R281" s="28" t="s">
        <v>20</v>
      </c>
      <c r="S281" s="28" t="s">
        <v>20</v>
      </c>
      <c r="T281" s="148" t="s">
        <v>20</v>
      </c>
    </row>
    <row r="282" spans="2:20" ht="97.5" x14ac:dyDescent="0.25">
      <c r="B282" s="146">
        <v>1053</v>
      </c>
      <c r="C282" s="146">
        <v>553</v>
      </c>
      <c r="D282" s="28" t="s">
        <v>321</v>
      </c>
      <c r="E282" s="28" t="s">
        <v>306</v>
      </c>
      <c r="F282" s="108">
        <v>45457</v>
      </c>
      <c r="G282" s="109">
        <v>0.3972222222222222</v>
      </c>
      <c r="H282" s="124" t="s">
        <v>4452</v>
      </c>
      <c r="I282" s="124" t="s">
        <v>4029</v>
      </c>
      <c r="J282" s="26" t="s">
        <v>4168</v>
      </c>
      <c r="K282" s="28" t="s">
        <v>4453</v>
      </c>
      <c r="L282" s="28"/>
      <c r="M282" s="28">
        <v>20000</v>
      </c>
      <c r="N282" s="28">
        <v>480000</v>
      </c>
      <c r="O282" s="28" t="s">
        <v>20</v>
      </c>
      <c r="P282" s="28" t="s">
        <v>20</v>
      </c>
      <c r="Q282" s="28" t="s">
        <v>20</v>
      </c>
      <c r="R282" s="28" t="s">
        <v>20</v>
      </c>
      <c r="S282" s="28" t="s">
        <v>20</v>
      </c>
      <c r="T282" s="148" t="s">
        <v>20</v>
      </c>
    </row>
    <row r="283" spans="2:20" ht="97.5" x14ac:dyDescent="0.25">
      <c r="B283" s="146">
        <v>1054</v>
      </c>
      <c r="C283" s="146">
        <v>554</v>
      </c>
      <c r="D283" s="28" t="s">
        <v>321</v>
      </c>
      <c r="E283" s="28" t="s">
        <v>306</v>
      </c>
      <c r="F283" s="108">
        <v>45457</v>
      </c>
      <c r="G283" s="109">
        <v>0.67291666666666672</v>
      </c>
      <c r="H283" s="124" t="s">
        <v>4452</v>
      </c>
      <c r="I283" s="124" t="s">
        <v>4029</v>
      </c>
      <c r="J283" s="26" t="s">
        <v>4168</v>
      </c>
      <c r="K283" s="28" t="s">
        <v>4453</v>
      </c>
      <c r="L283" s="28"/>
      <c r="M283" s="28" t="s">
        <v>341</v>
      </c>
      <c r="N283" s="28" t="s">
        <v>341</v>
      </c>
      <c r="O283" s="28" t="s">
        <v>20</v>
      </c>
      <c r="P283" s="28" t="s">
        <v>20</v>
      </c>
      <c r="Q283" s="28" t="s">
        <v>20</v>
      </c>
      <c r="R283" s="28" t="s">
        <v>20</v>
      </c>
      <c r="S283" s="28" t="s">
        <v>20</v>
      </c>
      <c r="T283" s="148" t="s">
        <v>20</v>
      </c>
    </row>
    <row r="284" spans="2:20" ht="78" x14ac:dyDescent="0.25">
      <c r="B284" s="146">
        <v>2346</v>
      </c>
      <c r="C284" s="146" t="s">
        <v>5738</v>
      </c>
      <c r="D284" s="28" t="s">
        <v>1789</v>
      </c>
      <c r="E284" s="124" t="s">
        <v>4908</v>
      </c>
      <c r="F284" s="108">
        <v>45457</v>
      </c>
      <c r="G284" s="109"/>
      <c r="H284" s="124"/>
      <c r="I284" s="124" t="s">
        <v>5810</v>
      </c>
      <c r="J284" s="124" t="s">
        <v>4168</v>
      </c>
      <c r="K284" s="28"/>
      <c r="L284" s="28"/>
      <c r="M284" s="28"/>
      <c r="N284" s="28"/>
      <c r="O284" s="28"/>
      <c r="P284" s="28"/>
      <c r="Q284" s="28"/>
      <c r="R284" s="28"/>
      <c r="S284" s="28"/>
      <c r="T284" s="148"/>
    </row>
    <row r="285" spans="2:20" ht="19.5" x14ac:dyDescent="0.25">
      <c r="B285" s="146">
        <v>376</v>
      </c>
      <c r="C285" s="146">
        <v>40</v>
      </c>
      <c r="D285" s="28" t="s">
        <v>1789</v>
      </c>
      <c r="E285" s="28" t="s">
        <v>1789</v>
      </c>
      <c r="F285" s="108">
        <v>45457</v>
      </c>
      <c r="G285" s="109">
        <v>0.59722222222222221</v>
      </c>
      <c r="H285" s="124" t="s">
        <v>2361</v>
      </c>
      <c r="I285" s="124" t="s">
        <v>2162</v>
      </c>
      <c r="J285" s="124" t="s">
        <v>1904</v>
      </c>
      <c r="K285" s="28" t="s">
        <v>2165</v>
      </c>
      <c r="L285" s="28"/>
      <c r="M285" s="28">
        <v>10000</v>
      </c>
      <c r="N285" s="28">
        <v>990000</v>
      </c>
      <c r="O285" s="28" t="s">
        <v>20</v>
      </c>
      <c r="P285" s="28" t="s">
        <v>20</v>
      </c>
      <c r="Q285" s="28" t="s">
        <v>20</v>
      </c>
      <c r="R285" s="28" t="s">
        <v>20</v>
      </c>
      <c r="S285" s="28" t="s">
        <v>20</v>
      </c>
      <c r="T285" s="148" t="s">
        <v>20</v>
      </c>
    </row>
    <row r="286" spans="2:20" ht="19.5" x14ac:dyDescent="0.25">
      <c r="B286" s="146">
        <v>377</v>
      </c>
      <c r="C286" s="146">
        <v>41</v>
      </c>
      <c r="D286" s="28" t="s">
        <v>1789</v>
      </c>
      <c r="E286" s="28" t="s">
        <v>1789</v>
      </c>
      <c r="F286" s="108">
        <v>45457</v>
      </c>
      <c r="G286" s="109">
        <v>0.69097222222222221</v>
      </c>
      <c r="H286" s="124" t="s">
        <v>2362</v>
      </c>
      <c r="I286" s="124" t="s">
        <v>2363</v>
      </c>
      <c r="J286" s="124" t="s">
        <v>385</v>
      </c>
      <c r="K286" s="28" t="s">
        <v>2325</v>
      </c>
      <c r="L286" s="28"/>
      <c r="M286" s="28">
        <v>40000</v>
      </c>
      <c r="N286" s="28">
        <v>360000</v>
      </c>
      <c r="O286" s="28" t="s">
        <v>20</v>
      </c>
      <c r="P286" s="28" t="s">
        <v>20</v>
      </c>
      <c r="Q286" s="28" t="s">
        <v>20</v>
      </c>
      <c r="R286" s="28" t="s">
        <v>20</v>
      </c>
      <c r="S286" s="28" t="s">
        <v>20</v>
      </c>
      <c r="T286" s="148" t="s">
        <v>20</v>
      </c>
    </row>
    <row r="287" spans="2:20" ht="19.5" x14ac:dyDescent="0.25">
      <c r="B287" s="146">
        <v>378</v>
      </c>
      <c r="C287" s="146">
        <v>42</v>
      </c>
      <c r="D287" s="28" t="s">
        <v>1789</v>
      </c>
      <c r="E287" s="28" t="s">
        <v>1789</v>
      </c>
      <c r="F287" s="108">
        <v>45457</v>
      </c>
      <c r="G287" s="109">
        <v>0.73263888888888884</v>
      </c>
      <c r="H287" s="124" t="s">
        <v>2364</v>
      </c>
      <c r="I287" s="124" t="s">
        <v>2162</v>
      </c>
      <c r="J287" s="124" t="s">
        <v>1904</v>
      </c>
      <c r="K287" s="28" t="s">
        <v>2165</v>
      </c>
      <c r="L287" s="28"/>
      <c r="M287" s="28">
        <v>100000</v>
      </c>
      <c r="N287" s="28">
        <v>1900000</v>
      </c>
      <c r="O287" s="28" t="s">
        <v>20</v>
      </c>
      <c r="P287" s="28" t="s">
        <v>20</v>
      </c>
      <c r="Q287" s="28" t="s">
        <v>20</v>
      </c>
      <c r="R287" s="28" t="s">
        <v>20</v>
      </c>
      <c r="S287" s="28" t="s">
        <v>20</v>
      </c>
      <c r="T287" s="148" t="s">
        <v>20</v>
      </c>
    </row>
    <row r="288" spans="2:20" ht="19.5" x14ac:dyDescent="0.25">
      <c r="B288" s="146">
        <v>379</v>
      </c>
      <c r="C288" s="146">
        <v>43</v>
      </c>
      <c r="D288" s="28" t="s">
        <v>1789</v>
      </c>
      <c r="E288" s="28" t="s">
        <v>1789</v>
      </c>
      <c r="F288" s="108">
        <v>45457</v>
      </c>
      <c r="G288" s="109">
        <v>0.85416666666666663</v>
      </c>
      <c r="H288" s="124" t="s">
        <v>2365</v>
      </c>
      <c r="I288" s="124" t="s">
        <v>2162</v>
      </c>
      <c r="J288" s="124" t="s">
        <v>1904</v>
      </c>
      <c r="K288" s="28" t="s">
        <v>2171</v>
      </c>
      <c r="L288" s="28"/>
      <c r="M288" s="28">
        <v>0</v>
      </c>
      <c r="N288" s="28">
        <v>0</v>
      </c>
      <c r="O288" s="28"/>
      <c r="P288" s="28"/>
      <c r="Q288" s="28"/>
      <c r="R288" s="28"/>
      <c r="S288" s="28"/>
      <c r="T288" s="148"/>
    </row>
    <row r="289" spans="2:20" ht="19.5" x14ac:dyDescent="0.25">
      <c r="B289" s="146">
        <v>380</v>
      </c>
      <c r="C289" s="146">
        <v>44</v>
      </c>
      <c r="D289" s="28" t="s">
        <v>1789</v>
      </c>
      <c r="E289" s="28" t="s">
        <v>1789</v>
      </c>
      <c r="F289" s="108">
        <v>45457</v>
      </c>
      <c r="G289" s="109">
        <v>0.87847222222222221</v>
      </c>
      <c r="H289" s="124" t="s">
        <v>2366</v>
      </c>
      <c r="I289" s="124" t="s">
        <v>2367</v>
      </c>
      <c r="J289" s="124" t="s">
        <v>385</v>
      </c>
      <c r="K289" s="28" t="s">
        <v>2360</v>
      </c>
      <c r="L289" s="28"/>
      <c r="M289" s="28">
        <v>0</v>
      </c>
      <c r="N289" s="28">
        <v>0</v>
      </c>
      <c r="O289" s="28" t="s">
        <v>20</v>
      </c>
      <c r="P289" s="28" t="s">
        <v>20</v>
      </c>
      <c r="Q289" s="28" t="s">
        <v>20</v>
      </c>
      <c r="R289" s="28" t="s">
        <v>20</v>
      </c>
      <c r="S289" s="28" t="s">
        <v>20</v>
      </c>
      <c r="T289" s="148" t="s">
        <v>20</v>
      </c>
    </row>
    <row r="290" spans="2:20" ht="19.5" x14ac:dyDescent="0.25">
      <c r="B290" s="146">
        <v>447</v>
      </c>
      <c r="C290" s="146">
        <v>23</v>
      </c>
      <c r="D290" s="28" t="s">
        <v>1789</v>
      </c>
      <c r="E290" s="28" t="s">
        <v>1789</v>
      </c>
      <c r="F290" s="108">
        <v>45457</v>
      </c>
      <c r="G290" s="109">
        <v>0.8041666666666667</v>
      </c>
      <c r="H290" s="124" t="s">
        <v>2365</v>
      </c>
      <c r="I290" s="124" t="s">
        <v>2162</v>
      </c>
      <c r="J290" s="124" t="s">
        <v>1904</v>
      </c>
      <c r="K290" s="28" t="s">
        <v>2443</v>
      </c>
      <c r="L290" s="28"/>
      <c r="M290" s="28">
        <v>5000</v>
      </c>
      <c r="N290" s="28">
        <v>145000</v>
      </c>
      <c r="O290" s="28" t="s">
        <v>20</v>
      </c>
      <c r="P290" s="28" t="s">
        <v>20</v>
      </c>
      <c r="Q290" s="28" t="s">
        <v>20</v>
      </c>
      <c r="R290" s="28" t="s">
        <v>20</v>
      </c>
      <c r="S290" s="28" t="s">
        <v>20</v>
      </c>
      <c r="T290" s="148" t="s">
        <v>20</v>
      </c>
    </row>
    <row r="291" spans="2:20" ht="234" x14ac:dyDescent="0.25">
      <c r="B291" s="146">
        <v>1948</v>
      </c>
      <c r="C291" s="147">
        <v>2</v>
      </c>
      <c r="D291" s="26" t="s">
        <v>1789</v>
      </c>
      <c r="E291" s="26" t="s">
        <v>5072</v>
      </c>
      <c r="F291" s="108">
        <v>45457</v>
      </c>
      <c r="G291" s="28" t="s">
        <v>5250</v>
      </c>
      <c r="H291" s="124" t="s">
        <v>5251</v>
      </c>
      <c r="I291" s="28" t="s">
        <v>5078</v>
      </c>
      <c r="J291" s="28"/>
      <c r="K291" s="122" t="s">
        <v>5252</v>
      </c>
      <c r="L291" s="28"/>
      <c r="M291" s="28" t="s">
        <v>20</v>
      </c>
      <c r="N291" s="28" t="s">
        <v>5100</v>
      </c>
      <c r="O291" s="26" t="s">
        <v>5071</v>
      </c>
      <c r="P291" s="26" t="s">
        <v>5071</v>
      </c>
      <c r="Q291" s="26" t="s">
        <v>5071</v>
      </c>
      <c r="R291" s="26" t="s">
        <v>5071</v>
      </c>
      <c r="S291" s="26" t="s">
        <v>5071</v>
      </c>
      <c r="T291" s="242" t="s">
        <v>5071</v>
      </c>
    </row>
    <row r="292" spans="2:20" ht="156" x14ac:dyDescent="0.25">
      <c r="B292" s="146">
        <v>2251</v>
      </c>
      <c r="C292" s="146">
        <v>274</v>
      </c>
      <c r="D292" s="28" t="s">
        <v>5357</v>
      </c>
      <c r="E292" s="28" t="s">
        <v>5474</v>
      </c>
      <c r="F292" s="108">
        <v>45457</v>
      </c>
      <c r="G292" s="109" t="s">
        <v>5453</v>
      </c>
      <c r="H292" s="124" t="s">
        <v>5439</v>
      </c>
      <c r="I292" s="124"/>
      <c r="J292" s="124"/>
      <c r="K292" s="28"/>
      <c r="L292" s="28"/>
      <c r="M292" s="28">
        <v>500</v>
      </c>
      <c r="N292" s="162">
        <v>1500</v>
      </c>
      <c r="O292" s="28" t="s">
        <v>20</v>
      </c>
      <c r="P292" s="28" t="s">
        <v>20</v>
      </c>
      <c r="Q292" s="28" t="s">
        <v>20</v>
      </c>
      <c r="R292" s="28" t="s">
        <v>20</v>
      </c>
      <c r="S292" s="28" t="s">
        <v>20</v>
      </c>
      <c r="T292" s="148" t="s">
        <v>20</v>
      </c>
    </row>
    <row r="293" spans="2:20" ht="97.5" x14ac:dyDescent="0.25">
      <c r="B293" s="146">
        <v>2198</v>
      </c>
      <c r="C293" s="146">
        <v>221</v>
      </c>
      <c r="D293" s="28" t="s">
        <v>5357</v>
      </c>
      <c r="E293" s="28" t="s">
        <v>5470</v>
      </c>
      <c r="F293" s="108">
        <v>45457</v>
      </c>
      <c r="G293" s="109" t="s">
        <v>5485</v>
      </c>
      <c r="H293" s="124" t="s">
        <v>5388</v>
      </c>
      <c r="I293" s="124" t="s">
        <v>20</v>
      </c>
      <c r="J293" s="124"/>
      <c r="K293" s="28" t="s">
        <v>20</v>
      </c>
      <c r="L293" s="28"/>
      <c r="M293" s="28">
        <v>125000</v>
      </c>
      <c r="N293" s="28">
        <v>375000</v>
      </c>
      <c r="O293" s="28" t="s">
        <v>20</v>
      </c>
      <c r="P293" s="28">
        <v>1</v>
      </c>
      <c r="Q293" s="28" t="s">
        <v>20</v>
      </c>
      <c r="R293" s="28" t="s">
        <v>20</v>
      </c>
      <c r="S293" s="28" t="s">
        <v>20</v>
      </c>
      <c r="T293" s="148" t="s">
        <v>20</v>
      </c>
    </row>
    <row r="294" spans="2:20" ht="117" x14ac:dyDescent="0.25">
      <c r="B294" s="146">
        <v>2229</v>
      </c>
      <c r="C294" s="146">
        <v>252</v>
      </c>
      <c r="D294" s="28" t="s">
        <v>5357</v>
      </c>
      <c r="E294" s="28" t="s">
        <v>5475</v>
      </c>
      <c r="F294" s="108">
        <v>45457</v>
      </c>
      <c r="G294" s="109">
        <v>0.05</v>
      </c>
      <c r="H294" s="124" t="s">
        <v>5418</v>
      </c>
      <c r="I294" s="124"/>
      <c r="J294" s="124"/>
      <c r="K294" s="28"/>
      <c r="L294" s="28"/>
      <c r="M294" s="28" t="s">
        <v>20</v>
      </c>
      <c r="N294" s="28" t="s">
        <v>20</v>
      </c>
      <c r="O294" s="28" t="s">
        <v>20</v>
      </c>
      <c r="P294" s="28" t="s">
        <v>20</v>
      </c>
      <c r="Q294" s="28" t="s">
        <v>20</v>
      </c>
      <c r="R294" s="28" t="s">
        <v>20</v>
      </c>
      <c r="S294" s="28" t="s">
        <v>20</v>
      </c>
      <c r="T294" s="148" t="s">
        <v>20</v>
      </c>
    </row>
    <row r="295" spans="2:20" ht="78" x14ac:dyDescent="0.25">
      <c r="B295" s="146">
        <v>2230</v>
      </c>
      <c r="C295" s="146">
        <v>253</v>
      </c>
      <c r="D295" s="28" t="s">
        <v>5357</v>
      </c>
      <c r="E295" s="28" t="s">
        <v>5475</v>
      </c>
      <c r="F295" s="108">
        <v>45457</v>
      </c>
      <c r="G295" s="109">
        <v>0.72638888888888886</v>
      </c>
      <c r="H295" s="124" t="s">
        <v>5419</v>
      </c>
      <c r="I295" s="124"/>
      <c r="J295" s="124"/>
      <c r="K295" s="28"/>
      <c r="L295" s="28"/>
      <c r="M295" s="28" t="s">
        <v>20</v>
      </c>
      <c r="N295" s="28" t="s">
        <v>20</v>
      </c>
      <c r="O295" s="28" t="s">
        <v>20</v>
      </c>
      <c r="P295" s="28" t="s">
        <v>20</v>
      </c>
      <c r="Q295" s="28" t="s">
        <v>20</v>
      </c>
      <c r="R295" s="28" t="s">
        <v>20</v>
      </c>
      <c r="S295" s="28" t="s">
        <v>20</v>
      </c>
      <c r="T295" s="148" t="s">
        <v>20</v>
      </c>
    </row>
    <row r="296" spans="2:20" ht="136.5" x14ac:dyDescent="0.25">
      <c r="B296" s="146">
        <v>2231</v>
      </c>
      <c r="C296" s="146">
        <v>254</v>
      </c>
      <c r="D296" s="28" t="s">
        <v>5357</v>
      </c>
      <c r="E296" s="28" t="s">
        <v>5475</v>
      </c>
      <c r="F296" s="108">
        <v>45457</v>
      </c>
      <c r="G296" s="109">
        <v>0.73611111111111116</v>
      </c>
      <c r="H296" s="124" t="s">
        <v>5420</v>
      </c>
      <c r="I296" s="124"/>
      <c r="J296" s="124"/>
      <c r="K296" s="28"/>
      <c r="L296" s="28"/>
      <c r="M296" s="28">
        <v>500</v>
      </c>
      <c r="N296" s="162">
        <v>999500</v>
      </c>
      <c r="O296" s="28" t="s">
        <v>20</v>
      </c>
      <c r="P296" s="28" t="s">
        <v>20</v>
      </c>
      <c r="Q296" s="28" t="s">
        <v>20</v>
      </c>
      <c r="R296" s="28" t="s">
        <v>20</v>
      </c>
      <c r="S296" s="28" t="s">
        <v>20</v>
      </c>
      <c r="T296" s="148" t="s">
        <v>20</v>
      </c>
    </row>
    <row r="297" spans="2:20" ht="117" x14ac:dyDescent="0.25">
      <c r="B297" s="146">
        <v>2232</v>
      </c>
      <c r="C297" s="146">
        <v>255</v>
      </c>
      <c r="D297" s="28" t="s">
        <v>5357</v>
      </c>
      <c r="E297" s="28" t="s">
        <v>5475</v>
      </c>
      <c r="F297" s="108">
        <v>45457</v>
      </c>
      <c r="G297" s="109">
        <v>0.86736111111111114</v>
      </c>
      <c r="H297" s="124" t="s">
        <v>5421</v>
      </c>
      <c r="I297" s="124"/>
      <c r="J297" s="124"/>
      <c r="K297" s="28"/>
      <c r="L297" s="28"/>
      <c r="M297" s="28" t="s">
        <v>20</v>
      </c>
      <c r="N297" s="28" t="s">
        <v>20</v>
      </c>
      <c r="O297" s="28" t="s">
        <v>20</v>
      </c>
      <c r="P297" s="28" t="s">
        <v>20</v>
      </c>
      <c r="Q297" s="28" t="s">
        <v>20</v>
      </c>
      <c r="R297" s="28" t="s">
        <v>20</v>
      </c>
      <c r="S297" s="28" t="s">
        <v>20</v>
      </c>
      <c r="T297" s="148" t="s">
        <v>20</v>
      </c>
    </row>
    <row r="298" spans="2:20" ht="117" x14ac:dyDescent="0.25">
      <c r="B298" s="146">
        <v>2194</v>
      </c>
      <c r="C298" s="146">
        <v>217</v>
      </c>
      <c r="D298" s="28" t="s">
        <v>5357</v>
      </c>
      <c r="E298" s="28" t="s">
        <v>5471</v>
      </c>
      <c r="F298" s="108">
        <v>45457</v>
      </c>
      <c r="G298" s="109" t="s">
        <v>5459</v>
      </c>
      <c r="H298" s="124" t="s">
        <v>5379</v>
      </c>
      <c r="I298" s="124" t="s">
        <v>385</v>
      </c>
      <c r="J298" s="124" t="s">
        <v>385</v>
      </c>
      <c r="K298" s="28" t="s">
        <v>5380</v>
      </c>
      <c r="L298" s="28"/>
      <c r="M298" s="28">
        <v>500</v>
      </c>
      <c r="N298" s="162">
        <v>50000</v>
      </c>
      <c r="O298" s="28" t="s">
        <v>20</v>
      </c>
      <c r="P298" s="28" t="s">
        <v>20</v>
      </c>
      <c r="Q298" s="28" t="s">
        <v>20</v>
      </c>
      <c r="R298" s="28" t="s">
        <v>20</v>
      </c>
      <c r="S298" s="28" t="s">
        <v>20</v>
      </c>
      <c r="T298" s="148" t="s">
        <v>20</v>
      </c>
    </row>
    <row r="299" spans="2:20" ht="58.5" x14ac:dyDescent="0.25">
      <c r="B299" s="146">
        <v>2260</v>
      </c>
      <c r="C299" s="146">
        <v>283</v>
      </c>
      <c r="D299" s="28" t="s">
        <v>5357</v>
      </c>
      <c r="E299" s="28" t="s">
        <v>5469</v>
      </c>
      <c r="F299" s="108">
        <v>45457</v>
      </c>
      <c r="G299" s="109">
        <v>0.79236111111111107</v>
      </c>
      <c r="H299" s="124" t="s">
        <v>5448</v>
      </c>
      <c r="I299" s="124"/>
      <c r="J299" s="124"/>
      <c r="K299" s="28"/>
      <c r="L299" s="28"/>
      <c r="M299" s="28" t="s">
        <v>20</v>
      </c>
      <c r="N299" s="162">
        <v>1500000</v>
      </c>
      <c r="O299" s="28" t="s">
        <v>20</v>
      </c>
      <c r="P299" s="28" t="s">
        <v>20</v>
      </c>
      <c r="Q299" s="28" t="s">
        <v>20</v>
      </c>
      <c r="R299" s="28" t="s">
        <v>20</v>
      </c>
      <c r="S299" s="28" t="s">
        <v>20</v>
      </c>
      <c r="T299" s="148" t="s">
        <v>20</v>
      </c>
    </row>
    <row r="300" spans="2:20" ht="19.5" x14ac:dyDescent="0.25">
      <c r="B300" s="146">
        <v>3627</v>
      </c>
      <c r="C300" s="146" t="s">
        <v>5773</v>
      </c>
      <c r="D300" s="28" t="s">
        <v>4825</v>
      </c>
      <c r="E300" s="26" t="s">
        <v>5794</v>
      </c>
      <c r="F300" s="108">
        <v>45457</v>
      </c>
      <c r="G300" s="109">
        <v>0.45416666666666666</v>
      </c>
      <c r="H300" s="28" t="s">
        <v>5796</v>
      </c>
      <c r="I300" s="26" t="s">
        <v>406</v>
      </c>
      <c r="J300" s="26"/>
      <c r="K300" s="26" t="s">
        <v>5623</v>
      </c>
      <c r="L300" s="28"/>
      <c r="M300" s="26" t="s">
        <v>20</v>
      </c>
      <c r="N300" s="26" t="s">
        <v>20</v>
      </c>
      <c r="O300" s="26" t="s">
        <v>20</v>
      </c>
      <c r="P300" s="26" t="s">
        <v>20</v>
      </c>
      <c r="Q300" s="26" t="s">
        <v>20</v>
      </c>
      <c r="R300" s="26" t="s">
        <v>20</v>
      </c>
      <c r="S300" s="26" t="s">
        <v>20</v>
      </c>
      <c r="T300" s="242" t="s">
        <v>20</v>
      </c>
    </row>
    <row r="301" spans="2:20" ht="39" x14ac:dyDescent="0.35">
      <c r="B301" s="146">
        <v>3637</v>
      </c>
      <c r="C301" s="146" t="s">
        <v>5783</v>
      </c>
      <c r="D301" s="28" t="s">
        <v>4825</v>
      </c>
      <c r="E301" s="28" t="s">
        <v>5678</v>
      </c>
      <c r="F301" s="108">
        <v>45457</v>
      </c>
      <c r="G301" s="109">
        <v>0.70833333333333337</v>
      </c>
      <c r="H301" s="28" t="s">
        <v>5636</v>
      </c>
      <c r="I301" s="131"/>
      <c r="J301" s="131"/>
      <c r="K301" s="131"/>
      <c r="L301" s="104"/>
      <c r="M301" s="26" t="s">
        <v>5634</v>
      </c>
      <c r="N301" s="28" t="s">
        <v>1804</v>
      </c>
      <c r="O301" s="28" t="s">
        <v>20</v>
      </c>
      <c r="P301" s="28" t="s">
        <v>20</v>
      </c>
      <c r="Q301" s="28" t="s">
        <v>20</v>
      </c>
      <c r="R301" s="28" t="s">
        <v>20</v>
      </c>
      <c r="S301" s="28" t="s">
        <v>20</v>
      </c>
      <c r="T301" s="148" t="s">
        <v>20</v>
      </c>
    </row>
    <row r="302" spans="2:20" ht="54" x14ac:dyDescent="0.25">
      <c r="B302" s="146">
        <v>2828</v>
      </c>
      <c r="C302" s="146" t="s">
        <v>5886</v>
      </c>
      <c r="D302" s="222" t="s">
        <v>5725</v>
      </c>
      <c r="E302" s="222" t="s">
        <v>5725</v>
      </c>
      <c r="F302" s="223">
        <v>45457</v>
      </c>
      <c r="G302" s="225" t="s">
        <v>5877</v>
      </c>
      <c r="H302" s="225" t="s">
        <v>5881</v>
      </c>
      <c r="I302" s="225"/>
      <c r="J302" s="225"/>
      <c r="K302" s="225"/>
      <c r="L302" s="225"/>
      <c r="M302" s="225" t="s">
        <v>269</v>
      </c>
      <c r="N302" s="225" t="s">
        <v>211</v>
      </c>
      <c r="O302" s="225" t="s">
        <v>341</v>
      </c>
      <c r="P302" s="225" t="s">
        <v>341</v>
      </c>
      <c r="Q302" s="225" t="s">
        <v>341</v>
      </c>
      <c r="R302" s="225" t="s">
        <v>341</v>
      </c>
      <c r="S302" s="225" t="s">
        <v>341</v>
      </c>
      <c r="T302" s="227" t="s">
        <v>341</v>
      </c>
    </row>
    <row r="303" spans="2:20" ht="58.5" x14ac:dyDescent="0.25">
      <c r="B303" s="146">
        <v>1481</v>
      </c>
      <c r="C303" s="146">
        <v>47</v>
      </c>
      <c r="D303" s="28" t="s">
        <v>93</v>
      </c>
      <c r="E303" s="28" t="s">
        <v>584</v>
      </c>
      <c r="F303" s="108">
        <v>45457</v>
      </c>
      <c r="G303" s="109">
        <v>7.1782407407407406E-2</v>
      </c>
      <c r="H303" s="124" t="s">
        <v>2766</v>
      </c>
      <c r="I303" s="124" t="s">
        <v>406</v>
      </c>
      <c r="J303" s="124" t="s">
        <v>406</v>
      </c>
      <c r="K303" s="28" t="s">
        <v>3630</v>
      </c>
      <c r="L303" s="28"/>
      <c r="M303" s="28">
        <v>10000</v>
      </c>
      <c r="N303" s="28">
        <v>30000</v>
      </c>
      <c r="O303" s="28" t="s">
        <v>75</v>
      </c>
      <c r="P303" s="28" t="s">
        <v>75</v>
      </c>
      <c r="Q303" s="28" t="s">
        <v>75</v>
      </c>
      <c r="R303" s="28" t="s">
        <v>75</v>
      </c>
      <c r="S303" s="28" t="s">
        <v>75</v>
      </c>
      <c r="T303" s="148" t="s">
        <v>75</v>
      </c>
    </row>
    <row r="304" spans="2:20" ht="58.5" x14ac:dyDescent="0.25">
      <c r="B304" s="146">
        <v>1482</v>
      </c>
      <c r="C304" s="146">
        <v>48</v>
      </c>
      <c r="D304" s="28" t="s">
        <v>93</v>
      </c>
      <c r="E304" s="28" t="s">
        <v>584</v>
      </c>
      <c r="F304" s="108">
        <v>45457</v>
      </c>
      <c r="G304" s="109">
        <v>7.194444444444445E-2</v>
      </c>
      <c r="H304" s="124" t="s">
        <v>2767</v>
      </c>
      <c r="I304" s="124" t="s">
        <v>2768</v>
      </c>
      <c r="J304" s="124" t="s">
        <v>385</v>
      </c>
      <c r="K304" s="28" t="s">
        <v>2769</v>
      </c>
      <c r="L304" s="28"/>
      <c r="M304" s="28">
        <v>70000</v>
      </c>
      <c r="N304" s="28">
        <v>5000000</v>
      </c>
      <c r="O304" s="28" t="s">
        <v>75</v>
      </c>
      <c r="P304" s="28" t="s">
        <v>75</v>
      </c>
      <c r="Q304" s="28" t="s">
        <v>75</v>
      </c>
      <c r="R304" s="28" t="s">
        <v>75</v>
      </c>
      <c r="S304" s="28">
        <v>2</v>
      </c>
      <c r="T304" s="148" t="s">
        <v>75</v>
      </c>
    </row>
    <row r="305" spans="2:20" ht="39" x14ac:dyDescent="0.25">
      <c r="B305" s="146">
        <v>1483</v>
      </c>
      <c r="C305" s="146">
        <v>49</v>
      </c>
      <c r="D305" s="28" t="s">
        <v>93</v>
      </c>
      <c r="E305" s="28" t="s">
        <v>584</v>
      </c>
      <c r="F305" s="108">
        <v>45457</v>
      </c>
      <c r="G305" s="109">
        <v>0.56597222222222221</v>
      </c>
      <c r="H305" s="124" t="s">
        <v>2770</v>
      </c>
      <c r="I305" s="124" t="s">
        <v>406</v>
      </c>
      <c r="J305" s="124" t="s">
        <v>406</v>
      </c>
      <c r="K305" s="28" t="s">
        <v>2637</v>
      </c>
      <c r="L305" s="28"/>
      <c r="M305" s="28">
        <v>5000</v>
      </c>
      <c r="N305" s="28">
        <v>15000</v>
      </c>
      <c r="O305" s="28" t="s">
        <v>75</v>
      </c>
      <c r="P305" s="28" t="s">
        <v>75</v>
      </c>
      <c r="Q305" s="28" t="s">
        <v>75</v>
      </c>
      <c r="R305" s="28" t="s">
        <v>75</v>
      </c>
      <c r="S305" s="28" t="s">
        <v>75</v>
      </c>
      <c r="T305" s="148" t="s">
        <v>75</v>
      </c>
    </row>
    <row r="306" spans="2:20" ht="156" x14ac:dyDescent="0.25">
      <c r="B306" s="146">
        <v>2308</v>
      </c>
      <c r="C306" s="146">
        <v>31</v>
      </c>
      <c r="D306" s="28" t="s">
        <v>4832</v>
      </c>
      <c r="E306" s="28" t="s">
        <v>4832</v>
      </c>
      <c r="F306" s="108">
        <v>45458</v>
      </c>
      <c r="G306" s="109">
        <v>0.5083333333333333</v>
      </c>
      <c r="H306" s="124" t="s">
        <v>5561</v>
      </c>
      <c r="I306" s="124"/>
      <c r="J306" s="124"/>
      <c r="K306" s="28"/>
      <c r="L306" s="28"/>
      <c r="M306" s="162">
        <v>10000</v>
      </c>
      <c r="N306" s="162">
        <v>2990000</v>
      </c>
      <c r="O306" s="28" t="s">
        <v>20</v>
      </c>
      <c r="P306" s="28" t="s">
        <v>20</v>
      </c>
      <c r="Q306" s="28" t="s">
        <v>20</v>
      </c>
      <c r="R306" s="28" t="s">
        <v>20</v>
      </c>
      <c r="S306" s="28" t="s">
        <v>20</v>
      </c>
      <c r="T306" s="148" t="s">
        <v>20</v>
      </c>
    </row>
    <row r="307" spans="2:20" ht="156" x14ac:dyDescent="0.25">
      <c r="B307" s="146">
        <v>2309</v>
      </c>
      <c r="C307" s="146">
        <v>32</v>
      </c>
      <c r="D307" s="28" t="s">
        <v>4832</v>
      </c>
      <c r="E307" s="28" t="s">
        <v>4832</v>
      </c>
      <c r="F307" s="108">
        <v>45458</v>
      </c>
      <c r="G307" s="109">
        <v>0.58194444444444449</v>
      </c>
      <c r="H307" s="124" t="s">
        <v>5562</v>
      </c>
      <c r="I307" s="124"/>
      <c r="J307" s="124"/>
      <c r="K307" s="28"/>
      <c r="L307" s="28"/>
      <c r="M307" s="162">
        <v>10000</v>
      </c>
      <c r="N307" s="162">
        <v>990000</v>
      </c>
      <c r="O307" s="28" t="s">
        <v>20</v>
      </c>
      <c r="P307" s="28" t="s">
        <v>20</v>
      </c>
      <c r="Q307" s="28" t="s">
        <v>20</v>
      </c>
      <c r="R307" s="28" t="s">
        <v>20</v>
      </c>
      <c r="S307" s="28" t="s">
        <v>20</v>
      </c>
      <c r="T307" s="148" t="s">
        <v>20</v>
      </c>
    </row>
    <row r="308" spans="2:20" ht="175.5" x14ac:dyDescent="0.25">
      <c r="B308" s="146">
        <v>2310</v>
      </c>
      <c r="C308" s="146">
        <v>33</v>
      </c>
      <c r="D308" s="28" t="s">
        <v>4832</v>
      </c>
      <c r="E308" s="28" t="s">
        <v>4832</v>
      </c>
      <c r="F308" s="108">
        <v>45458</v>
      </c>
      <c r="G308" s="109">
        <v>0.61458333333333337</v>
      </c>
      <c r="H308" s="124" t="s">
        <v>5563</v>
      </c>
      <c r="I308" s="124"/>
      <c r="J308" s="124"/>
      <c r="K308" s="28"/>
      <c r="L308" s="28"/>
      <c r="M308" s="162">
        <v>10000</v>
      </c>
      <c r="N308" s="162">
        <v>2990000</v>
      </c>
      <c r="O308" s="28" t="s">
        <v>20</v>
      </c>
      <c r="P308" s="28" t="s">
        <v>20</v>
      </c>
      <c r="Q308" s="28" t="s">
        <v>20</v>
      </c>
      <c r="R308" s="28" t="s">
        <v>20</v>
      </c>
      <c r="S308" s="28" t="s">
        <v>20</v>
      </c>
      <c r="T308" s="148" t="s">
        <v>20</v>
      </c>
    </row>
    <row r="309" spans="2:20" ht="273" x14ac:dyDescent="0.25">
      <c r="B309" s="146">
        <v>2328</v>
      </c>
      <c r="C309" s="146">
        <v>51</v>
      </c>
      <c r="D309" s="28" t="s">
        <v>4832</v>
      </c>
      <c r="E309" s="28" t="s">
        <v>5610</v>
      </c>
      <c r="F309" s="108">
        <v>45458</v>
      </c>
      <c r="G309" s="109">
        <v>0.5444444444444444</v>
      </c>
      <c r="H309" s="124" t="s">
        <v>5730</v>
      </c>
      <c r="I309" s="124"/>
      <c r="J309" s="124"/>
      <c r="K309" s="28"/>
      <c r="L309" s="28"/>
      <c r="M309" s="28" t="s">
        <v>5589</v>
      </c>
      <c r="N309" s="28" t="s">
        <v>5590</v>
      </c>
      <c r="O309" s="28" t="s">
        <v>20</v>
      </c>
      <c r="P309" s="28" t="s">
        <v>20</v>
      </c>
      <c r="Q309" s="28" t="s">
        <v>20</v>
      </c>
      <c r="R309" s="28" t="s">
        <v>20</v>
      </c>
      <c r="S309" s="28" t="s">
        <v>20</v>
      </c>
      <c r="T309" s="148" t="s">
        <v>20</v>
      </c>
    </row>
    <row r="310" spans="2:20" ht="273" x14ac:dyDescent="0.25">
      <c r="B310" s="146">
        <v>2329</v>
      </c>
      <c r="C310" s="146">
        <v>52</v>
      </c>
      <c r="D310" s="28" t="s">
        <v>4832</v>
      </c>
      <c r="E310" s="28" t="s">
        <v>5610</v>
      </c>
      <c r="F310" s="108">
        <v>45458</v>
      </c>
      <c r="G310" s="109">
        <v>0.65</v>
      </c>
      <c r="H310" s="124" t="s">
        <v>5591</v>
      </c>
      <c r="I310" s="124"/>
      <c r="J310" s="124"/>
      <c r="K310" s="28"/>
      <c r="L310" s="28"/>
      <c r="M310" s="28" t="s">
        <v>5578</v>
      </c>
      <c r="N310" s="28" t="s">
        <v>5592</v>
      </c>
      <c r="O310" s="28" t="s">
        <v>20</v>
      </c>
      <c r="P310" s="28" t="s">
        <v>20</v>
      </c>
      <c r="Q310" s="28" t="s">
        <v>20</v>
      </c>
      <c r="R310" s="28" t="s">
        <v>20</v>
      </c>
      <c r="S310" s="28" t="s">
        <v>20</v>
      </c>
      <c r="T310" s="148" t="s">
        <v>20</v>
      </c>
    </row>
    <row r="311" spans="2:20" ht="39" x14ac:dyDescent="0.25">
      <c r="B311" s="146">
        <v>1022</v>
      </c>
      <c r="C311" s="146">
        <v>522</v>
      </c>
      <c r="D311" s="28" t="s">
        <v>321</v>
      </c>
      <c r="E311" s="28" t="s">
        <v>307</v>
      </c>
      <c r="F311" s="108">
        <v>45458</v>
      </c>
      <c r="G311" s="109">
        <v>0.64930555555555558</v>
      </c>
      <c r="H311" s="124" t="s">
        <v>4415</v>
      </c>
      <c r="I311" s="124" t="s">
        <v>507</v>
      </c>
      <c r="J311" s="124"/>
      <c r="K311" s="28" t="s">
        <v>499</v>
      </c>
      <c r="L311" s="28"/>
      <c r="M311" s="28">
        <v>10000</v>
      </c>
      <c r="N311" s="28">
        <v>200000</v>
      </c>
      <c r="O311" s="28" t="s">
        <v>20</v>
      </c>
      <c r="P311" s="28" t="s">
        <v>20</v>
      </c>
      <c r="Q311" s="28" t="s">
        <v>20</v>
      </c>
      <c r="R311" s="28" t="s">
        <v>20</v>
      </c>
      <c r="S311" s="28" t="s">
        <v>20</v>
      </c>
      <c r="T311" s="148" t="s">
        <v>20</v>
      </c>
    </row>
    <row r="312" spans="2:20" ht="19.5" x14ac:dyDescent="0.25">
      <c r="B312" s="146">
        <v>1034</v>
      </c>
      <c r="C312" s="146">
        <v>534</v>
      </c>
      <c r="D312" s="28" t="s">
        <v>321</v>
      </c>
      <c r="E312" s="28" t="s">
        <v>3685</v>
      </c>
      <c r="F312" s="108">
        <v>45458</v>
      </c>
      <c r="G312" s="109">
        <v>0.33194444444444443</v>
      </c>
      <c r="H312" s="124" t="s">
        <v>4421</v>
      </c>
      <c r="I312" s="124" t="s">
        <v>496</v>
      </c>
      <c r="J312" s="124"/>
      <c r="K312" s="28" t="s">
        <v>4422</v>
      </c>
      <c r="L312" s="28" t="s">
        <v>2002</v>
      </c>
      <c r="M312" s="28" t="s">
        <v>3674</v>
      </c>
      <c r="N312" s="28" t="s">
        <v>3674</v>
      </c>
      <c r="O312" s="28" t="s">
        <v>20</v>
      </c>
      <c r="P312" s="28" t="s">
        <v>20</v>
      </c>
      <c r="Q312" s="28" t="s">
        <v>20</v>
      </c>
      <c r="R312" s="28" t="s">
        <v>20</v>
      </c>
      <c r="S312" s="28" t="s">
        <v>20</v>
      </c>
      <c r="T312" s="148" t="s">
        <v>20</v>
      </c>
    </row>
    <row r="313" spans="2:20" ht="78" x14ac:dyDescent="0.25">
      <c r="B313" s="146">
        <v>1789</v>
      </c>
      <c r="C313" s="146">
        <v>16</v>
      </c>
      <c r="D313" s="28" t="s">
        <v>4777</v>
      </c>
      <c r="E313" s="28" t="s">
        <v>4780</v>
      </c>
      <c r="F313" s="108">
        <v>45458</v>
      </c>
      <c r="G313" s="109">
        <v>0.56527777777777777</v>
      </c>
      <c r="H313" s="124" t="s">
        <v>4818</v>
      </c>
      <c r="I313" s="124"/>
      <c r="J313" s="124"/>
      <c r="K313" s="28"/>
      <c r="L313" s="28"/>
      <c r="M313" s="28">
        <v>10000</v>
      </c>
      <c r="N313" s="28">
        <v>50000</v>
      </c>
      <c r="O313" s="28" t="s">
        <v>20</v>
      </c>
      <c r="P313" s="28" t="s">
        <v>20</v>
      </c>
      <c r="Q313" s="28" t="s">
        <v>20</v>
      </c>
      <c r="R313" s="28" t="s">
        <v>20</v>
      </c>
      <c r="S313" s="28" t="s">
        <v>20</v>
      </c>
      <c r="T313" s="148" t="s">
        <v>20</v>
      </c>
    </row>
    <row r="314" spans="2:20" ht="78" x14ac:dyDescent="0.25">
      <c r="B314" s="146">
        <v>2347</v>
      </c>
      <c r="C314" s="146" t="s">
        <v>5739</v>
      </c>
      <c r="D314" s="28" t="s">
        <v>1789</v>
      </c>
      <c r="E314" s="124" t="s">
        <v>4908</v>
      </c>
      <c r="F314" s="108">
        <v>45458</v>
      </c>
      <c r="G314" s="109"/>
      <c r="H314" s="124"/>
      <c r="I314" s="124" t="s">
        <v>5810</v>
      </c>
      <c r="J314" s="124" t="s">
        <v>4168</v>
      </c>
      <c r="K314" s="28"/>
      <c r="L314" s="28"/>
      <c r="M314" s="28"/>
      <c r="N314" s="28"/>
      <c r="O314" s="28"/>
      <c r="P314" s="28"/>
      <c r="Q314" s="28"/>
      <c r="R314" s="28"/>
      <c r="S314" s="28"/>
      <c r="T314" s="148"/>
    </row>
    <row r="315" spans="2:20" ht="78" x14ac:dyDescent="0.25">
      <c r="B315" s="146">
        <v>2348</v>
      </c>
      <c r="C315" s="146" t="s">
        <v>5740</v>
      </c>
      <c r="D315" s="28" t="s">
        <v>1789</v>
      </c>
      <c r="E315" s="124" t="s">
        <v>4908</v>
      </c>
      <c r="F315" s="108">
        <v>45458</v>
      </c>
      <c r="G315" s="109"/>
      <c r="H315" s="124"/>
      <c r="I315" s="124" t="s">
        <v>5810</v>
      </c>
      <c r="J315" s="124" t="s">
        <v>4168</v>
      </c>
      <c r="K315" s="28"/>
      <c r="L315" s="28"/>
      <c r="M315" s="28"/>
      <c r="N315" s="28"/>
      <c r="O315" s="28"/>
      <c r="P315" s="28"/>
      <c r="Q315" s="28"/>
      <c r="R315" s="28"/>
      <c r="S315" s="28"/>
      <c r="T315" s="148"/>
    </row>
    <row r="316" spans="2:20" ht="78" x14ac:dyDescent="0.25">
      <c r="B316" s="146">
        <v>2349</v>
      </c>
      <c r="C316" s="146" t="s">
        <v>5741</v>
      </c>
      <c r="D316" s="28" t="s">
        <v>1789</v>
      </c>
      <c r="E316" s="124" t="s">
        <v>4908</v>
      </c>
      <c r="F316" s="108">
        <v>45458</v>
      </c>
      <c r="G316" s="109"/>
      <c r="H316" s="124"/>
      <c r="I316" s="124" t="s">
        <v>5810</v>
      </c>
      <c r="J316" s="124" t="s">
        <v>4168</v>
      </c>
      <c r="K316" s="28"/>
      <c r="L316" s="28"/>
      <c r="M316" s="28"/>
      <c r="N316" s="28"/>
      <c r="O316" s="28"/>
      <c r="P316" s="28"/>
      <c r="Q316" s="28"/>
      <c r="R316" s="28"/>
      <c r="S316" s="28"/>
      <c r="T316" s="148"/>
    </row>
    <row r="317" spans="2:20" ht="19.5" x14ac:dyDescent="0.25">
      <c r="B317" s="146">
        <v>381</v>
      </c>
      <c r="C317" s="146">
        <v>45</v>
      </c>
      <c r="D317" s="28" t="s">
        <v>1789</v>
      </c>
      <c r="E317" s="28" t="s">
        <v>1789</v>
      </c>
      <c r="F317" s="108">
        <v>45458</v>
      </c>
      <c r="G317" s="109">
        <v>0.37013888888888891</v>
      </c>
      <c r="H317" s="124" t="s">
        <v>2368</v>
      </c>
      <c r="I317" s="124" t="s">
        <v>2162</v>
      </c>
      <c r="J317" s="124" t="s">
        <v>1904</v>
      </c>
      <c r="K317" s="28" t="s">
        <v>2165</v>
      </c>
      <c r="L317" s="28"/>
      <c r="M317" s="28">
        <v>10000</v>
      </c>
      <c r="N317" s="28">
        <v>40000</v>
      </c>
      <c r="O317" s="28" t="s">
        <v>20</v>
      </c>
      <c r="P317" s="28" t="s">
        <v>20</v>
      </c>
      <c r="Q317" s="28" t="s">
        <v>20</v>
      </c>
      <c r="R317" s="28" t="s">
        <v>20</v>
      </c>
      <c r="S317" s="28" t="s">
        <v>20</v>
      </c>
      <c r="T317" s="148" t="s">
        <v>20</v>
      </c>
    </row>
    <row r="318" spans="2:20" ht="19.5" x14ac:dyDescent="0.25">
      <c r="B318" s="146">
        <v>382</v>
      </c>
      <c r="C318" s="146">
        <v>46</v>
      </c>
      <c r="D318" s="28" t="s">
        <v>1789</v>
      </c>
      <c r="E318" s="28" t="s">
        <v>1789</v>
      </c>
      <c r="F318" s="108">
        <v>45458</v>
      </c>
      <c r="G318" s="109">
        <v>0.49305555555555558</v>
      </c>
      <c r="H318" s="124" t="s">
        <v>2369</v>
      </c>
      <c r="I318" s="124" t="s">
        <v>2334</v>
      </c>
      <c r="J318" s="124" t="s">
        <v>385</v>
      </c>
      <c r="K318" s="28" t="s">
        <v>2369</v>
      </c>
      <c r="L318" s="28"/>
      <c r="M318" s="28">
        <v>200000</v>
      </c>
      <c r="N318" s="28">
        <v>4800000</v>
      </c>
      <c r="O318" s="28" t="s">
        <v>20</v>
      </c>
      <c r="P318" s="28" t="s">
        <v>20</v>
      </c>
      <c r="Q318" s="28" t="s">
        <v>20</v>
      </c>
      <c r="R318" s="28" t="s">
        <v>20</v>
      </c>
      <c r="S318" s="28" t="s">
        <v>20</v>
      </c>
      <c r="T318" s="148" t="s">
        <v>20</v>
      </c>
    </row>
    <row r="319" spans="2:20" ht="19.5" x14ac:dyDescent="0.25">
      <c r="B319" s="146">
        <v>383</v>
      </c>
      <c r="C319" s="146">
        <v>47</v>
      </c>
      <c r="D319" s="28" t="s">
        <v>1789</v>
      </c>
      <c r="E319" s="28" t="s">
        <v>1789</v>
      </c>
      <c r="F319" s="108">
        <v>45458</v>
      </c>
      <c r="G319" s="109">
        <v>0.56458333333333333</v>
      </c>
      <c r="H319" s="124" t="s">
        <v>2370</v>
      </c>
      <c r="I319" s="124" t="s">
        <v>2162</v>
      </c>
      <c r="J319" s="124" t="s">
        <v>1904</v>
      </c>
      <c r="K319" s="28" t="s">
        <v>2371</v>
      </c>
      <c r="L319" s="28"/>
      <c r="M319" s="28">
        <v>10000</v>
      </c>
      <c r="N319" s="28">
        <v>40000</v>
      </c>
      <c r="O319" s="28" t="s">
        <v>20</v>
      </c>
      <c r="P319" s="28" t="s">
        <v>20</v>
      </c>
      <c r="Q319" s="28" t="s">
        <v>20</v>
      </c>
      <c r="R319" s="28" t="s">
        <v>20</v>
      </c>
      <c r="S319" s="28" t="s">
        <v>20</v>
      </c>
      <c r="T319" s="148" t="s">
        <v>20</v>
      </c>
    </row>
    <row r="320" spans="2:20" ht="19.5" x14ac:dyDescent="0.25">
      <c r="B320" s="146">
        <v>384</v>
      </c>
      <c r="C320" s="146">
        <v>48</v>
      </c>
      <c r="D320" s="28" t="s">
        <v>1789</v>
      </c>
      <c r="E320" s="28" t="s">
        <v>1789</v>
      </c>
      <c r="F320" s="108">
        <v>45458</v>
      </c>
      <c r="G320" s="109">
        <v>0.5708333333333333</v>
      </c>
      <c r="H320" s="124" t="s">
        <v>2372</v>
      </c>
      <c r="I320" s="124" t="s">
        <v>2162</v>
      </c>
      <c r="J320" s="124" t="s">
        <v>1904</v>
      </c>
      <c r="K320" s="28" t="s">
        <v>2373</v>
      </c>
      <c r="L320" s="28"/>
      <c r="M320" s="28">
        <v>20000</v>
      </c>
      <c r="N320" s="28">
        <v>80000</v>
      </c>
      <c r="O320" s="28" t="s">
        <v>20</v>
      </c>
      <c r="P320" s="28" t="s">
        <v>20</v>
      </c>
      <c r="Q320" s="28" t="s">
        <v>20</v>
      </c>
      <c r="R320" s="28" t="s">
        <v>20</v>
      </c>
      <c r="S320" s="28" t="s">
        <v>20</v>
      </c>
      <c r="T320" s="148" t="s">
        <v>20</v>
      </c>
    </row>
    <row r="321" spans="2:20" ht="19.5" x14ac:dyDescent="0.25">
      <c r="B321" s="146">
        <v>385</v>
      </c>
      <c r="C321" s="146">
        <v>49</v>
      </c>
      <c r="D321" s="28" t="s">
        <v>1789</v>
      </c>
      <c r="E321" s="28" t="s">
        <v>1789</v>
      </c>
      <c r="F321" s="108">
        <v>45458</v>
      </c>
      <c r="G321" s="109">
        <v>0.59305555555555556</v>
      </c>
      <c r="H321" s="124" t="s">
        <v>2372</v>
      </c>
      <c r="I321" s="124" t="s">
        <v>2162</v>
      </c>
      <c r="J321" s="124" t="s">
        <v>1904</v>
      </c>
      <c r="K321" s="28" t="s">
        <v>2374</v>
      </c>
      <c r="L321" s="28"/>
      <c r="M321" s="28">
        <v>5000</v>
      </c>
      <c r="N321" s="28">
        <v>15000</v>
      </c>
      <c r="O321" s="28" t="s">
        <v>20</v>
      </c>
      <c r="P321" s="28" t="s">
        <v>20</v>
      </c>
      <c r="Q321" s="28" t="s">
        <v>20</v>
      </c>
      <c r="R321" s="28" t="s">
        <v>20</v>
      </c>
      <c r="S321" s="28" t="s">
        <v>20</v>
      </c>
      <c r="T321" s="148" t="s">
        <v>20</v>
      </c>
    </row>
    <row r="322" spans="2:20" ht="19.5" x14ac:dyDescent="0.25">
      <c r="B322" s="146">
        <v>386</v>
      </c>
      <c r="C322" s="146">
        <v>50</v>
      </c>
      <c r="D322" s="28" t="s">
        <v>1789</v>
      </c>
      <c r="E322" s="28" t="s">
        <v>1789</v>
      </c>
      <c r="F322" s="108">
        <v>45458</v>
      </c>
      <c r="G322" s="109">
        <v>0.88958333333333328</v>
      </c>
      <c r="H322" s="124" t="s">
        <v>2375</v>
      </c>
      <c r="I322" s="124" t="s">
        <v>2334</v>
      </c>
      <c r="J322" s="124" t="s">
        <v>385</v>
      </c>
      <c r="K322" s="28" t="s">
        <v>2376</v>
      </c>
      <c r="L322" s="28"/>
      <c r="M322" s="28">
        <v>10000</v>
      </c>
      <c r="N322" s="28">
        <v>90000</v>
      </c>
      <c r="O322" s="28" t="s">
        <v>20</v>
      </c>
      <c r="P322" s="28" t="s">
        <v>20</v>
      </c>
      <c r="Q322" s="28" t="s">
        <v>20</v>
      </c>
      <c r="R322" s="28" t="s">
        <v>20</v>
      </c>
      <c r="S322" s="28" t="s">
        <v>20</v>
      </c>
      <c r="T322" s="148" t="s">
        <v>20</v>
      </c>
    </row>
    <row r="323" spans="2:20" ht="19.5" x14ac:dyDescent="0.25">
      <c r="B323" s="146">
        <v>387</v>
      </c>
      <c r="C323" s="146">
        <v>51</v>
      </c>
      <c r="D323" s="28" t="s">
        <v>1789</v>
      </c>
      <c r="E323" s="28" t="s">
        <v>1789</v>
      </c>
      <c r="F323" s="108">
        <v>45458</v>
      </c>
      <c r="G323" s="109">
        <v>0.95208333333333328</v>
      </c>
      <c r="H323" s="124" t="s">
        <v>2372</v>
      </c>
      <c r="I323" s="124" t="s">
        <v>2377</v>
      </c>
      <c r="J323" s="124" t="s">
        <v>385</v>
      </c>
      <c r="K323" s="28" t="s">
        <v>2378</v>
      </c>
      <c r="L323" s="28"/>
      <c r="M323" s="28">
        <v>0</v>
      </c>
      <c r="N323" s="28">
        <v>0</v>
      </c>
      <c r="O323" s="28" t="s">
        <v>20</v>
      </c>
      <c r="P323" s="28" t="s">
        <v>20</v>
      </c>
      <c r="Q323" s="28" t="s">
        <v>20</v>
      </c>
      <c r="R323" s="28" t="s">
        <v>20</v>
      </c>
      <c r="S323" s="28" t="s">
        <v>20</v>
      </c>
      <c r="T323" s="148" t="s">
        <v>20</v>
      </c>
    </row>
    <row r="324" spans="2:20" ht="117" x14ac:dyDescent="0.25">
      <c r="B324" s="146">
        <v>2195</v>
      </c>
      <c r="C324" s="146">
        <v>218</v>
      </c>
      <c r="D324" s="28" t="s">
        <v>5357</v>
      </c>
      <c r="E324" s="28" t="s">
        <v>5474</v>
      </c>
      <c r="F324" s="108">
        <v>45458</v>
      </c>
      <c r="G324" s="109" t="s">
        <v>5458</v>
      </c>
      <c r="H324" s="124" t="s">
        <v>5381</v>
      </c>
      <c r="I324" s="124" t="s">
        <v>406</v>
      </c>
      <c r="J324" s="124" t="s">
        <v>406</v>
      </c>
      <c r="K324" s="28" t="s">
        <v>5382</v>
      </c>
      <c r="L324" s="28"/>
      <c r="M324" s="28" t="s">
        <v>20</v>
      </c>
      <c r="N324" s="162">
        <v>2000</v>
      </c>
      <c r="O324" s="28" t="s">
        <v>20</v>
      </c>
      <c r="P324" s="28" t="s">
        <v>20</v>
      </c>
      <c r="Q324" s="28" t="s">
        <v>20</v>
      </c>
      <c r="R324" s="28" t="s">
        <v>20</v>
      </c>
      <c r="S324" s="28" t="s">
        <v>20</v>
      </c>
      <c r="T324" s="148" t="s">
        <v>20</v>
      </c>
    </row>
    <row r="325" spans="2:20" ht="117" x14ac:dyDescent="0.25">
      <c r="B325" s="146">
        <v>2252</v>
      </c>
      <c r="C325" s="146">
        <v>275</v>
      </c>
      <c r="D325" s="28" t="s">
        <v>5357</v>
      </c>
      <c r="E325" s="28" t="s">
        <v>5474</v>
      </c>
      <c r="F325" s="108">
        <v>45458</v>
      </c>
      <c r="G325" s="109" t="s">
        <v>5465</v>
      </c>
      <c r="H325" s="124" t="s">
        <v>5440</v>
      </c>
      <c r="I325" s="124"/>
      <c r="J325" s="124"/>
      <c r="K325" s="28"/>
      <c r="L325" s="28"/>
      <c r="M325" s="28" t="s">
        <v>20</v>
      </c>
      <c r="N325" s="162">
        <v>1500</v>
      </c>
      <c r="O325" s="28" t="s">
        <v>20</v>
      </c>
      <c r="P325" s="28" t="s">
        <v>20</v>
      </c>
      <c r="Q325" s="28" t="s">
        <v>20</v>
      </c>
      <c r="R325" s="28" t="s">
        <v>20</v>
      </c>
      <c r="S325" s="28" t="s">
        <v>20</v>
      </c>
      <c r="T325" s="148" t="s">
        <v>20</v>
      </c>
    </row>
    <row r="326" spans="2:20" ht="136.5" x14ac:dyDescent="0.25">
      <c r="B326" s="146">
        <v>2253</v>
      </c>
      <c r="C326" s="146">
        <v>276</v>
      </c>
      <c r="D326" s="28" t="s">
        <v>5357</v>
      </c>
      <c r="E326" s="28" t="s">
        <v>5474</v>
      </c>
      <c r="F326" s="108">
        <v>45458</v>
      </c>
      <c r="G326" s="109" t="s">
        <v>5455</v>
      </c>
      <c r="H326" s="124" t="s">
        <v>5441</v>
      </c>
      <c r="I326" s="124"/>
      <c r="J326" s="124"/>
      <c r="K326" s="28"/>
      <c r="L326" s="28"/>
      <c r="M326" s="162">
        <v>1000</v>
      </c>
      <c r="N326" s="162">
        <v>149000</v>
      </c>
      <c r="O326" s="28" t="s">
        <v>20</v>
      </c>
      <c r="P326" s="28" t="s">
        <v>20</v>
      </c>
      <c r="Q326" s="28" t="s">
        <v>20</v>
      </c>
      <c r="R326" s="28" t="s">
        <v>20</v>
      </c>
      <c r="S326" s="28" t="s">
        <v>20</v>
      </c>
      <c r="T326" s="148" t="s">
        <v>20</v>
      </c>
    </row>
    <row r="327" spans="2:20" ht="117" x14ac:dyDescent="0.25">
      <c r="B327" s="146">
        <v>2233</v>
      </c>
      <c r="C327" s="146">
        <v>256</v>
      </c>
      <c r="D327" s="28" t="s">
        <v>5357</v>
      </c>
      <c r="E327" s="28" t="s">
        <v>5475</v>
      </c>
      <c r="F327" s="108">
        <v>45458</v>
      </c>
      <c r="G327" s="109">
        <v>0.46319444444444446</v>
      </c>
      <c r="H327" s="124" t="s">
        <v>5422</v>
      </c>
      <c r="I327" s="124"/>
      <c r="J327" s="124"/>
      <c r="K327" s="28"/>
      <c r="L327" s="28"/>
      <c r="M327" s="28">
        <v>500</v>
      </c>
      <c r="N327" s="162">
        <v>999000</v>
      </c>
      <c r="O327" s="28" t="s">
        <v>20</v>
      </c>
      <c r="P327" s="28" t="s">
        <v>20</v>
      </c>
      <c r="Q327" s="28" t="s">
        <v>20</v>
      </c>
      <c r="R327" s="28" t="s">
        <v>20</v>
      </c>
      <c r="S327" s="28" t="s">
        <v>20</v>
      </c>
      <c r="T327" s="148" t="s">
        <v>20</v>
      </c>
    </row>
    <row r="328" spans="2:20" ht="78" x14ac:dyDescent="0.25">
      <c r="B328" s="146">
        <v>2234</v>
      </c>
      <c r="C328" s="146">
        <v>257</v>
      </c>
      <c r="D328" s="28" t="s">
        <v>5357</v>
      </c>
      <c r="E328" s="28" t="s">
        <v>5475</v>
      </c>
      <c r="F328" s="108">
        <v>45458</v>
      </c>
      <c r="G328" s="109">
        <v>0.8041666666666667</v>
      </c>
      <c r="H328" s="124" t="s">
        <v>5423</v>
      </c>
      <c r="I328" s="124"/>
      <c r="J328" s="124"/>
      <c r="K328" s="28"/>
      <c r="L328" s="28"/>
      <c r="M328" s="28" t="s">
        <v>20</v>
      </c>
      <c r="N328" s="28">
        <v>500000</v>
      </c>
      <c r="O328" s="28" t="s">
        <v>20</v>
      </c>
      <c r="P328" s="28" t="s">
        <v>20</v>
      </c>
      <c r="Q328" s="28" t="s">
        <v>20</v>
      </c>
      <c r="R328" s="28" t="s">
        <v>20</v>
      </c>
      <c r="S328" s="28" t="s">
        <v>20</v>
      </c>
      <c r="T328" s="148" t="s">
        <v>20</v>
      </c>
    </row>
    <row r="329" spans="2:20" ht="136.5" x14ac:dyDescent="0.25">
      <c r="B329" s="146">
        <v>2235</v>
      </c>
      <c r="C329" s="146">
        <v>258</v>
      </c>
      <c r="D329" s="28" t="s">
        <v>5357</v>
      </c>
      <c r="E329" s="28" t="s">
        <v>5475</v>
      </c>
      <c r="F329" s="108">
        <v>45458</v>
      </c>
      <c r="G329" s="109">
        <v>0.88194444444444442</v>
      </c>
      <c r="H329" s="124" t="s">
        <v>5424</v>
      </c>
      <c r="I329" s="124"/>
      <c r="J329" s="124"/>
      <c r="K329" s="28"/>
      <c r="L329" s="28"/>
      <c r="M329" s="28">
        <v>500</v>
      </c>
      <c r="N329" s="162">
        <v>4999500</v>
      </c>
      <c r="O329" s="28" t="s">
        <v>20</v>
      </c>
      <c r="P329" s="28" t="s">
        <v>20</v>
      </c>
      <c r="Q329" s="28" t="s">
        <v>20</v>
      </c>
      <c r="R329" s="28" t="s">
        <v>20</v>
      </c>
      <c r="S329" s="28" t="s">
        <v>20</v>
      </c>
      <c r="T329" s="148" t="s">
        <v>20</v>
      </c>
    </row>
    <row r="330" spans="2:20" ht="78" x14ac:dyDescent="0.25">
      <c r="B330" s="146">
        <v>2236</v>
      </c>
      <c r="C330" s="146">
        <v>259</v>
      </c>
      <c r="D330" s="28" t="s">
        <v>5357</v>
      </c>
      <c r="E330" s="28" t="s">
        <v>5475</v>
      </c>
      <c r="F330" s="108">
        <v>45458</v>
      </c>
      <c r="G330" s="109">
        <v>0.97916666666666663</v>
      </c>
      <c r="H330" s="124" t="s">
        <v>5425</v>
      </c>
      <c r="I330" s="124"/>
      <c r="J330" s="124"/>
      <c r="K330" s="28"/>
      <c r="L330" s="28"/>
      <c r="M330" s="28" t="s">
        <v>20</v>
      </c>
      <c r="N330" s="28" t="s">
        <v>20</v>
      </c>
      <c r="O330" s="28" t="s">
        <v>20</v>
      </c>
      <c r="P330" s="28" t="s">
        <v>20</v>
      </c>
      <c r="Q330" s="28" t="s">
        <v>20</v>
      </c>
      <c r="R330" s="28" t="s">
        <v>20</v>
      </c>
      <c r="S330" s="28" t="s">
        <v>20</v>
      </c>
      <c r="T330" s="148" t="s">
        <v>20</v>
      </c>
    </row>
    <row r="331" spans="2:20" ht="39" x14ac:dyDescent="0.35">
      <c r="B331" s="146">
        <v>3638</v>
      </c>
      <c r="C331" s="146" t="s">
        <v>5784</v>
      </c>
      <c r="D331" s="28" t="s">
        <v>4825</v>
      </c>
      <c r="E331" s="28" t="s">
        <v>5678</v>
      </c>
      <c r="F331" s="108">
        <v>45458</v>
      </c>
      <c r="G331" s="109">
        <v>0.69027777777777777</v>
      </c>
      <c r="H331" s="28" t="s">
        <v>5637</v>
      </c>
      <c r="I331" s="131"/>
      <c r="J331" s="131"/>
      <c r="K331" s="131"/>
      <c r="L331" s="104"/>
      <c r="M331" s="26" t="s">
        <v>5634</v>
      </c>
      <c r="N331" s="28" t="s">
        <v>20</v>
      </c>
      <c r="O331" s="28" t="s">
        <v>20</v>
      </c>
      <c r="P331" s="28" t="s">
        <v>20</v>
      </c>
      <c r="Q331" s="28" t="s">
        <v>20</v>
      </c>
      <c r="R331" s="28" t="s">
        <v>20</v>
      </c>
      <c r="S331" s="28" t="s">
        <v>20</v>
      </c>
      <c r="T331" s="148" t="s">
        <v>20</v>
      </c>
    </row>
    <row r="332" spans="2:20" ht="39" x14ac:dyDescent="0.35">
      <c r="B332" s="146">
        <v>3639</v>
      </c>
      <c r="C332" s="146" t="s">
        <v>5785</v>
      </c>
      <c r="D332" s="28" t="s">
        <v>4825</v>
      </c>
      <c r="E332" s="28" t="s">
        <v>5678</v>
      </c>
      <c r="F332" s="108">
        <v>45458</v>
      </c>
      <c r="G332" s="109">
        <v>0.82291666666666663</v>
      </c>
      <c r="H332" s="28" t="s">
        <v>5638</v>
      </c>
      <c r="I332" s="131"/>
      <c r="J332" s="131"/>
      <c r="K332" s="131"/>
      <c r="L332" s="104"/>
      <c r="M332" s="26" t="s">
        <v>5634</v>
      </c>
      <c r="N332" s="28" t="s">
        <v>20</v>
      </c>
      <c r="O332" s="28" t="s">
        <v>20</v>
      </c>
      <c r="P332" s="28" t="s">
        <v>20</v>
      </c>
      <c r="Q332" s="28" t="s">
        <v>20</v>
      </c>
      <c r="R332" s="28" t="s">
        <v>20</v>
      </c>
      <c r="S332" s="28" t="s">
        <v>20</v>
      </c>
      <c r="T332" s="148" t="s">
        <v>20</v>
      </c>
    </row>
    <row r="333" spans="2:20" ht="58.5" x14ac:dyDescent="0.25">
      <c r="B333" s="146">
        <v>1462</v>
      </c>
      <c r="C333" s="146">
        <v>28</v>
      </c>
      <c r="D333" s="28" t="s">
        <v>93</v>
      </c>
      <c r="E333" s="28" t="s">
        <v>94</v>
      </c>
      <c r="F333" s="108">
        <v>45458</v>
      </c>
      <c r="G333" s="109">
        <v>0.1673611111111111</v>
      </c>
      <c r="H333" s="124" t="s">
        <v>2729</v>
      </c>
      <c r="I333" s="124" t="s">
        <v>2599</v>
      </c>
      <c r="J333" s="124" t="s">
        <v>385</v>
      </c>
      <c r="K333" s="28" t="s">
        <v>2730</v>
      </c>
      <c r="L333" s="28"/>
      <c r="M333" s="28">
        <v>1500</v>
      </c>
      <c r="N333" s="28">
        <v>1498500</v>
      </c>
      <c r="O333" s="28" t="s">
        <v>20</v>
      </c>
      <c r="P333" s="28" t="s">
        <v>20</v>
      </c>
      <c r="Q333" s="28" t="s">
        <v>20</v>
      </c>
      <c r="R333" s="28" t="s">
        <v>20</v>
      </c>
      <c r="S333" s="28" t="s">
        <v>20</v>
      </c>
      <c r="T333" s="148" t="s">
        <v>20</v>
      </c>
    </row>
    <row r="334" spans="2:20" ht="39" x14ac:dyDescent="0.25">
      <c r="B334" s="146">
        <v>1484</v>
      </c>
      <c r="C334" s="146">
        <v>50</v>
      </c>
      <c r="D334" s="28" t="s">
        <v>93</v>
      </c>
      <c r="E334" s="28" t="s">
        <v>584</v>
      </c>
      <c r="F334" s="108">
        <v>45458</v>
      </c>
      <c r="G334" s="109">
        <v>0.86944444444444446</v>
      </c>
      <c r="H334" s="124" t="s">
        <v>2771</v>
      </c>
      <c r="I334" s="124" t="s">
        <v>2559</v>
      </c>
      <c r="J334" s="124" t="s">
        <v>4168</v>
      </c>
      <c r="K334" s="28" t="s">
        <v>2772</v>
      </c>
      <c r="L334" s="28"/>
      <c r="M334" s="28" t="s">
        <v>75</v>
      </c>
      <c r="N334" s="28">
        <v>5000000</v>
      </c>
      <c r="O334" s="28" t="s">
        <v>75</v>
      </c>
      <c r="P334" s="28" t="s">
        <v>75</v>
      </c>
      <c r="Q334" s="28" t="s">
        <v>75</v>
      </c>
      <c r="R334" s="28" t="s">
        <v>75</v>
      </c>
      <c r="S334" s="28" t="s">
        <v>75</v>
      </c>
      <c r="T334" s="148" t="s">
        <v>75</v>
      </c>
    </row>
    <row r="335" spans="2:20" ht="39" x14ac:dyDescent="0.25">
      <c r="B335" s="146">
        <v>1485</v>
      </c>
      <c r="C335" s="146">
        <v>51</v>
      </c>
      <c r="D335" s="28" t="s">
        <v>93</v>
      </c>
      <c r="E335" s="28" t="s">
        <v>584</v>
      </c>
      <c r="F335" s="108">
        <v>45458</v>
      </c>
      <c r="G335" s="109">
        <v>0.5317708333333333</v>
      </c>
      <c r="H335" s="124" t="s">
        <v>2773</v>
      </c>
      <c r="I335" s="124" t="s">
        <v>2559</v>
      </c>
      <c r="J335" s="124" t="s">
        <v>4168</v>
      </c>
      <c r="K335" s="28" t="s">
        <v>2774</v>
      </c>
      <c r="L335" s="28"/>
      <c r="M335" s="28"/>
      <c r="N335" s="28">
        <v>1000000</v>
      </c>
      <c r="O335" s="28" t="s">
        <v>75</v>
      </c>
      <c r="P335" s="28" t="s">
        <v>75</v>
      </c>
      <c r="Q335" s="28" t="s">
        <v>75</v>
      </c>
      <c r="R335" s="28" t="s">
        <v>75</v>
      </c>
      <c r="S335" s="28" t="s">
        <v>75</v>
      </c>
      <c r="T335" s="148" t="s">
        <v>75</v>
      </c>
    </row>
    <row r="336" spans="2:20" ht="19.5" x14ac:dyDescent="0.25">
      <c r="B336" s="146">
        <v>2478</v>
      </c>
      <c r="C336" s="146" t="s">
        <v>5762</v>
      </c>
      <c r="D336" s="28" t="s">
        <v>1789</v>
      </c>
      <c r="E336" s="108" t="s">
        <v>5714</v>
      </c>
      <c r="F336" s="108">
        <v>45458</v>
      </c>
      <c r="G336" s="109">
        <v>0.4548611111111111</v>
      </c>
      <c r="H336" s="124"/>
      <c r="I336" s="124" t="s">
        <v>20</v>
      </c>
      <c r="J336" s="124" t="s">
        <v>2448</v>
      </c>
      <c r="K336" s="28" t="s">
        <v>2443</v>
      </c>
      <c r="L336" s="28"/>
      <c r="M336" s="28"/>
      <c r="N336" s="28"/>
      <c r="O336" s="28"/>
      <c r="P336" s="28"/>
      <c r="Q336" s="28"/>
      <c r="R336" s="28"/>
      <c r="S336" s="28"/>
      <c r="T336" s="148"/>
    </row>
    <row r="337" spans="2:20" ht="195" x14ac:dyDescent="0.25">
      <c r="B337" s="146">
        <v>2311</v>
      </c>
      <c r="C337" s="146">
        <v>34</v>
      </c>
      <c r="D337" s="28" t="s">
        <v>4832</v>
      </c>
      <c r="E337" s="28" t="s">
        <v>4832</v>
      </c>
      <c r="F337" s="108">
        <v>45459</v>
      </c>
      <c r="G337" s="109">
        <v>0.49930555555555556</v>
      </c>
      <c r="H337" s="124" t="s">
        <v>5564</v>
      </c>
      <c r="I337" s="124"/>
      <c r="J337" s="124"/>
      <c r="K337" s="28"/>
      <c r="L337" s="28"/>
      <c r="M337" s="162">
        <v>10000</v>
      </c>
      <c r="N337" s="162">
        <v>3490000</v>
      </c>
      <c r="O337" s="28" t="s">
        <v>20</v>
      </c>
      <c r="P337" s="28" t="s">
        <v>20</v>
      </c>
      <c r="Q337" s="28" t="s">
        <v>20</v>
      </c>
      <c r="R337" s="28" t="s">
        <v>20</v>
      </c>
      <c r="S337" s="28" t="s">
        <v>20</v>
      </c>
      <c r="T337" s="148" t="s">
        <v>20</v>
      </c>
    </row>
    <row r="338" spans="2:20" ht="175.5" x14ac:dyDescent="0.25">
      <c r="B338" s="146">
        <v>2312</v>
      </c>
      <c r="C338" s="146">
        <v>35</v>
      </c>
      <c r="D338" s="28" t="s">
        <v>4832</v>
      </c>
      <c r="E338" s="28" t="s">
        <v>4832</v>
      </c>
      <c r="F338" s="108">
        <v>45459</v>
      </c>
      <c r="G338" s="109">
        <v>0.52430555555555558</v>
      </c>
      <c r="H338" s="124" t="s">
        <v>5565</v>
      </c>
      <c r="I338" s="124"/>
      <c r="J338" s="124"/>
      <c r="K338" s="28"/>
      <c r="L338" s="28"/>
      <c r="M338" s="162">
        <v>10000</v>
      </c>
      <c r="N338" s="162">
        <v>1990000</v>
      </c>
      <c r="O338" s="28" t="s">
        <v>20</v>
      </c>
      <c r="P338" s="28" t="s">
        <v>20</v>
      </c>
      <c r="Q338" s="28" t="s">
        <v>20</v>
      </c>
      <c r="R338" s="28" t="s">
        <v>20</v>
      </c>
      <c r="S338" s="28" t="s">
        <v>20</v>
      </c>
      <c r="T338" s="148" t="s">
        <v>20</v>
      </c>
    </row>
    <row r="339" spans="2:20" ht="175.5" x14ac:dyDescent="0.25">
      <c r="B339" s="146">
        <v>2313</v>
      </c>
      <c r="C339" s="146">
        <v>36</v>
      </c>
      <c r="D339" s="28" t="s">
        <v>4832</v>
      </c>
      <c r="E339" s="28" t="s">
        <v>4832</v>
      </c>
      <c r="F339" s="108">
        <v>45459</v>
      </c>
      <c r="G339" s="109">
        <v>0.68680555555555556</v>
      </c>
      <c r="H339" s="124" t="s">
        <v>5566</v>
      </c>
      <c r="I339" s="124"/>
      <c r="J339" s="124"/>
      <c r="K339" s="28"/>
      <c r="L339" s="28"/>
      <c r="M339" s="162">
        <v>20000</v>
      </c>
      <c r="N339" s="162">
        <v>3980000</v>
      </c>
      <c r="O339" s="28" t="s">
        <v>20</v>
      </c>
      <c r="P339" s="28" t="s">
        <v>20</v>
      </c>
      <c r="Q339" s="28" t="s">
        <v>20</v>
      </c>
      <c r="R339" s="28" t="s">
        <v>20</v>
      </c>
      <c r="S339" s="28" t="s">
        <v>20</v>
      </c>
      <c r="T339" s="148" t="s">
        <v>20</v>
      </c>
    </row>
    <row r="340" spans="2:20" ht="253.5" x14ac:dyDescent="0.25">
      <c r="B340" s="146">
        <v>2299</v>
      </c>
      <c r="C340" s="146">
        <v>22</v>
      </c>
      <c r="D340" s="28" t="s">
        <v>4832</v>
      </c>
      <c r="E340" s="28" t="s">
        <v>5610</v>
      </c>
      <c r="F340" s="108">
        <v>45459</v>
      </c>
      <c r="G340" s="109">
        <v>0.83472222222222225</v>
      </c>
      <c r="H340" s="124" t="s">
        <v>5548</v>
      </c>
      <c r="I340" s="124" t="s">
        <v>5549</v>
      </c>
      <c r="J340" s="124"/>
      <c r="K340" s="28" t="s">
        <v>5550</v>
      </c>
      <c r="L340" s="28"/>
      <c r="M340" s="162">
        <v>100000</v>
      </c>
      <c r="N340" s="162">
        <v>4900000</v>
      </c>
      <c r="O340" s="28" t="s">
        <v>20</v>
      </c>
      <c r="P340" s="28" t="s">
        <v>20</v>
      </c>
      <c r="Q340" s="28" t="s">
        <v>20</v>
      </c>
      <c r="R340" s="28" t="s">
        <v>20</v>
      </c>
      <c r="S340" s="28" t="s">
        <v>20</v>
      </c>
      <c r="T340" s="148" t="s">
        <v>20</v>
      </c>
    </row>
    <row r="341" spans="2:20" ht="253.5" x14ac:dyDescent="0.25">
      <c r="B341" s="146">
        <v>2330</v>
      </c>
      <c r="C341" s="146">
        <v>53</v>
      </c>
      <c r="D341" s="28" t="s">
        <v>4832</v>
      </c>
      <c r="E341" s="28" t="s">
        <v>5610</v>
      </c>
      <c r="F341" s="108">
        <v>45459</v>
      </c>
      <c r="G341" s="109">
        <v>0.46597222222222223</v>
      </c>
      <c r="H341" s="124" t="s">
        <v>5593</v>
      </c>
      <c r="I341" s="124"/>
      <c r="J341" s="124"/>
      <c r="K341" s="28"/>
      <c r="L341" s="28"/>
      <c r="M341" s="28" t="s">
        <v>145</v>
      </c>
      <c r="N341" s="28" t="s">
        <v>5594</v>
      </c>
      <c r="O341" s="28" t="s">
        <v>20</v>
      </c>
      <c r="P341" s="28" t="s">
        <v>20</v>
      </c>
      <c r="Q341" s="28" t="s">
        <v>20</v>
      </c>
      <c r="R341" s="28" t="s">
        <v>20</v>
      </c>
      <c r="S341" s="28" t="s">
        <v>20</v>
      </c>
      <c r="T341" s="148" t="s">
        <v>20</v>
      </c>
    </row>
    <row r="342" spans="2:20" ht="292.5" x14ac:dyDescent="0.25">
      <c r="B342" s="146">
        <v>2331</v>
      </c>
      <c r="C342" s="146">
        <v>54</v>
      </c>
      <c r="D342" s="28" t="s">
        <v>4832</v>
      </c>
      <c r="E342" s="28" t="s">
        <v>5610</v>
      </c>
      <c r="F342" s="108">
        <v>45459</v>
      </c>
      <c r="G342" s="109">
        <v>0.67013888888888884</v>
      </c>
      <c r="H342" s="124" t="s">
        <v>5595</v>
      </c>
      <c r="I342" s="124"/>
      <c r="J342" s="124"/>
      <c r="K342" s="28"/>
      <c r="L342" s="28"/>
      <c r="M342" s="28" t="s">
        <v>157</v>
      </c>
      <c r="N342" s="28" t="s">
        <v>197</v>
      </c>
      <c r="O342" s="28" t="s">
        <v>20</v>
      </c>
      <c r="P342" s="28" t="s">
        <v>20</v>
      </c>
      <c r="Q342" s="28" t="s">
        <v>20</v>
      </c>
      <c r="R342" s="28" t="s">
        <v>20</v>
      </c>
      <c r="S342" s="28" t="s">
        <v>20</v>
      </c>
      <c r="T342" s="148" t="s">
        <v>20</v>
      </c>
    </row>
    <row r="343" spans="2:20" ht="58.5" x14ac:dyDescent="0.25">
      <c r="B343" s="146">
        <v>1003</v>
      </c>
      <c r="C343" s="146">
        <v>491</v>
      </c>
      <c r="D343" s="28" t="s">
        <v>321</v>
      </c>
      <c r="E343" s="28" t="s">
        <v>3776</v>
      </c>
      <c r="F343" s="108">
        <v>45459</v>
      </c>
      <c r="G343" s="109">
        <v>0.82638888888888884</v>
      </c>
      <c r="H343" s="124" t="s">
        <v>4378</v>
      </c>
      <c r="I343" s="124" t="s">
        <v>3656</v>
      </c>
      <c r="J343" s="124" t="s">
        <v>4168</v>
      </c>
      <c r="K343" s="28" t="s">
        <v>3911</v>
      </c>
      <c r="L343" s="28"/>
      <c r="M343" s="28">
        <v>2000</v>
      </c>
      <c r="N343" s="28">
        <v>98000</v>
      </c>
      <c r="O343" s="28" t="s">
        <v>20</v>
      </c>
      <c r="P343" s="28" t="s">
        <v>20</v>
      </c>
      <c r="Q343" s="28" t="s">
        <v>20</v>
      </c>
      <c r="R343" s="28" t="s">
        <v>20</v>
      </c>
      <c r="S343" s="28" t="s">
        <v>20</v>
      </c>
      <c r="T343" s="148" t="s">
        <v>20</v>
      </c>
    </row>
    <row r="344" spans="2:20" ht="58.5" x14ac:dyDescent="0.25">
      <c r="B344" s="146">
        <v>1048</v>
      </c>
      <c r="C344" s="146">
        <v>548</v>
      </c>
      <c r="D344" s="28" t="s">
        <v>321</v>
      </c>
      <c r="E344" s="28" t="s">
        <v>4111</v>
      </c>
      <c r="F344" s="108">
        <v>45459</v>
      </c>
      <c r="G344" s="109">
        <v>0.60069444444444442</v>
      </c>
      <c r="H344" s="124" t="s">
        <v>4443</v>
      </c>
      <c r="I344" s="124" t="s">
        <v>3752</v>
      </c>
      <c r="J344" s="124" t="s">
        <v>4168</v>
      </c>
      <c r="K344" s="28" t="s">
        <v>4193</v>
      </c>
      <c r="L344" s="28"/>
      <c r="M344" s="28" t="s">
        <v>341</v>
      </c>
      <c r="N344" s="28" t="s">
        <v>341</v>
      </c>
      <c r="O344" s="28" t="s">
        <v>20</v>
      </c>
      <c r="P344" s="28" t="s">
        <v>20</v>
      </c>
      <c r="Q344" s="28" t="s">
        <v>20</v>
      </c>
      <c r="R344" s="28" t="s">
        <v>20</v>
      </c>
      <c r="S344" s="28" t="s">
        <v>20</v>
      </c>
      <c r="T344" s="148" t="s">
        <v>20</v>
      </c>
    </row>
    <row r="345" spans="2:20" ht="97.5" x14ac:dyDescent="0.25">
      <c r="B345" s="146">
        <v>1779</v>
      </c>
      <c r="C345" s="146">
        <v>16</v>
      </c>
      <c r="D345" s="28" t="s">
        <v>4777</v>
      </c>
      <c r="E345" s="28" t="s">
        <v>4780</v>
      </c>
      <c r="F345" s="108">
        <v>45459</v>
      </c>
      <c r="G345" s="109">
        <v>0.43958333333333333</v>
      </c>
      <c r="H345" s="124" t="s">
        <v>4792</v>
      </c>
      <c r="I345" s="124" t="s">
        <v>4799</v>
      </c>
      <c r="J345" s="124" t="s">
        <v>406</v>
      </c>
      <c r="K345" s="28" t="s">
        <v>4803</v>
      </c>
      <c r="L345" s="28"/>
      <c r="M345" s="28">
        <v>2000</v>
      </c>
      <c r="N345" s="28">
        <v>48000</v>
      </c>
      <c r="O345" s="28" t="s">
        <v>20</v>
      </c>
      <c r="P345" s="28" t="s">
        <v>20</v>
      </c>
      <c r="Q345" s="28" t="s">
        <v>20</v>
      </c>
      <c r="R345" s="28" t="s">
        <v>20</v>
      </c>
      <c r="S345" s="28" t="s">
        <v>20</v>
      </c>
      <c r="T345" s="148" t="s">
        <v>20</v>
      </c>
    </row>
    <row r="346" spans="2:20" ht="19.5" x14ac:dyDescent="0.25">
      <c r="B346" s="146">
        <v>2350</v>
      </c>
      <c r="C346" s="146" t="s">
        <v>5742</v>
      </c>
      <c r="D346" s="28" t="s">
        <v>1789</v>
      </c>
      <c r="E346" s="124" t="s">
        <v>4908</v>
      </c>
      <c r="F346" s="108">
        <v>45459</v>
      </c>
      <c r="G346" s="109"/>
      <c r="H346" s="124"/>
      <c r="I346" s="124" t="s">
        <v>406</v>
      </c>
      <c r="J346" s="124" t="s">
        <v>406</v>
      </c>
      <c r="K346" s="28"/>
      <c r="L346" s="28"/>
      <c r="M346" s="28"/>
      <c r="N346" s="28"/>
      <c r="O346" s="28"/>
      <c r="P346" s="28"/>
      <c r="Q346" s="28"/>
      <c r="R346" s="28"/>
      <c r="S346" s="28"/>
      <c r="T346" s="148"/>
    </row>
    <row r="347" spans="2:20" ht="78" x14ac:dyDescent="0.25">
      <c r="B347" s="146">
        <v>2351</v>
      </c>
      <c r="C347" s="146" t="s">
        <v>5743</v>
      </c>
      <c r="D347" s="28" t="s">
        <v>1789</v>
      </c>
      <c r="E347" s="124" t="s">
        <v>4908</v>
      </c>
      <c r="F347" s="108">
        <v>45459</v>
      </c>
      <c r="G347" s="109"/>
      <c r="H347" s="124"/>
      <c r="I347" s="124" t="s">
        <v>5810</v>
      </c>
      <c r="J347" s="124" t="s">
        <v>4168</v>
      </c>
      <c r="K347" s="28"/>
      <c r="L347" s="28"/>
      <c r="M347" s="28"/>
      <c r="N347" s="28"/>
      <c r="O347" s="28"/>
      <c r="P347" s="28"/>
      <c r="Q347" s="28"/>
      <c r="R347" s="28"/>
      <c r="S347" s="28"/>
      <c r="T347" s="148"/>
    </row>
    <row r="348" spans="2:20" ht="58.5" x14ac:dyDescent="0.25">
      <c r="B348" s="146">
        <v>2352</v>
      </c>
      <c r="C348" s="146" t="s">
        <v>5744</v>
      </c>
      <c r="D348" s="28" t="s">
        <v>1789</v>
      </c>
      <c r="E348" s="124" t="s">
        <v>4908</v>
      </c>
      <c r="F348" s="108">
        <v>45459</v>
      </c>
      <c r="G348" s="109"/>
      <c r="H348" s="124"/>
      <c r="I348" s="124" t="s">
        <v>5813</v>
      </c>
      <c r="J348" s="124" t="s">
        <v>4168</v>
      </c>
      <c r="K348" s="28"/>
      <c r="L348" s="28"/>
      <c r="M348" s="28"/>
      <c r="N348" s="28"/>
      <c r="O348" s="28"/>
      <c r="P348" s="28"/>
      <c r="Q348" s="28"/>
      <c r="R348" s="28"/>
      <c r="S348" s="28"/>
      <c r="T348" s="148"/>
    </row>
    <row r="349" spans="2:20" ht="39" x14ac:dyDescent="0.25">
      <c r="B349" s="146">
        <v>2353</v>
      </c>
      <c r="C349" s="146" t="s">
        <v>5745</v>
      </c>
      <c r="D349" s="28" t="s">
        <v>1789</v>
      </c>
      <c r="E349" s="124" t="s">
        <v>4908</v>
      </c>
      <c r="F349" s="108">
        <v>45459</v>
      </c>
      <c r="G349" s="109"/>
      <c r="H349" s="124"/>
      <c r="I349" s="124" t="s">
        <v>5814</v>
      </c>
      <c r="J349" s="124" t="s">
        <v>385</v>
      </c>
      <c r="K349" s="28"/>
      <c r="L349" s="28"/>
      <c r="M349" s="28"/>
      <c r="N349" s="28"/>
      <c r="O349" s="28"/>
      <c r="P349" s="28"/>
      <c r="Q349" s="28"/>
      <c r="R349" s="28"/>
      <c r="S349" s="28"/>
      <c r="T349" s="148"/>
    </row>
    <row r="350" spans="2:20" ht="19.5" x14ac:dyDescent="0.25">
      <c r="B350" s="146">
        <v>388</v>
      </c>
      <c r="C350" s="146">
        <v>52</v>
      </c>
      <c r="D350" s="28" t="s">
        <v>1789</v>
      </c>
      <c r="E350" s="28" t="s">
        <v>1789</v>
      </c>
      <c r="F350" s="108">
        <v>45459</v>
      </c>
      <c r="G350" s="109">
        <v>0.31597222222222221</v>
      </c>
      <c r="H350" s="124" t="s">
        <v>2379</v>
      </c>
      <c r="I350" s="124" t="s">
        <v>2380</v>
      </c>
      <c r="J350" s="124" t="s">
        <v>5903</v>
      </c>
      <c r="K350" s="28" t="s">
        <v>2381</v>
      </c>
      <c r="L350" s="28" t="s">
        <v>5894</v>
      </c>
      <c r="M350" s="28">
        <v>0</v>
      </c>
      <c r="N350" s="28">
        <v>0</v>
      </c>
      <c r="O350" s="28" t="s">
        <v>20</v>
      </c>
      <c r="P350" s="28" t="s">
        <v>20</v>
      </c>
      <c r="Q350" s="28" t="s">
        <v>20</v>
      </c>
      <c r="R350" s="28" t="s">
        <v>20</v>
      </c>
      <c r="S350" s="28" t="s">
        <v>20</v>
      </c>
      <c r="T350" s="148" t="s">
        <v>20</v>
      </c>
    </row>
    <row r="351" spans="2:20" ht="19.5" x14ac:dyDescent="0.25">
      <c r="B351" s="146">
        <v>389</v>
      </c>
      <c r="C351" s="146">
        <v>53</v>
      </c>
      <c r="D351" s="28" t="s">
        <v>1789</v>
      </c>
      <c r="E351" s="28" t="s">
        <v>1789</v>
      </c>
      <c r="F351" s="108">
        <v>45459</v>
      </c>
      <c r="G351" s="109">
        <v>0.49791666666666667</v>
      </c>
      <c r="H351" s="124" t="s">
        <v>2382</v>
      </c>
      <c r="I351" s="124" t="s">
        <v>2380</v>
      </c>
      <c r="J351" s="124" t="s">
        <v>5903</v>
      </c>
      <c r="K351" s="28" t="s">
        <v>2165</v>
      </c>
      <c r="L351" s="28"/>
      <c r="M351" s="28">
        <v>0</v>
      </c>
      <c r="N351" s="28">
        <v>0</v>
      </c>
      <c r="O351" s="28"/>
      <c r="P351" s="28"/>
      <c r="Q351" s="28"/>
      <c r="R351" s="28"/>
      <c r="S351" s="28"/>
      <c r="T351" s="148"/>
    </row>
    <row r="352" spans="2:20" ht="19.5" x14ac:dyDescent="0.25">
      <c r="B352" s="146">
        <v>390</v>
      </c>
      <c r="C352" s="146">
        <v>54</v>
      </c>
      <c r="D352" s="28" t="s">
        <v>1789</v>
      </c>
      <c r="E352" s="28" t="s">
        <v>1789</v>
      </c>
      <c r="F352" s="108">
        <v>45459</v>
      </c>
      <c r="G352" s="28"/>
      <c r="H352" s="124" t="s">
        <v>2383</v>
      </c>
      <c r="I352" s="124" t="s">
        <v>2169</v>
      </c>
      <c r="J352" s="124"/>
      <c r="K352" s="28"/>
      <c r="L352" s="28"/>
      <c r="M352" s="28"/>
      <c r="N352" s="28"/>
      <c r="O352" s="28" t="s">
        <v>20</v>
      </c>
      <c r="P352" s="28" t="s">
        <v>20</v>
      </c>
      <c r="Q352" s="28" t="s">
        <v>20</v>
      </c>
      <c r="R352" s="28" t="s">
        <v>20</v>
      </c>
      <c r="S352" s="28" t="s">
        <v>20</v>
      </c>
      <c r="T352" s="148" t="s">
        <v>20</v>
      </c>
    </row>
    <row r="353" spans="2:20" ht="19.5" x14ac:dyDescent="0.25">
      <c r="B353" s="146">
        <v>391</v>
      </c>
      <c r="C353" s="146">
        <v>55</v>
      </c>
      <c r="D353" s="28" t="s">
        <v>1789</v>
      </c>
      <c r="E353" s="28" t="s">
        <v>1789</v>
      </c>
      <c r="F353" s="108">
        <v>45459</v>
      </c>
      <c r="G353" s="109">
        <v>0.66180555555555554</v>
      </c>
      <c r="H353" s="124" t="s">
        <v>2384</v>
      </c>
      <c r="I353" s="124" t="s">
        <v>406</v>
      </c>
      <c r="J353" s="124" t="s">
        <v>406</v>
      </c>
      <c r="K353" s="28" t="s">
        <v>2385</v>
      </c>
      <c r="L353" s="28"/>
      <c r="M353" s="28">
        <v>400000</v>
      </c>
      <c r="N353" s="28">
        <v>100000</v>
      </c>
      <c r="O353" s="28" t="s">
        <v>20</v>
      </c>
      <c r="P353" s="28" t="s">
        <v>20</v>
      </c>
      <c r="Q353" s="28" t="s">
        <v>20</v>
      </c>
      <c r="R353" s="28" t="s">
        <v>20</v>
      </c>
      <c r="S353" s="28" t="s">
        <v>20</v>
      </c>
      <c r="T353" s="148" t="s">
        <v>20</v>
      </c>
    </row>
    <row r="354" spans="2:20" ht="19.5" x14ac:dyDescent="0.25">
      <c r="B354" s="146">
        <v>392</v>
      </c>
      <c r="C354" s="146">
        <v>56</v>
      </c>
      <c r="D354" s="28" t="s">
        <v>1789</v>
      </c>
      <c r="E354" s="28" t="s">
        <v>1789</v>
      </c>
      <c r="F354" s="108">
        <v>45459</v>
      </c>
      <c r="G354" s="109">
        <v>0.80555555555555558</v>
      </c>
      <c r="H354" s="124" t="s">
        <v>2386</v>
      </c>
      <c r="I354" s="124" t="s">
        <v>385</v>
      </c>
      <c r="J354" s="124" t="s">
        <v>385</v>
      </c>
      <c r="K354" s="28" t="s">
        <v>2387</v>
      </c>
      <c r="L354" s="28"/>
      <c r="M354" s="28">
        <v>0</v>
      </c>
      <c r="N354" s="28">
        <v>0</v>
      </c>
      <c r="O354" s="28" t="s">
        <v>20</v>
      </c>
      <c r="P354" s="28" t="s">
        <v>20</v>
      </c>
      <c r="Q354" s="28" t="s">
        <v>20</v>
      </c>
      <c r="R354" s="28" t="s">
        <v>20</v>
      </c>
      <c r="S354" s="28" t="s">
        <v>20</v>
      </c>
      <c r="T354" s="148" t="s">
        <v>20</v>
      </c>
    </row>
    <row r="355" spans="2:20" ht="19.5" x14ac:dyDescent="0.25">
      <c r="B355" s="146">
        <v>393</v>
      </c>
      <c r="C355" s="146">
        <v>57</v>
      </c>
      <c r="D355" s="28" t="s">
        <v>1789</v>
      </c>
      <c r="E355" s="28" t="s">
        <v>1789</v>
      </c>
      <c r="F355" s="108">
        <v>45459</v>
      </c>
      <c r="G355" s="109">
        <v>0.98750000000000004</v>
      </c>
      <c r="H355" s="124" t="s">
        <v>2388</v>
      </c>
      <c r="I355" s="124" t="s">
        <v>1904</v>
      </c>
      <c r="J355" s="124" t="s">
        <v>1904</v>
      </c>
      <c r="K355" s="28" t="s">
        <v>2389</v>
      </c>
      <c r="L355" s="28"/>
      <c r="M355" s="28">
        <v>30000</v>
      </c>
      <c r="N355" s="28">
        <v>970000</v>
      </c>
      <c r="O355" s="28" t="s">
        <v>20</v>
      </c>
      <c r="P355" s="28" t="s">
        <v>20</v>
      </c>
      <c r="Q355" s="28" t="s">
        <v>20</v>
      </c>
      <c r="R355" s="28" t="s">
        <v>20</v>
      </c>
      <c r="S355" s="28" t="s">
        <v>20</v>
      </c>
      <c r="T355" s="148" t="s">
        <v>20</v>
      </c>
    </row>
    <row r="356" spans="2:20" ht="19.5" x14ac:dyDescent="0.25">
      <c r="B356" s="146">
        <v>448</v>
      </c>
      <c r="C356" s="146">
        <v>24</v>
      </c>
      <c r="D356" s="28" t="s">
        <v>1789</v>
      </c>
      <c r="E356" s="28" t="s">
        <v>1789</v>
      </c>
      <c r="F356" s="108">
        <v>45459</v>
      </c>
      <c r="G356" s="109">
        <v>0.67361111111111116</v>
      </c>
      <c r="H356" s="124" t="s">
        <v>2444</v>
      </c>
      <c r="I356" s="124" t="s">
        <v>1904</v>
      </c>
      <c r="J356" s="124" t="s">
        <v>1904</v>
      </c>
      <c r="K356" s="28" t="s">
        <v>2445</v>
      </c>
      <c r="L356" s="28"/>
      <c r="M356" s="28">
        <v>200000</v>
      </c>
      <c r="N356" s="28">
        <v>800000</v>
      </c>
      <c r="O356" s="28" t="s">
        <v>20</v>
      </c>
      <c r="P356" s="28" t="s">
        <v>20</v>
      </c>
      <c r="Q356" s="28" t="s">
        <v>20</v>
      </c>
      <c r="R356" s="28" t="s">
        <v>20</v>
      </c>
      <c r="S356" s="28" t="s">
        <v>20</v>
      </c>
      <c r="T356" s="148" t="s">
        <v>20</v>
      </c>
    </row>
    <row r="357" spans="2:20" ht="19.5" x14ac:dyDescent="0.25">
      <c r="B357" s="146">
        <v>449</v>
      </c>
      <c r="C357" s="146">
        <v>25</v>
      </c>
      <c r="D357" s="28" t="s">
        <v>1789</v>
      </c>
      <c r="E357" s="28" t="s">
        <v>1789</v>
      </c>
      <c r="F357" s="108">
        <v>45459</v>
      </c>
      <c r="G357" s="109">
        <v>0.81597222222222221</v>
      </c>
      <c r="H357" s="124" t="s">
        <v>2446</v>
      </c>
      <c r="I357" s="124" t="s">
        <v>2447</v>
      </c>
      <c r="J357" s="124" t="s">
        <v>1904</v>
      </c>
      <c r="K357" s="28" t="s">
        <v>2448</v>
      </c>
      <c r="L357" s="28"/>
      <c r="M357" s="28">
        <v>50000</v>
      </c>
      <c r="N357" s="28">
        <v>450000</v>
      </c>
      <c r="O357" s="28" t="s">
        <v>20</v>
      </c>
      <c r="P357" s="28" t="s">
        <v>20</v>
      </c>
      <c r="Q357" s="28" t="s">
        <v>20</v>
      </c>
      <c r="R357" s="28" t="s">
        <v>20</v>
      </c>
      <c r="S357" s="28" t="s">
        <v>20</v>
      </c>
      <c r="T357" s="148" t="s">
        <v>20</v>
      </c>
    </row>
    <row r="358" spans="2:20" ht="78" x14ac:dyDescent="0.25">
      <c r="B358" s="146">
        <v>2189</v>
      </c>
      <c r="C358" s="146">
        <v>212</v>
      </c>
      <c r="D358" s="28" t="s">
        <v>5357</v>
      </c>
      <c r="E358" s="28" t="s">
        <v>5475</v>
      </c>
      <c r="F358" s="108">
        <v>45459</v>
      </c>
      <c r="G358" s="109">
        <v>0.77916666666666667</v>
      </c>
      <c r="H358" s="124" t="s">
        <v>5371</v>
      </c>
      <c r="I358" s="124" t="s">
        <v>406</v>
      </c>
      <c r="J358" s="124" t="s">
        <v>406</v>
      </c>
      <c r="K358" s="28" t="s">
        <v>2019</v>
      </c>
      <c r="L358" s="28"/>
      <c r="M358" s="28">
        <v>500</v>
      </c>
      <c r="N358" s="28">
        <v>9500</v>
      </c>
      <c r="O358" s="28" t="s">
        <v>20</v>
      </c>
      <c r="P358" s="28" t="s">
        <v>20</v>
      </c>
      <c r="Q358" s="28" t="s">
        <v>20</v>
      </c>
      <c r="R358" s="28" t="s">
        <v>20</v>
      </c>
      <c r="S358" s="28" t="s">
        <v>20</v>
      </c>
      <c r="T358" s="148" t="s">
        <v>20</v>
      </c>
    </row>
    <row r="359" spans="2:20" ht="78" x14ac:dyDescent="0.25">
      <c r="B359" s="146">
        <v>2237</v>
      </c>
      <c r="C359" s="146">
        <v>260</v>
      </c>
      <c r="D359" s="28" t="s">
        <v>5357</v>
      </c>
      <c r="E359" s="28" t="s">
        <v>5475</v>
      </c>
      <c r="F359" s="108">
        <v>45459</v>
      </c>
      <c r="G359" s="109">
        <v>0.44722222222222224</v>
      </c>
      <c r="H359" s="124" t="s">
        <v>5426</v>
      </c>
      <c r="I359" s="124"/>
      <c r="J359" s="124"/>
      <c r="K359" s="28"/>
      <c r="L359" s="28"/>
      <c r="M359" s="28">
        <v>500</v>
      </c>
      <c r="N359" s="162">
        <v>999500</v>
      </c>
      <c r="O359" s="28" t="s">
        <v>20</v>
      </c>
      <c r="P359" s="28" t="s">
        <v>20</v>
      </c>
      <c r="Q359" s="28" t="s">
        <v>20</v>
      </c>
      <c r="R359" s="28" t="s">
        <v>20</v>
      </c>
      <c r="S359" s="28" t="s">
        <v>20</v>
      </c>
      <c r="T359" s="148" t="s">
        <v>20</v>
      </c>
    </row>
    <row r="360" spans="2:20" ht="78" x14ac:dyDescent="0.25">
      <c r="B360" s="146">
        <v>2238</v>
      </c>
      <c r="C360" s="146">
        <v>261</v>
      </c>
      <c r="D360" s="28" t="s">
        <v>5357</v>
      </c>
      <c r="E360" s="28" t="s">
        <v>5475</v>
      </c>
      <c r="F360" s="108">
        <v>45459</v>
      </c>
      <c r="G360" s="109">
        <v>0.71180555555555558</v>
      </c>
      <c r="H360" s="124" t="s">
        <v>5427</v>
      </c>
      <c r="I360" s="124"/>
      <c r="J360" s="124"/>
      <c r="K360" s="28"/>
      <c r="L360" s="28"/>
      <c r="M360" s="28" t="s">
        <v>20</v>
      </c>
      <c r="N360" s="28" t="s">
        <v>20</v>
      </c>
      <c r="O360" s="28" t="s">
        <v>20</v>
      </c>
      <c r="P360" s="28" t="s">
        <v>20</v>
      </c>
      <c r="Q360" s="28" t="s">
        <v>20</v>
      </c>
      <c r="R360" s="28" t="s">
        <v>20</v>
      </c>
      <c r="S360" s="28" t="s">
        <v>20</v>
      </c>
      <c r="T360" s="148" t="s">
        <v>20</v>
      </c>
    </row>
    <row r="361" spans="2:20" ht="58.5" x14ac:dyDescent="0.25">
      <c r="B361" s="146">
        <v>2239</v>
      </c>
      <c r="C361" s="146">
        <v>262</v>
      </c>
      <c r="D361" s="28" t="s">
        <v>5357</v>
      </c>
      <c r="E361" s="28" t="s">
        <v>5475</v>
      </c>
      <c r="F361" s="108">
        <v>45459</v>
      </c>
      <c r="G361" s="109">
        <v>0.82986111111111116</v>
      </c>
      <c r="H361" s="124" t="s">
        <v>5428</v>
      </c>
      <c r="I361" s="124"/>
      <c r="J361" s="124"/>
      <c r="K361" s="28"/>
      <c r="L361" s="28"/>
      <c r="M361" s="28" t="s">
        <v>20</v>
      </c>
      <c r="N361" s="28" t="s">
        <v>20</v>
      </c>
      <c r="O361" s="28" t="s">
        <v>20</v>
      </c>
      <c r="P361" s="28" t="s">
        <v>20</v>
      </c>
      <c r="Q361" s="28" t="s">
        <v>20</v>
      </c>
      <c r="R361" s="28" t="s">
        <v>20</v>
      </c>
      <c r="S361" s="28" t="s">
        <v>20</v>
      </c>
      <c r="T361" s="148" t="s">
        <v>20</v>
      </c>
    </row>
    <row r="362" spans="2:20" ht="97.5" x14ac:dyDescent="0.25">
      <c r="B362" s="146">
        <v>2240</v>
      </c>
      <c r="C362" s="146">
        <v>263</v>
      </c>
      <c r="D362" s="28" t="s">
        <v>5357</v>
      </c>
      <c r="E362" s="28" t="s">
        <v>5475</v>
      </c>
      <c r="F362" s="108">
        <v>45459</v>
      </c>
      <c r="G362" s="109">
        <v>0.88194444444444442</v>
      </c>
      <c r="H362" s="124" t="s">
        <v>5429</v>
      </c>
      <c r="I362" s="124"/>
      <c r="J362" s="124"/>
      <c r="K362" s="28"/>
      <c r="L362" s="28"/>
      <c r="M362" s="28" t="s">
        <v>20</v>
      </c>
      <c r="N362" s="28" t="s">
        <v>20</v>
      </c>
      <c r="O362" s="28" t="s">
        <v>20</v>
      </c>
      <c r="P362" s="28" t="s">
        <v>20</v>
      </c>
      <c r="Q362" s="28" t="s">
        <v>20</v>
      </c>
      <c r="R362" s="28" t="s">
        <v>20</v>
      </c>
      <c r="S362" s="28" t="s">
        <v>20</v>
      </c>
      <c r="T362" s="148" t="s">
        <v>20</v>
      </c>
    </row>
    <row r="363" spans="2:20" ht="39" x14ac:dyDescent="0.35">
      <c r="B363" s="146">
        <v>3640</v>
      </c>
      <c r="C363" s="146" t="s">
        <v>5786</v>
      </c>
      <c r="D363" s="28" t="s">
        <v>4825</v>
      </c>
      <c r="E363" s="28" t="s">
        <v>5678</v>
      </c>
      <c r="F363" s="108">
        <v>45459</v>
      </c>
      <c r="G363" s="109">
        <v>0.49652777777777779</v>
      </c>
      <c r="H363" s="28" t="s">
        <v>5639</v>
      </c>
      <c r="I363" s="131"/>
      <c r="J363" s="131"/>
      <c r="K363" s="131"/>
      <c r="L363" s="104"/>
      <c r="M363" s="28" t="s">
        <v>5634</v>
      </c>
      <c r="N363" s="28" t="s">
        <v>5284</v>
      </c>
      <c r="O363" s="28" t="s">
        <v>20</v>
      </c>
      <c r="P363" s="28" t="s">
        <v>20</v>
      </c>
      <c r="Q363" s="28" t="s">
        <v>20</v>
      </c>
      <c r="R363" s="28" t="s">
        <v>20</v>
      </c>
      <c r="S363" s="28" t="s">
        <v>20</v>
      </c>
      <c r="T363" s="148" t="s">
        <v>20</v>
      </c>
    </row>
    <row r="364" spans="2:20" ht="39" x14ac:dyDescent="0.25">
      <c r="B364" s="146">
        <v>1486</v>
      </c>
      <c r="C364" s="146">
        <v>52</v>
      </c>
      <c r="D364" s="28" t="s">
        <v>93</v>
      </c>
      <c r="E364" s="28" t="s">
        <v>584</v>
      </c>
      <c r="F364" s="108">
        <v>45459</v>
      </c>
      <c r="G364" s="109">
        <v>2.0833333333333332E-2</v>
      </c>
      <c r="H364" s="124" t="s">
        <v>2775</v>
      </c>
      <c r="I364" s="124" t="s">
        <v>2559</v>
      </c>
      <c r="J364" s="124" t="s">
        <v>4168</v>
      </c>
      <c r="K364" s="28" t="s">
        <v>2776</v>
      </c>
      <c r="L364" s="28"/>
      <c r="M364" s="28" t="s">
        <v>75</v>
      </c>
      <c r="N364" s="28">
        <v>20000</v>
      </c>
      <c r="O364" s="28" t="s">
        <v>75</v>
      </c>
      <c r="P364" s="28" t="s">
        <v>75</v>
      </c>
      <c r="Q364" s="28" t="s">
        <v>75</v>
      </c>
      <c r="R364" s="28" t="s">
        <v>75</v>
      </c>
      <c r="S364" s="28" t="s">
        <v>75</v>
      </c>
      <c r="T364" s="148" t="s">
        <v>75</v>
      </c>
    </row>
    <row r="365" spans="2:20" ht="39" x14ac:dyDescent="0.25">
      <c r="B365" s="146">
        <v>1487</v>
      </c>
      <c r="C365" s="146">
        <v>53</v>
      </c>
      <c r="D365" s="28" t="s">
        <v>93</v>
      </c>
      <c r="E365" s="28" t="s">
        <v>584</v>
      </c>
      <c r="F365" s="108">
        <v>45459</v>
      </c>
      <c r="G365" s="109">
        <v>0.625</v>
      </c>
      <c r="H365" s="124" t="s">
        <v>2777</v>
      </c>
      <c r="I365" s="124" t="s">
        <v>2778</v>
      </c>
      <c r="J365" s="124" t="s">
        <v>4168</v>
      </c>
      <c r="K365" s="28" t="s">
        <v>2779</v>
      </c>
      <c r="L365" s="28"/>
      <c r="M365" s="28">
        <v>70000</v>
      </c>
      <c r="N365" s="28">
        <v>930000</v>
      </c>
      <c r="O365" s="28" t="s">
        <v>75</v>
      </c>
      <c r="P365" s="28" t="s">
        <v>75</v>
      </c>
      <c r="Q365" s="28" t="s">
        <v>75</v>
      </c>
      <c r="R365" s="28" t="s">
        <v>75</v>
      </c>
      <c r="S365" s="28" t="s">
        <v>75</v>
      </c>
      <c r="T365" s="148" t="s">
        <v>75</v>
      </c>
    </row>
    <row r="366" spans="2:20" ht="39" x14ac:dyDescent="0.25">
      <c r="B366" s="146">
        <v>1488</v>
      </c>
      <c r="C366" s="146">
        <v>54</v>
      </c>
      <c r="D366" s="28" t="s">
        <v>93</v>
      </c>
      <c r="E366" s="28" t="s">
        <v>584</v>
      </c>
      <c r="F366" s="108">
        <v>45459</v>
      </c>
      <c r="G366" s="109">
        <v>0.95138888888888884</v>
      </c>
      <c r="H366" s="124" t="s">
        <v>2780</v>
      </c>
      <c r="I366" s="124" t="s">
        <v>2781</v>
      </c>
      <c r="J366" s="124" t="s">
        <v>385</v>
      </c>
      <c r="K366" s="28" t="s">
        <v>480</v>
      </c>
      <c r="L366" s="28"/>
      <c r="M366" s="28">
        <v>800</v>
      </c>
      <c r="N366" s="28">
        <v>9200</v>
      </c>
      <c r="O366" s="28" t="s">
        <v>75</v>
      </c>
      <c r="P366" s="28" t="s">
        <v>75</v>
      </c>
      <c r="Q366" s="28" t="s">
        <v>75</v>
      </c>
      <c r="R366" s="28" t="s">
        <v>75</v>
      </c>
      <c r="S366" s="28" t="s">
        <v>75</v>
      </c>
      <c r="T366" s="148" t="s">
        <v>75</v>
      </c>
    </row>
    <row r="367" spans="2:20" ht="39" x14ac:dyDescent="0.25">
      <c r="B367" s="146">
        <v>1489</v>
      </c>
      <c r="C367" s="146">
        <v>55</v>
      </c>
      <c r="D367" s="28" t="s">
        <v>93</v>
      </c>
      <c r="E367" s="28" t="s">
        <v>584</v>
      </c>
      <c r="F367" s="108">
        <v>45459</v>
      </c>
      <c r="G367" s="109">
        <v>0.5625</v>
      </c>
      <c r="H367" s="124" t="s">
        <v>2782</v>
      </c>
      <c r="I367" s="124" t="s">
        <v>362</v>
      </c>
      <c r="J367" s="124" t="s">
        <v>406</v>
      </c>
      <c r="K367" s="28" t="s">
        <v>2555</v>
      </c>
      <c r="L367" s="28"/>
      <c r="M367" s="28">
        <v>2000</v>
      </c>
      <c r="N367" s="28">
        <v>48000</v>
      </c>
      <c r="O367" s="28" t="s">
        <v>75</v>
      </c>
      <c r="P367" s="28" t="s">
        <v>75</v>
      </c>
      <c r="Q367" s="28" t="s">
        <v>75</v>
      </c>
      <c r="R367" s="28" t="s">
        <v>75</v>
      </c>
      <c r="S367" s="28" t="s">
        <v>75</v>
      </c>
      <c r="T367" s="148" t="s">
        <v>75</v>
      </c>
    </row>
    <row r="368" spans="2:20" ht="273" x14ac:dyDescent="0.25">
      <c r="B368" s="146">
        <v>2332</v>
      </c>
      <c r="C368" s="146">
        <v>55</v>
      </c>
      <c r="D368" s="28" t="s">
        <v>4832</v>
      </c>
      <c r="E368" s="28" t="s">
        <v>5610</v>
      </c>
      <c r="F368" s="108">
        <v>45460</v>
      </c>
      <c r="G368" s="109">
        <v>0.38194444444444442</v>
      </c>
      <c r="H368" s="124" t="s">
        <v>5596</v>
      </c>
      <c r="I368" s="124"/>
      <c r="J368" s="124"/>
      <c r="K368" s="28"/>
      <c r="L368" s="28"/>
      <c r="M368" s="28" t="s">
        <v>141</v>
      </c>
      <c r="N368" s="28" t="s">
        <v>152</v>
      </c>
      <c r="O368" s="28" t="s">
        <v>20</v>
      </c>
      <c r="P368" s="28" t="s">
        <v>20</v>
      </c>
      <c r="Q368" s="28" t="s">
        <v>20</v>
      </c>
      <c r="R368" s="28" t="s">
        <v>20</v>
      </c>
      <c r="S368" s="28" t="s">
        <v>20</v>
      </c>
      <c r="T368" s="148" t="s">
        <v>20</v>
      </c>
    </row>
    <row r="369" spans="2:20" ht="292.5" x14ac:dyDescent="0.25">
      <c r="B369" s="146">
        <v>2333</v>
      </c>
      <c r="C369" s="146">
        <v>56</v>
      </c>
      <c r="D369" s="28" t="s">
        <v>4832</v>
      </c>
      <c r="E369" s="28" t="s">
        <v>5610</v>
      </c>
      <c r="F369" s="108">
        <v>45460</v>
      </c>
      <c r="G369" s="109">
        <v>0.3972222222222222</v>
      </c>
      <c r="H369" s="124" t="s">
        <v>5597</v>
      </c>
      <c r="I369" s="124"/>
      <c r="J369" s="124"/>
      <c r="K369" s="28"/>
      <c r="L369" s="28"/>
      <c r="M369" s="28" t="s">
        <v>171</v>
      </c>
      <c r="N369" s="28" t="s">
        <v>5592</v>
      </c>
      <c r="O369" s="28" t="s">
        <v>20</v>
      </c>
      <c r="P369" s="28" t="s">
        <v>20</v>
      </c>
      <c r="Q369" s="28" t="s">
        <v>20</v>
      </c>
      <c r="R369" s="28" t="s">
        <v>20</v>
      </c>
      <c r="S369" s="28" t="s">
        <v>20</v>
      </c>
      <c r="T369" s="148" t="s">
        <v>20</v>
      </c>
    </row>
    <row r="370" spans="2:20" ht="58.5" x14ac:dyDescent="0.25">
      <c r="B370" s="146">
        <v>1004</v>
      </c>
      <c r="C370" s="146">
        <v>492</v>
      </c>
      <c r="D370" s="28" t="s">
        <v>321</v>
      </c>
      <c r="E370" s="28" t="s">
        <v>3776</v>
      </c>
      <c r="F370" s="108">
        <v>45460</v>
      </c>
      <c r="G370" s="109">
        <v>0.1</v>
      </c>
      <c r="H370" s="124" t="s">
        <v>4379</v>
      </c>
      <c r="I370" s="124" t="s">
        <v>4218</v>
      </c>
      <c r="J370" s="124" t="s">
        <v>4168</v>
      </c>
      <c r="K370" s="28" t="s">
        <v>4380</v>
      </c>
      <c r="L370" s="28"/>
      <c r="M370" s="28">
        <v>20000</v>
      </c>
      <c r="N370" s="28">
        <v>80000</v>
      </c>
      <c r="O370" s="28" t="s">
        <v>20</v>
      </c>
      <c r="P370" s="28" t="s">
        <v>20</v>
      </c>
      <c r="Q370" s="28" t="s">
        <v>20</v>
      </c>
      <c r="R370" s="28" t="s">
        <v>20</v>
      </c>
      <c r="S370" s="28" t="s">
        <v>20</v>
      </c>
      <c r="T370" s="148" t="s">
        <v>20</v>
      </c>
    </row>
    <row r="371" spans="2:20" ht="19.5" x14ac:dyDescent="0.25">
      <c r="B371" s="146">
        <v>990</v>
      </c>
      <c r="C371" s="146">
        <v>478</v>
      </c>
      <c r="D371" s="28" t="s">
        <v>321</v>
      </c>
      <c r="E371" s="28" t="s">
        <v>334</v>
      </c>
      <c r="F371" s="108">
        <v>45460</v>
      </c>
      <c r="G371" s="109">
        <v>0.87777777777777777</v>
      </c>
      <c r="H371" s="124" t="s">
        <v>490</v>
      </c>
      <c r="I371" s="124" t="s">
        <v>385</v>
      </c>
      <c r="J371" s="124" t="s">
        <v>385</v>
      </c>
      <c r="K371" s="28" t="s">
        <v>491</v>
      </c>
      <c r="L371" s="28"/>
      <c r="M371" s="28" t="s">
        <v>341</v>
      </c>
      <c r="N371" s="162" t="s">
        <v>3845</v>
      </c>
      <c r="O371" s="28" t="s">
        <v>20</v>
      </c>
      <c r="P371" s="28" t="s">
        <v>20</v>
      </c>
      <c r="Q371" s="28" t="s">
        <v>20</v>
      </c>
      <c r="R371" s="28" t="s">
        <v>20</v>
      </c>
      <c r="S371" s="28" t="s">
        <v>20</v>
      </c>
      <c r="T371" s="148" t="s">
        <v>20</v>
      </c>
    </row>
    <row r="372" spans="2:20" ht="39" x14ac:dyDescent="0.25">
      <c r="B372" s="146">
        <v>1013</v>
      </c>
      <c r="C372" s="146">
        <v>512</v>
      </c>
      <c r="D372" s="28" t="s">
        <v>321</v>
      </c>
      <c r="E372" s="28" t="s">
        <v>580</v>
      </c>
      <c r="F372" s="108">
        <v>45460</v>
      </c>
      <c r="G372" s="109">
        <v>0.52222222222222225</v>
      </c>
      <c r="H372" s="124" t="s">
        <v>4408</v>
      </c>
      <c r="I372" s="124" t="s">
        <v>4401</v>
      </c>
      <c r="J372" s="124" t="s">
        <v>385</v>
      </c>
      <c r="K372" s="28" t="s">
        <v>4409</v>
      </c>
      <c r="L372" s="28"/>
      <c r="M372" s="28">
        <v>100000</v>
      </c>
      <c r="N372" s="28">
        <v>20000</v>
      </c>
      <c r="O372" s="28" t="s">
        <v>20</v>
      </c>
      <c r="P372" s="28" t="s">
        <v>20</v>
      </c>
      <c r="Q372" s="28" t="s">
        <v>20</v>
      </c>
      <c r="R372" s="28" t="s">
        <v>20</v>
      </c>
      <c r="S372" s="28" t="s">
        <v>20</v>
      </c>
      <c r="T372" s="148" t="s">
        <v>20</v>
      </c>
    </row>
    <row r="373" spans="2:20" ht="19.5" x14ac:dyDescent="0.25">
      <c r="B373" s="146">
        <v>1035</v>
      </c>
      <c r="C373" s="146">
        <v>535</v>
      </c>
      <c r="D373" s="28" t="s">
        <v>321</v>
      </c>
      <c r="E373" s="28" t="s">
        <v>3685</v>
      </c>
      <c r="F373" s="108">
        <v>45460</v>
      </c>
      <c r="G373" s="109">
        <v>0.51180555555555551</v>
      </c>
      <c r="H373" s="124" t="s">
        <v>4423</v>
      </c>
      <c r="I373" s="124" t="s">
        <v>3755</v>
      </c>
      <c r="J373" s="124" t="s">
        <v>1899</v>
      </c>
      <c r="K373" s="28" t="s">
        <v>2210</v>
      </c>
      <c r="L373" s="28"/>
      <c r="M373" s="28">
        <v>5000</v>
      </c>
      <c r="N373" s="28">
        <v>10000</v>
      </c>
      <c r="O373" s="28" t="s">
        <v>20</v>
      </c>
      <c r="P373" s="28" t="s">
        <v>20</v>
      </c>
      <c r="Q373" s="28" t="s">
        <v>20</v>
      </c>
      <c r="R373" s="28" t="s">
        <v>20</v>
      </c>
      <c r="S373" s="28" t="s">
        <v>20</v>
      </c>
      <c r="T373" s="148" t="s">
        <v>20</v>
      </c>
    </row>
    <row r="374" spans="2:20" ht="97.5" x14ac:dyDescent="0.25">
      <c r="B374" s="146">
        <v>1055</v>
      </c>
      <c r="C374" s="146">
        <v>555</v>
      </c>
      <c r="D374" s="28" t="s">
        <v>321</v>
      </c>
      <c r="E374" s="28" t="s">
        <v>306</v>
      </c>
      <c r="F374" s="108">
        <v>45460</v>
      </c>
      <c r="G374" s="109">
        <v>0.7</v>
      </c>
      <c r="H374" s="124" t="s">
        <v>4454</v>
      </c>
      <c r="I374" s="124" t="s">
        <v>4029</v>
      </c>
      <c r="J374" s="26" t="s">
        <v>4168</v>
      </c>
      <c r="K374" s="28" t="s">
        <v>4455</v>
      </c>
      <c r="L374" s="28"/>
      <c r="M374" s="28" t="s">
        <v>341</v>
      </c>
      <c r="N374" s="28" t="s">
        <v>341</v>
      </c>
      <c r="O374" s="28" t="s">
        <v>20</v>
      </c>
      <c r="P374" s="28" t="s">
        <v>20</v>
      </c>
      <c r="Q374" s="28" t="s">
        <v>20</v>
      </c>
      <c r="R374" s="28" t="s">
        <v>20</v>
      </c>
      <c r="S374" s="28" t="s">
        <v>20</v>
      </c>
      <c r="T374" s="148" t="s">
        <v>20</v>
      </c>
    </row>
    <row r="375" spans="2:20" ht="39" x14ac:dyDescent="0.25">
      <c r="B375" s="146">
        <v>2354</v>
      </c>
      <c r="C375" s="146" t="s">
        <v>5746</v>
      </c>
      <c r="D375" s="28" t="s">
        <v>1789</v>
      </c>
      <c r="E375" s="124" t="s">
        <v>4908</v>
      </c>
      <c r="F375" s="108">
        <v>45460</v>
      </c>
      <c r="G375" s="109"/>
      <c r="H375" s="124"/>
      <c r="I375" s="124" t="s">
        <v>5815</v>
      </c>
      <c r="J375" s="124" t="s">
        <v>385</v>
      </c>
      <c r="K375" s="28"/>
      <c r="L375" s="28"/>
      <c r="M375" s="28"/>
      <c r="N375" s="28"/>
      <c r="O375" s="28"/>
      <c r="P375" s="28"/>
      <c r="Q375" s="28"/>
      <c r="R375" s="28"/>
      <c r="S375" s="28"/>
      <c r="T375" s="148"/>
    </row>
    <row r="376" spans="2:20" ht="39" x14ac:dyDescent="0.25">
      <c r="B376" s="146">
        <v>2355</v>
      </c>
      <c r="C376" s="146" t="s">
        <v>5747</v>
      </c>
      <c r="D376" s="28" t="s">
        <v>1789</v>
      </c>
      <c r="E376" s="124" t="s">
        <v>4908</v>
      </c>
      <c r="F376" s="108">
        <v>45460</v>
      </c>
      <c r="G376" s="109"/>
      <c r="H376" s="124"/>
      <c r="I376" s="124" t="s">
        <v>5816</v>
      </c>
      <c r="J376" s="124" t="s">
        <v>385</v>
      </c>
      <c r="K376" s="28"/>
      <c r="L376" s="28"/>
      <c r="M376" s="28"/>
      <c r="N376" s="28"/>
      <c r="O376" s="28"/>
      <c r="P376" s="28"/>
      <c r="Q376" s="28"/>
      <c r="R376" s="28"/>
      <c r="S376" s="28"/>
      <c r="T376" s="148"/>
    </row>
    <row r="377" spans="2:20" ht="253.5" x14ac:dyDescent="0.35">
      <c r="B377" s="146">
        <v>1959</v>
      </c>
      <c r="C377" s="147">
        <v>2</v>
      </c>
      <c r="D377" s="26" t="s">
        <v>1789</v>
      </c>
      <c r="E377" s="26" t="s">
        <v>5149</v>
      </c>
      <c r="F377" s="108">
        <v>45460</v>
      </c>
      <c r="G377" s="28" t="s">
        <v>5279</v>
      </c>
      <c r="H377" s="179"/>
      <c r="I377" s="179"/>
      <c r="J377" s="179"/>
      <c r="K377" s="122" t="s">
        <v>5280</v>
      </c>
      <c r="L377" s="28"/>
      <c r="M377" s="28" t="s">
        <v>1804</v>
      </c>
      <c r="N377" s="28" t="s">
        <v>5281</v>
      </c>
      <c r="O377" s="26" t="s">
        <v>5071</v>
      </c>
      <c r="P377" s="26" t="s">
        <v>5071</v>
      </c>
      <c r="Q377" s="26" t="s">
        <v>5071</v>
      </c>
      <c r="R377" s="26" t="s">
        <v>5071</v>
      </c>
      <c r="S377" s="26" t="s">
        <v>5071</v>
      </c>
      <c r="T377" s="242" t="s">
        <v>5071</v>
      </c>
    </row>
    <row r="378" spans="2:20" ht="253.5" x14ac:dyDescent="0.35">
      <c r="B378" s="146">
        <v>1960</v>
      </c>
      <c r="C378" s="147">
        <v>3</v>
      </c>
      <c r="D378" s="26" t="s">
        <v>1789</v>
      </c>
      <c r="E378" s="26" t="s">
        <v>5149</v>
      </c>
      <c r="F378" s="108">
        <v>45460</v>
      </c>
      <c r="G378" s="28" t="s">
        <v>5282</v>
      </c>
      <c r="H378" s="179"/>
      <c r="I378" s="179"/>
      <c r="J378" s="179"/>
      <c r="K378" s="122" t="s">
        <v>5283</v>
      </c>
      <c r="L378" s="28"/>
      <c r="M378" s="28" t="s">
        <v>5284</v>
      </c>
      <c r="N378" s="28" t="s">
        <v>5285</v>
      </c>
      <c r="O378" s="26" t="s">
        <v>5071</v>
      </c>
      <c r="P378" s="26" t="s">
        <v>5071</v>
      </c>
      <c r="Q378" s="26" t="s">
        <v>5071</v>
      </c>
      <c r="R378" s="26" t="s">
        <v>5071</v>
      </c>
      <c r="S378" s="26" t="s">
        <v>5071</v>
      </c>
      <c r="T378" s="242" t="s">
        <v>5071</v>
      </c>
    </row>
    <row r="379" spans="2:20" ht="19.5" x14ac:dyDescent="0.25">
      <c r="B379" s="146">
        <v>394</v>
      </c>
      <c r="C379" s="146">
        <v>58</v>
      </c>
      <c r="D379" s="28" t="s">
        <v>1789</v>
      </c>
      <c r="E379" s="28" t="s">
        <v>1789</v>
      </c>
      <c r="F379" s="108">
        <v>45460</v>
      </c>
      <c r="G379" s="109">
        <v>0.26666666666666666</v>
      </c>
      <c r="H379" s="124" t="s">
        <v>2330</v>
      </c>
      <c r="I379" s="124" t="s">
        <v>385</v>
      </c>
      <c r="J379" s="124" t="s">
        <v>385</v>
      </c>
      <c r="K379" s="28" t="s">
        <v>2551</v>
      </c>
      <c r="L379" s="28"/>
      <c r="M379" s="28">
        <v>90000</v>
      </c>
      <c r="N379" s="28">
        <v>10000</v>
      </c>
      <c r="O379" s="28" t="s">
        <v>20</v>
      </c>
      <c r="P379" s="28" t="s">
        <v>20</v>
      </c>
      <c r="Q379" s="28" t="s">
        <v>20</v>
      </c>
      <c r="R379" s="28" t="s">
        <v>20</v>
      </c>
      <c r="S379" s="28" t="s">
        <v>20</v>
      </c>
      <c r="T379" s="148" t="s">
        <v>20</v>
      </c>
    </row>
    <row r="380" spans="2:20" ht="19.5" x14ac:dyDescent="0.25">
      <c r="B380" s="146">
        <v>395</v>
      </c>
      <c r="C380" s="146">
        <v>59</v>
      </c>
      <c r="D380" s="28" t="s">
        <v>1789</v>
      </c>
      <c r="E380" s="28" t="s">
        <v>1789</v>
      </c>
      <c r="F380" s="108">
        <v>45460</v>
      </c>
      <c r="G380" s="109">
        <v>0.28611111111111109</v>
      </c>
      <c r="H380" s="124" t="s">
        <v>2390</v>
      </c>
      <c r="I380" s="124" t="s">
        <v>2162</v>
      </c>
      <c r="J380" s="124" t="s">
        <v>1904</v>
      </c>
      <c r="K380" s="28" t="s">
        <v>2180</v>
      </c>
      <c r="L380" s="28"/>
      <c r="M380" s="28">
        <v>5000</v>
      </c>
      <c r="N380" s="28">
        <v>45000</v>
      </c>
      <c r="O380" s="28" t="s">
        <v>20</v>
      </c>
      <c r="P380" s="28" t="s">
        <v>20</v>
      </c>
      <c r="Q380" s="28" t="s">
        <v>20</v>
      </c>
      <c r="R380" s="28" t="s">
        <v>20</v>
      </c>
      <c r="S380" s="28" t="s">
        <v>20</v>
      </c>
      <c r="T380" s="148" t="s">
        <v>20</v>
      </c>
    </row>
    <row r="381" spans="2:20" ht="19.5" x14ac:dyDescent="0.25">
      <c r="B381" s="146">
        <v>396</v>
      </c>
      <c r="C381" s="146">
        <v>60</v>
      </c>
      <c r="D381" s="28" t="s">
        <v>1789</v>
      </c>
      <c r="E381" s="28" t="s">
        <v>1789</v>
      </c>
      <c r="F381" s="108">
        <v>45460</v>
      </c>
      <c r="G381" s="109">
        <v>0.49652777777777779</v>
      </c>
      <c r="H381" s="124" t="s">
        <v>2084</v>
      </c>
      <c r="I381" s="124" t="s">
        <v>2162</v>
      </c>
      <c r="J381" s="124" t="s">
        <v>1904</v>
      </c>
      <c r="K381" s="28" t="s">
        <v>2165</v>
      </c>
      <c r="L381" s="28"/>
      <c r="M381" s="28">
        <v>10000</v>
      </c>
      <c r="N381" s="28">
        <v>40000</v>
      </c>
      <c r="O381" s="28" t="s">
        <v>20</v>
      </c>
      <c r="P381" s="28" t="s">
        <v>20</v>
      </c>
      <c r="Q381" s="28" t="s">
        <v>20</v>
      </c>
      <c r="R381" s="28" t="s">
        <v>20</v>
      </c>
      <c r="S381" s="28" t="s">
        <v>20</v>
      </c>
      <c r="T381" s="148" t="s">
        <v>20</v>
      </c>
    </row>
    <row r="382" spans="2:20" ht="19.5" x14ac:dyDescent="0.25">
      <c r="B382" s="146">
        <v>397</v>
      </c>
      <c r="C382" s="146">
        <v>61</v>
      </c>
      <c r="D382" s="28" t="s">
        <v>1789</v>
      </c>
      <c r="E382" s="28" t="s">
        <v>1789</v>
      </c>
      <c r="F382" s="108">
        <v>45460</v>
      </c>
      <c r="G382" s="109">
        <v>0.72916666666666663</v>
      </c>
      <c r="H382" s="124" t="s">
        <v>2391</v>
      </c>
      <c r="I382" s="124" t="s">
        <v>2162</v>
      </c>
      <c r="J382" s="124" t="s">
        <v>1904</v>
      </c>
      <c r="K382" s="28" t="s">
        <v>2373</v>
      </c>
      <c r="L382" s="28"/>
      <c r="M382" s="28">
        <v>10000</v>
      </c>
      <c r="N382" s="28">
        <v>490000</v>
      </c>
      <c r="O382" s="28" t="s">
        <v>20</v>
      </c>
      <c r="P382" s="28" t="s">
        <v>20</v>
      </c>
      <c r="Q382" s="28" t="s">
        <v>20</v>
      </c>
      <c r="R382" s="28" t="s">
        <v>20</v>
      </c>
      <c r="S382" s="28" t="s">
        <v>20</v>
      </c>
      <c r="T382" s="148" t="s">
        <v>20</v>
      </c>
    </row>
    <row r="383" spans="2:20" ht="19.5" x14ac:dyDescent="0.25">
      <c r="B383" s="146">
        <v>398</v>
      </c>
      <c r="C383" s="146">
        <v>62</v>
      </c>
      <c r="D383" s="28" t="s">
        <v>1789</v>
      </c>
      <c r="E383" s="28" t="s">
        <v>1789</v>
      </c>
      <c r="F383" s="108">
        <v>45460</v>
      </c>
      <c r="G383" s="109">
        <v>0.8305555555555556</v>
      </c>
      <c r="H383" s="124" t="s">
        <v>2392</v>
      </c>
      <c r="I383" s="124" t="s">
        <v>406</v>
      </c>
      <c r="J383" s="124" t="s">
        <v>406</v>
      </c>
      <c r="K383" s="28" t="s">
        <v>2393</v>
      </c>
      <c r="L383" s="28"/>
      <c r="M383" s="28">
        <v>200000</v>
      </c>
      <c r="N383" s="28">
        <v>9800000</v>
      </c>
      <c r="O383" s="28" t="s">
        <v>20</v>
      </c>
      <c r="P383" s="28" t="s">
        <v>20</v>
      </c>
      <c r="Q383" s="28" t="s">
        <v>20</v>
      </c>
      <c r="R383" s="28" t="s">
        <v>20</v>
      </c>
      <c r="S383" s="28" t="s">
        <v>20</v>
      </c>
      <c r="T383" s="148" t="s">
        <v>20</v>
      </c>
    </row>
    <row r="384" spans="2:20" ht="57.6" customHeight="1" x14ac:dyDescent="0.25">
      <c r="B384" s="146">
        <v>399</v>
      </c>
      <c r="C384" s="146">
        <v>63</v>
      </c>
      <c r="D384" s="28" t="s">
        <v>1789</v>
      </c>
      <c r="E384" s="28" t="s">
        <v>1789</v>
      </c>
      <c r="F384" s="108">
        <v>45460</v>
      </c>
      <c r="G384" s="109">
        <v>0.92986111111111114</v>
      </c>
      <c r="H384" s="124" t="s">
        <v>2392</v>
      </c>
      <c r="I384" s="124" t="s">
        <v>2162</v>
      </c>
      <c r="J384" s="124" t="s">
        <v>1904</v>
      </c>
      <c r="K384" s="28" t="s">
        <v>2394</v>
      </c>
      <c r="L384" s="28"/>
      <c r="M384" s="28">
        <v>10000</v>
      </c>
      <c r="N384" s="28">
        <v>490000</v>
      </c>
      <c r="O384" s="28" t="s">
        <v>20</v>
      </c>
      <c r="P384" s="28" t="s">
        <v>20</v>
      </c>
      <c r="Q384" s="28" t="s">
        <v>20</v>
      </c>
      <c r="R384" s="28" t="s">
        <v>20</v>
      </c>
      <c r="S384" s="28" t="s">
        <v>20</v>
      </c>
      <c r="T384" s="148" t="s">
        <v>20</v>
      </c>
    </row>
    <row r="385" spans="2:20" ht="134.44999999999999" customHeight="1" x14ac:dyDescent="0.25">
      <c r="B385" s="146">
        <v>400</v>
      </c>
      <c r="C385" s="146">
        <v>64</v>
      </c>
      <c r="D385" s="28" t="s">
        <v>1789</v>
      </c>
      <c r="E385" s="28" t="s">
        <v>1789</v>
      </c>
      <c r="F385" s="108">
        <v>45460</v>
      </c>
      <c r="G385" s="109">
        <v>0.95208333333333328</v>
      </c>
      <c r="H385" s="124" t="s">
        <v>2395</v>
      </c>
      <c r="I385" s="124" t="s">
        <v>385</v>
      </c>
      <c r="J385" s="124" t="s">
        <v>385</v>
      </c>
      <c r="K385" s="28" t="s">
        <v>480</v>
      </c>
      <c r="L385" s="28"/>
      <c r="M385" s="28">
        <v>10000</v>
      </c>
      <c r="N385" s="28">
        <v>40000</v>
      </c>
      <c r="O385" s="28" t="s">
        <v>20</v>
      </c>
      <c r="P385" s="28" t="s">
        <v>20</v>
      </c>
      <c r="Q385" s="28" t="s">
        <v>20</v>
      </c>
      <c r="R385" s="28" t="s">
        <v>20</v>
      </c>
      <c r="S385" s="28" t="s">
        <v>20</v>
      </c>
      <c r="T385" s="148" t="s">
        <v>20</v>
      </c>
    </row>
    <row r="386" spans="2:20" ht="76.900000000000006" customHeight="1" x14ac:dyDescent="0.25">
      <c r="B386" s="146">
        <v>401</v>
      </c>
      <c r="C386" s="146">
        <v>65</v>
      </c>
      <c r="D386" s="28" t="s">
        <v>1789</v>
      </c>
      <c r="E386" s="28" t="s">
        <v>1789</v>
      </c>
      <c r="F386" s="108">
        <v>45460</v>
      </c>
      <c r="G386" s="109">
        <v>0.96944444444444444</v>
      </c>
      <c r="H386" s="124" t="s">
        <v>2396</v>
      </c>
      <c r="I386" s="124" t="s">
        <v>385</v>
      </c>
      <c r="J386" s="124" t="s">
        <v>385</v>
      </c>
      <c r="K386" s="28" t="s">
        <v>2007</v>
      </c>
      <c r="L386" s="28"/>
      <c r="M386" s="28">
        <v>0</v>
      </c>
      <c r="N386" s="28">
        <v>0</v>
      </c>
      <c r="O386" s="28" t="s">
        <v>20</v>
      </c>
      <c r="P386" s="28" t="s">
        <v>20</v>
      </c>
      <c r="Q386" s="28" t="s">
        <v>20</v>
      </c>
      <c r="R386" s="28" t="s">
        <v>20</v>
      </c>
      <c r="S386" s="28" t="s">
        <v>20</v>
      </c>
      <c r="T386" s="148" t="s">
        <v>20</v>
      </c>
    </row>
    <row r="387" spans="2:20" ht="96" customHeight="1" x14ac:dyDescent="0.25">
      <c r="B387" s="146">
        <v>402</v>
      </c>
      <c r="C387" s="146">
        <v>66</v>
      </c>
      <c r="D387" s="28" t="s">
        <v>1789</v>
      </c>
      <c r="E387" s="28" t="s">
        <v>1789</v>
      </c>
      <c r="F387" s="108">
        <v>45460</v>
      </c>
      <c r="G387" s="109">
        <v>0.97638888888888886</v>
      </c>
      <c r="H387" s="124" t="s">
        <v>2397</v>
      </c>
      <c r="I387" s="124" t="s">
        <v>385</v>
      </c>
      <c r="J387" s="124" t="s">
        <v>385</v>
      </c>
      <c r="K387" s="28" t="s">
        <v>2007</v>
      </c>
      <c r="L387" s="28"/>
      <c r="M387" s="28">
        <v>0</v>
      </c>
      <c r="N387" s="28">
        <v>0</v>
      </c>
      <c r="O387" s="28" t="s">
        <v>20</v>
      </c>
      <c r="P387" s="28" t="s">
        <v>20</v>
      </c>
      <c r="Q387" s="28" t="s">
        <v>20</v>
      </c>
      <c r="R387" s="28" t="s">
        <v>20</v>
      </c>
      <c r="S387" s="28" t="s">
        <v>20</v>
      </c>
      <c r="T387" s="148" t="s">
        <v>20</v>
      </c>
    </row>
    <row r="388" spans="2:20" ht="96" customHeight="1" x14ac:dyDescent="0.25">
      <c r="B388" s="146">
        <v>403</v>
      </c>
      <c r="C388" s="146">
        <v>67</v>
      </c>
      <c r="D388" s="28" t="s">
        <v>1789</v>
      </c>
      <c r="E388" s="28" t="s">
        <v>1789</v>
      </c>
      <c r="F388" s="108">
        <v>45460</v>
      </c>
      <c r="G388" s="109">
        <v>0.98541666666666672</v>
      </c>
      <c r="H388" s="124" t="s">
        <v>2398</v>
      </c>
      <c r="I388" s="124" t="s">
        <v>385</v>
      </c>
      <c r="J388" s="124" t="s">
        <v>385</v>
      </c>
      <c r="K388" s="28" t="s">
        <v>480</v>
      </c>
      <c r="L388" s="28"/>
      <c r="M388" s="28">
        <v>5000</v>
      </c>
      <c r="N388" s="28">
        <v>45000</v>
      </c>
      <c r="O388" s="28" t="s">
        <v>20</v>
      </c>
      <c r="P388" s="28" t="s">
        <v>20</v>
      </c>
      <c r="Q388" s="28" t="s">
        <v>20</v>
      </c>
      <c r="R388" s="28" t="s">
        <v>20</v>
      </c>
      <c r="S388" s="28" t="s">
        <v>20</v>
      </c>
      <c r="T388" s="148" t="s">
        <v>20</v>
      </c>
    </row>
    <row r="389" spans="2:20" ht="96" customHeight="1" x14ac:dyDescent="0.25">
      <c r="B389" s="146">
        <v>450</v>
      </c>
      <c r="C389" s="146">
        <v>26</v>
      </c>
      <c r="D389" s="28" t="s">
        <v>1789</v>
      </c>
      <c r="E389" s="28" t="s">
        <v>1789</v>
      </c>
      <c r="F389" s="108">
        <v>45460</v>
      </c>
      <c r="G389" s="109">
        <v>0.38611111111111113</v>
      </c>
      <c r="H389" s="124" t="s">
        <v>2449</v>
      </c>
      <c r="I389" s="124" t="s">
        <v>2162</v>
      </c>
      <c r="J389" s="124" t="s">
        <v>1904</v>
      </c>
      <c r="K389" s="28" t="s">
        <v>2450</v>
      </c>
      <c r="L389" s="28"/>
      <c r="M389" s="28">
        <v>200000</v>
      </c>
      <c r="N389" s="28">
        <v>300000</v>
      </c>
      <c r="O389" s="28" t="s">
        <v>20</v>
      </c>
      <c r="P389" s="28" t="s">
        <v>20</v>
      </c>
      <c r="Q389" s="28" t="s">
        <v>20</v>
      </c>
      <c r="R389" s="28" t="s">
        <v>20</v>
      </c>
      <c r="S389" s="28" t="s">
        <v>20</v>
      </c>
      <c r="T389" s="148" t="s">
        <v>20</v>
      </c>
    </row>
    <row r="390" spans="2:20" ht="19.5" x14ac:dyDescent="0.25">
      <c r="B390" s="146">
        <v>451</v>
      </c>
      <c r="C390" s="146">
        <v>27</v>
      </c>
      <c r="D390" s="28" t="s">
        <v>1789</v>
      </c>
      <c r="E390" s="28" t="s">
        <v>1789</v>
      </c>
      <c r="F390" s="108">
        <v>45460</v>
      </c>
      <c r="G390" s="109">
        <v>0.41249999999999998</v>
      </c>
      <c r="H390" s="124" t="s">
        <v>2451</v>
      </c>
      <c r="I390" s="124" t="s">
        <v>2162</v>
      </c>
      <c r="J390" s="124" t="s">
        <v>1904</v>
      </c>
      <c r="K390" s="28" t="s">
        <v>2443</v>
      </c>
      <c r="L390" s="28"/>
      <c r="M390" s="28">
        <v>50000</v>
      </c>
      <c r="N390" s="28">
        <v>200000</v>
      </c>
      <c r="O390" s="28" t="s">
        <v>20</v>
      </c>
      <c r="P390" s="28" t="s">
        <v>20</v>
      </c>
      <c r="Q390" s="28" t="s">
        <v>20</v>
      </c>
      <c r="R390" s="28" t="s">
        <v>20</v>
      </c>
      <c r="S390" s="28" t="s">
        <v>20</v>
      </c>
      <c r="T390" s="148" t="s">
        <v>20</v>
      </c>
    </row>
    <row r="391" spans="2:20" ht="351" x14ac:dyDescent="0.35">
      <c r="B391" s="146">
        <v>1957</v>
      </c>
      <c r="C391" s="147">
        <v>9</v>
      </c>
      <c r="D391" s="26" t="s">
        <v>1789</v>
      </c>
      <c r="E391" s="26" t="s">
        <v>5072</v>
      </c>
      <c r="F391" s="108">
        <v>45460</v>
      </c>
      <c r="G391" s="28" t="s">
        <v>5275</v>
      </c>
      <c r="H391" s="179"/>
      <c r="I391" s="179"/>
      <c r="J391" s="179"/>
      <c r="K391" s="122" t="s">
        <v>5276</v>
      </c>
      <c r="L391" s="28"/>
      <c r="M391" s="28" t="s">
        <v>204</v>
      </c>
      <c r="N391" s="28" t="s">
        <v>5118</v>
      </c>
      <c r="O391" s="26" t="s">
        <v>5071</v>
      </c>
      <c r="P391" s="26" t="s">
        <v>5071</v>
      </c>
      <c r="Q391" s="26" t="s">
        <v>5071</v>
      </c>
      <c r="R391" s="26" t="s">
        <v>5071</v>
      </c>
      <c r="S391" s="26" t="s">
        <v>5071</v>
      </c>
      <c r="T391" s="242" t="s">
        <v>5071</v>
      </c>
    </row>
    <row r="392" spans="2:20" ht="97.5" x14ac:dyDescent="0.25">
      <c r="B392" s="146">
        <v>2254</v>
      </c>
      <c r="C392" s="146">
        <v>277</v>
      </c>
      <c r="D392" s="28" t="s">
        <v>5357</v>
      </c>
      <c r="E392" s="28" t="s">
        <v>5474</v>
      </c>
      <c r="F392" s="108">
        <v>45460</v>
      </c>
      <c r="G392" s="109" t="s">
        <v>5466</v>
      </c>
      <c r="H392" s="124" t="s">
        <v>5442</v>
      </c>
      <c r="I392" s="124"/>
      <c r="J392" s="124"/>
      <c r="K392" s="28"/>
      <c r="L392" s="28"/>
      <c r="M392" s="28" t="s">
        <v>20</v>
      </c>
      <c r="N392" s="162">
        <v>20000</v>
      </c>
      <c r="O392" s="28" t="s">
        <v>20</v>
      </c>
      <c r="P392" s="28" t="s">
        <v>20</v>
      </c>
      <c r="Q392" s="28" t="s">
        <v>20</v>
      </c>
      <c r="R392" s="28" t="s">
        <v>20</v>
      </c>
      <c r="S392" s="28" t="s">
        <v>20</v>
      </c>
      <c r="T392" s="148" t="s">
        <v>20</v>
      </c>
    </row>
    <row r="393" spans="2:20" ht="78" x14ac:dyDescent="0.25">
      <c r="B393" s="146">
        <v>2190</v>
      </c>
      <c r="C393" s="146">
        <v>213</v>
      </c>
      <c r="D393" s="28" t="s">
        <v>5357</v>
      </c>
      <c r="E393" s="28" t="s">
        <v>5475</v>
      </c>
      <c r="F393" s="108">
        <v>45460</v>
      </c>
      <c r="G393" s="109">
        <v>0.43263888888888891</v>
      </c>
      <c r="H393" s="124" t="s">
        <v>5371</v>
      </c>
      <c r="I393" s="124"/>
      <c r="J393" s="124"/>
      <c r="K393" s="28"/>
      <c r="L393" s="28"/>
      <c r="M393" s="28">
        <v>500</v>
      </c>
      <c r="N393" s="28">
        <v>9500</v>
      </c>
      <c r="O393" s="28"/>
      <c r="P393" s="28"/>
      <c r="Q393" s="28"/>
      <c r="R393" s="28"/>
      <c r="S393" s="28"/>
      <c r="T393" s="148"/>
    </row>
    <row r="394" spans="2:20" ht="78" x14ac:dyDescent="0.25">
      <c r="B394" s="146">
        <v>2241</v>
      </c>
      <c r="C394" s="146">
        <v>264</v>
      </c>
      <c r="D394" s="28" t="s">
        <v>5357</v>
      </c>
      <c r="E394" s="28" t="s">
        <v>5475</v>
      </c>
      <c r="F394" s="108">
        <v>45460</v>
      </c>
      <c r="G394" s="109">
        <v>0.51875000000000004</v>
      </c>
      <c r="H394" s="124" t="s">
        <v>5430</v>
      </c>
      <c r="I394" s="124"/>
      <c r="J394" s="124"/>
      <c r="K394" s="28"/>
      <c r="L394" s="28"/>
      <c r="M394" s="28" t="s">
        <v>20</v>
      </c>
      <c r="N394" s="162">
        <v>5000000</v>
      </c>
      <c r="O394" s="28" t="s">
        <v>20</v>
      </c>
      <c r="P394" s="28" t="s">
        <v>20</v>
      </c>
      <c r="Q394" s="28" t="s">
        <v>20</v>
      </c>
      <c r="R394" s="28" t="s">
        <v>20</v>
      </c>
      <c r="S394" s="28" t="s">
        <v>20</v>
      </c>
      <c r="T394" s="148" t="s">
        <v>20</v>
      </c>
    </row>
    <row r="395" spans="2:20" ht="78" x14ac:dyDescent="0.25">
      <c r="B395" s="146">
        <v>2242</v>
      </c>
      <c r="C395" s="146">
        <v>265</v>
      </c>
      <c r="D395" s="28" t="s">
        <v>5357</v>
      </c>
      <c r="E395" s="28" t="s">
        <v>5475</v>
      </c>
      <c r="F395" s="108">
        <v>45460</v>
      </c>
      <c r="G395" s="109">
        <v>0.73958333333333337</v>
      </c>
      <c r="H395" s="124" t="s">
        <v>5431</v>
      </c>
      <c r="I395" s="124"/>
      <c r="J395" s="124"/>
      <c r="K395" s="28"/>
      <c r="L395" s="28"/>
      <c r="M395" s="28">
        <v>500</v>
      </c>
      <c r="N395" s="162">
        <v>3999500</v>
      </c>
      <c r="O395" s="28" t="s">
        <v>20</v>
      </c>
      <c r="P395" s="28" t="s">
        <v>20</v>
      </c>
      <c r="Q395" s="28" t="s">
        <v>20</v>
      </c>
      <c r="R395" s="28" t="s">
        <v>20</v>
      </c>
      <c r="S395" s="28" t="s">
        <v>20</v>
      </c>
      <c r="T395" s="148" t="s">
        <v>20</v>
      </c>
    </row>
    <row r="396" spans="2:20" ht="76.900000000000006" customHeight="1" x14ac:dyDescent="0.25">
      <c r="B396" s="146">
        <v>2243</v>
      </c>
      <c r="C396" s="146">
        <v>266</v>
      </c>
      <c r="D396" s="28" t="s">
        <v>5357</v>
      </c>
      <c r="E396" s="28" t="s">
        <v>5475</v>
      </c>
      <c r="F396" s="108">
        <v>45460</v>
      </c>
      <c r="G396" s="109">
        <v>0.87013888888888891</v>
      </c>
      <c r="H396" s="124" t="s">
        <v>5432</v>
      </c>
      <c r="I396" s="124"/>
      <c r="J396" s="124"/>
      <c r="K396" s="28"/>
      <c r="L396" s="28"/>
      <c r="M396" s="28">
        <v>500</v>
      </c>
      <c r="N396" s="162">
        <v>4999500</v>
      </c>
      <c r="O396" s="28" t="s">
        <v>20</v>
      </c>
      <c r="P396" s="28" t="s">
        <v>20</v>
      </c>
      <c r="Q396" s="28" t="s">
        <v>20</v>
      </c>
      <c r="R396" s="28" t="s">
        <v>20</v>
      </c>
      <c r="S396" s="28" t="s">
        <v>20</v>
      </c>
      <c r="T396" s="148" t="s">
        <v>20</v>
      </c>
    </row>
    <row r="397" spans="2:20" ht="115.15" customHeight="1" x14ac:dyDescent="0.25">
      <c r="B397" s="146">
        <v>2261</v>
      </c>
      <c r="C397" s="146">
        <v>284</v>
      </c>
      <c r="D397" s="28" t="s">
        <v>5357</v>
      </c>
      <c r="E397" s="28" t="s">
        <v>5469</v>
      </c>
      <c r="F397" s="108">
        <v>45460</v>
      </c>
      <c r="G397" s="109">
        <v>0.83680555555555558</v>
      </c>
      <c r="H397" s="124" t="s">
        <v>5449</v>
      </c>
      <c r="I397" s="124"/>
      <c r="J397" s="124"/>
      <c r="K397" s="28"/>
      <c r="L397" s="28"/>
      <c r="M397" s="28" t="s">
        <v>20</v>
      </c>
      <c r="N397" s="162">
        <v>1000000</v>
      </c>
      <c r="O397" s="28" t="s">
        <v>20</v>
      </c>
      <c r="P397" s="28" t="s">
        <v>20</v>
      </c>
      <c r="Q397" s="28" t="s">
        <v>20</v>
      </c>
      <c r="R397" s="28" t="s">
        <v>20</v>
      </c>
      <c r="S397" s="28" t="s">
        <v>20</v>
      </c>
      <c r="T397" s="148" t="s">
        <v>20</v>
      </c>
    </row>
    <row r="398" spans="2:20" ht="76.900000000000006" customHeight="1" x14ac:dyDescent="0.25">
      <c r="B398" s="146">
        <v>1513</v>
      </c>
      <c r="C398" s="146">
        <v>79</v>
      </c>
      <c r="D398" s="28" t="s">
        <v>93</v>
      </c>
      <c r="E398" s="28" t="s">
        <v>587</v>
      </c>
      <c r="F398" s="108">
        <v>45460</v>
      </c>
      <c r="G398" s="109">
        <v>0.52013888888888893</v>
      </c>
      <c r="H398" s="124" t="s">
        <v>2823</v>
      </c>
      <c r="I398" s="124" t="s">
        <v>2714</v>
      </c>
      <c r="J398" s="124"/>
      <c r="K398" s="28"/>
      <c r="L398" s="28"/>
      <c r="M398" s="28"/>
      <c r="N398" s="28"/>
      <c r="O398" s="28" t="s">
        <v>15</v>
      </c>
      <c r="P398" s="28" t="s">
        <v>15</v>
      </c>
      <c r="Q398" s="28" t="s">
        <v>15</v>
      </c>
      <c r="R398" s="28" t="s">
        <v>15</v>
      </c>
      <c r="S398" s="28" t="s">
        <v>15</v>
      </c>
      <c r="T398" s="148" t="s">
        <v>15</v>
      </c>
    </row>
    <row r="399" spans="2:20" ht="76.900000000000006" customHeight="1" x14ac:dyDescent="0.25">
      <c r="B399" s="146">
        <v>1463</v>
      </c>
      <c r="C399" s="146">
        <v>29</v>
      </c>
      <c r="D399" s="28" t="s">
        <v>93</v>
      </c>
      <c r="E399" s="28" t="s">
        <v>94</v>
      </c>
      <c r="F399" s="108">
        <v>45460</v>
      </c>
      <c r="G399" s="109">
        <v>7.8472222222222221E-2</v>
      </c>
      <c r="H399" s="124" t="s">
        <v>2731</v>
      </c>
      <c r="I399" s="124" t="s">
        <v>2634</v>
      </c>
      <c r="J399" s="124" t="s">
        <v>385</v>
      </c>
      <c r="K399" s="28" t="s">
        <v>2728</v>
      </c>
      <c r="L399" s="28"/>
      <c r="M399" s="28">
        <v>5000</v>
      </c>
      <c r="N399" s="28">
        <v>495000</v>
      </c>
      <c r="O399" s="28" t="s">
        <v>20</v>
      </c>
      <c r="P399" s="28" t="s">
        <v>20</v>
      </c>
      <c r="Q399" s="28" t="s">
        <v>20</v>
      </c>
      <c r="R399" s="28" t="s">
        <v>20</v>
      </c>
      <c r="S399" s="28" t="s">
        <v>20</v>
      </c>
      <c r="T399" s="148" t="s">
        <v>20</v>
      </c>
    </row>
    <row r="400" spans="2:20" ht="76.900000000000006" customHeight="1" x14ac:dyDescent="0.25">
      <c r="B400" s="146">
        <v>1464</v>
      </c>
      <c r="C400" s="146">
        <v>30</v>
      </c>
      <c r="D400" s="28" t="s">
        <v>93</v>
      </c>
      <c r="E400" s="28" t="s">
        <v>94</v>
      </c>
      <c r="F400" s="108">
        <v>45460</v>
      </c>
      <c r="G400" s="109">
        <v>0.20208333333333334</v>
      </c>
      <c r="H400" s="124" t="s">
        <v>2731</v>
      </c>
      <c r="I400" s="124" t="s">
        <v>2634</v>
      </c>
      <c r="J400" s="124" t="s">
        <v>385</v>
      </c>
      <c r="K400" s="28" t="s">
        <v>2728</v>
      </c>
      <c r="L400" s="28"/>
      <c r="M400" s="28">
        <v>10000</v>
      </c>
      <c r="N400" s="28">
        <v>990000</v>
      </c>
      <c r="O400" s="28" t="s">
        <v>20</v>
      </c>
      <c r="P400" s="28" t="s">
        <v>20</v>
      </c>
      <c r="Q400" s="28" t="s">
        <v>20</v>
      </c>
      <c r="R400" s="28" t="s">
        <v>20</v>
      </c>
      <c r="S400" s="28" t="s">
        <v>20</v>
      </c>
      <c r="T400" s="148" t="s">
        <v>20</v>
      </c>
    </row>
    <row r="401" spans="2:20" ht="57.6" customHeight="1" x14ac:dyDescent="0.25">
      <c r="B401" s="146">
        <v>1465</v>
      </c>
      <c r="C401" s="146">
        <v>31</v>
      </c>
      <c r="D401" s="28" t="s">
        <v>93</v>
      </c>
      <c r="E401" s="28" t="s">
        <v>94</v>
      </c>
      <c r="F401" s="108">
        <v>45460</v>
      </c>
      <c r="G401" s="109">
        <v>0.95694444444444449</v>
      </c>
      <c r="H401" s="124" t="s">
        <v>2732</v>
      </c>
      <c r="I401" s="124" t="s">
        <v>2720</v>
      </c>
      <c r="J401" s="124" t="s">
        <v>4168</v>
      </c>
      <c r="K401" s="28" t="s">
        <v>2733</v>
      </c>
      <c r="L401" s="28"/>
      <c r="M401" s="28" t="s">
        <v>20</v>
      </c>
      <c r="N401" s="28">
        <v>50000</v>
      </c>
      <c r="O401" s="28" t="s">
        <v>20</v>
      </c>
      <c r="P401" s="28" t="s">
        <v>20</v>
      </c>
      <c r="Q401" s="28" t="s">
        <v>20</v>
      </c>
      <c r="R401" s="28" t="s">
        <v>20</v>
      </c>
      <c r="S401" s="28" t="s">
        <v>20</v>
      </c>
      <c r="T401" s="148" t="s">
        <v>20</v>
      </c>
    </row>
    <row r="402" spans="2:20" ht="76.900000000000006" customHeight="1" x14ac:dyDescent="0.25">
      <c r="B402" s="146">
        <v>1490</v>
      </c>
      <c r="C402" s="146">
        <v>56</v>
      </c>
      <c r="D402" s="28" t="s">
        <v>93</v>
      </c>
      <c r="E402" s="28" t="s">
        <v>584</v>
      </c>
      <c r="F402" s="108">
        <v>45460</v>
      </c>
      <c r="G402" s="109">
        <v>0.77986111111111112</v>
      </c>
      <c r="H402" s="124" t="s">
        <v>2783</v>
      </c>
      <c r="I402" s="124" t="s">
        <v>2781</v>
      </c>
      <c r="J402" s="124" t="s">
        <v>385</v>
      </c>
      <c r="K402" s="28" t="s">
        <v>2784</v>
      </c>
      <c r="L402" s="28"/>
      <c r="M402" s="28">
        <v>80000</v>
      </c>
      <c r="N402" s="28">
        <v>5920000</v>
      </c>
      <c r="O402" s="28" t="s">
        <v>75</v>
      </c>
      <c r="P402" s="28" t="s">
        <v>75</v>
      </c>
      <c r="Q402" s="28" t="s">
        <v>75</v>
      </c>
      <c r="R402" s="28" t="s">
        <v>75</v>
      </c>
      <c r="S402" s="28" t="s">
        <v>75</v>
      </c>
      <c r="T402" s="148" t="s">
        <v>75</v>
      </c>
    </row>
    <row r="403" spans="2:20" ht="57.6" customHeight="1" x14ac:dyDescent="0.25">
      <c r="B403" s="146">
        <v>1491</v>
      </c>
      <c r="C403" s="146">
        <v>57</v>
      </c>
      <c r="D403" s="28" t="s">
        <v>93</v>
      </c>
      <c r="E403" s="28" t="s">
        <v>584</v>
      </c>
      <c r="F403" s="108">
        <v>45460</v>
      </c>
      <c r="G403" s="109">
        <v>0.95833333333333337</v>
      </c>
      <c r="H403" s="124" t="s">
        <v>2785</v>
      </c>
      <c r="I403" s="124" t="s">
        <v>2781</v>
      </c>
      <c r="J403" s="124" t="s">
        <v>385</v>
      </c>
      <c r="K403" s="28" t="s">
        <v>2786</v>
      </c>
      <c r="L403" s="28"/>
      <c r="M403" s="28">
        <v>500</v>
      </c>
      <c r="N403" s="28">
        <v>4500</v>
      </c>
      <c r="O403" s="28" t="s">
        <v>75</v>
      </c>
      <c r="P403" s="28" t="s">
        <v>75</v>
      </c>
      <c r="Q403" s="28" t="s">
        <v>75</v>
      </c>
      <c r="R403" s="28" t="s">
        <v>75</v>
      </c>
      <c r="S403" s="28" t="s">
        <v>75</v>
      </c>
      <c r="T403" s="148" t="s">
        <v>75</v>
      </c>
    </row>
    <row r="404" spans="2:20" ht="76.900000000000006" customHeight="1" x14ac:dyDescent="0.25">
      <c r="B404" s="146">
        <v>1504</v>
      </c>
      <c r="C404" s="146">
        <v>70</v>
      </c>
      <c r="D404" s="28" t="s">
        <v>93</v>
      </c>
      <c r="E404" s="28" t="s">
        <v>1791</v>
      </c>
      <c r="F404" s="108">
        <v>45460</v>
      </c>
      <c r="G404" s="109">
        <v>0.59513888888888888</v>
      </c>
      <c r="H404" s="124" t="s">
        <v>2809</v>
      </c>
      <c r="I404" s="124" t="s">
        <v>406</v>
      </c>
      <c r="J404" s="124" t="s">
        <v>406</v>
      </c>
      <c r="K404" s="28" t="s">
        <v>3633</v>
      </c>
      <c r="L404" s="28"/>
      <c r="M404" s="28" t="s">
        <v>20</v>
      </c>
      <c r="N404" s="28" t="s">
        <v>20</v>
      </c>
      <c r="O404" s="28" t="s">
        <v>23</v>
      </c>
      <c r="P404" s="28" t="s">
        <v>23</v>
      </c>
      <c r="Q404" s="28" t="s">
        <v>23</v>
      </c>
      <c r="R404" s="28" t="s">
        <v>23</v>
      </c>
      <c r="S404" s="28" t="s">
        <v>23</v>
      </c>
      <c r="T404" s="148" t="s">
        <v>23</v>
      </c>
    </row>
    <row r="405" spans="2:20" ht="19.5" x14ac:dyDescent="0.25">
      <c r="B405" s="146">
        <v>991</v>
      </c>
      <c r="C405" s="146">
        <v>479</v>
      </c>
      <c r="D405" s="28" t="s">
        <v>321</v>
      </c>
      <c r="E405" s="28" t="s">
        <v>334</v>
      </c>
      <c r="F405" s="108">
        <v>45461</v>
      </c>
      <c r="G405" s="109">
        <v>0.50069444444444444</v>
      </c>
      <c r="H405" s="124" t="s">
        <v>492</v>
      </c>
      <c r="I405" s="124" t="s">
        <v>352</v>
      </c>
      <c r="J405" s="124" t="s">
        <v>4168</v>
      </c>
      <c r="K405" s="28" t="s">
        <v>372</v>
      </c>
      <c r="L405" s="28"/>
      <c r="M405" s="28" t="s">
        <v>341</v>
      </c>
      <c r="N405" s="162" t="s">
        <v>4361</v>
      </c>
      <c r="O405" s="28" t="s">
        <v>20</v>
      </c>
      <c r="P405" s="28" t="s">
        <v>20</v>
      </c>
      <c r="Q405" s="28" t="s">
        <v>20</v>
      </c>
      <c r="R405" s="28" t="s">
        <v>20</v>
      </c>
      <c r="S405" s="28" t="s">
        <v>20</v>
      </c>
      <c r="T405" s="148" t="s">
        <v>20</v>
      </c>
    </row>
    <row r="406" spans="2:20" ht="78" x14ac:dyDescent="0.25">
      <c r="B406" s="146">
        <v>1044</v>
      </c>
      <c r="C406" s="146">
        <v>544</v>
      </c>
      <c r="D406" s="28" t="s">
        <v>321</v>
      </c>
      <c r="E406" s="28" t="s">
        <v>3685</v>
      </c>
      <c r="F406" s="108">
        <v>45461</v>
      </c>
      <c r="G406" s="109">
        <v>0.52777777777777779</v>
      </c>
      <c r="H406" s="124" t="s">
        <v>4437</v>
      </c>
      <c r="I406" s="124" t="s">
        <v>3671</v>
      </c>
      <c r="J406" s="124" t="s">
        <v>1899</v>
      </c>
      <c r="K406" s="28" t="s">
        <v>4438</v>
      </c>
      <c r="L406" s="28"/>
      <c r="M406" s="28" t="s">
        <v>4439</v>
      </c>
      <c r="N406" s="28" t="s">
        <v>4439</v>
      </c>
      <c r="O406" s="28" t="s">
        <v>20</v>
      </c>
      <c r="P406" s="28" t="s">
        <v>20</v>
      </c>
      <c r="Q406" s="28" t="s">
        <v>20</v>
      </c>
      <c r="R406" s="28" t="s">
        <v>20</v>
      </c>
      <c r="S406" s="28" t="s">
        <v>20</v>
      </c>
      <c r="T406" s="148" t="s">
        <v>20</v>
      </c>
    </row>
    <row r="407" spans="2:20" ht="136.5" x14ac:dyDescent="0.25">
      <c r="B407" s="146">
        <v>1056</v>
      </c>
      <c r="C407" s="146">
        <v>556</v>
      </c>
      <c r="D407" s="28" t="s">
        <v>321</v>
      </c>
      <c r="E407" s="28" t="s">
        <v>306</v>
      </c>
      <c r="F407" s="108">
        <v>45461</v>
      </c>
      <c r="G407" s="109">
        <v>0.60902777777777772</v>
      </c>
      <c r="H407" s="124" t="s">
        <v>4456</v>
      </c>
      <c r="I407" s="124" t="s">
        <v>4029</v>
      </c>
      <c r="J407" s="26" t="s">
        <v>4168</v>
      </c>
      <c r="K407" s="28" t="s">
        <v>5790</v>
      </c>
      <c r="L407" s="28"/>
      <c r="M407" s="28" t="s">
        <v>341</v>
      </c>
      <c r="N407" s="28" t="s">
        <v>341</v>
      </c>
      <c r="O407" s="28" t="s">
        <v>20</v>
      </c>
      <c r="P407" s="28" t="s">
        <v>20</v>
      </c>
      <c r="Q407" s="28" t="s">
        <v>20</v>
      </c>
      <c r="R407" s="28" t="s">
        <v>20</v>
      </c>
      <c r="S407" s="28" t="s">
        <v>20</v>
      </c>
      <c r="T407" s="148" t="s">
        <v>20</v>
      </c>
    </row>
    <row r="408" spans="2:20" ht="136.5" x14ac:dyDescent="0.25">
      <c r="B408" s="146">
        <v>1057</v>
      </c>
      <c r="C408" s="146">
        <v>557</v>
      </c>
      <c r="D408" s="28" t="s">
        <v>321</v>
      </c>
      <c r="E408" s="28" t="s">
        <v>306</v>
      </c>
      <c r="F408" s="108">
        <v>45461</v>
      </c>
      <c r="G408" s="109">
        <v>0.74722222222222223</v>
      </c>
      <c r="H408" s="124" t="s">
        <v>4456</v>
      </c>
      <c r="I408" s="124" t="s">
        <v>4029</v>
      </c>
      <c r="J408" s="26" t="s">
        <v>4168</v>
      </c>
      <c r="K408" s="28" t="s">
        <v>5791</v>
      </c>
      <c r="L408" s="28"/>
      <c r="M408" s="28" t="s">
        <v>341</v>
      </c>
      <c r="N408" s="28" t="s">
        <v>341</v>
      </c>
      <c r="O408" s="28" t="s">
        <v>20</v>
      </c>
      <c r="P408" s="28" t="s">
        <v>20</v>
      </c>
      <c r="Q408" s="28" t="s">
        <v>20</v>
      </c>
      <c r="R408" s="28" t="s">
        <v>20</v>
      </c>
      <c r="S408" s="28" t="s">
        <v>20</v>
      </c>
      <c r="T408" s="148" t="s">
        <v>20</v>
      </c>
    </row>
    <row r="409" spans="2:20" ht="58.5" x14ac:dyDescent="0.25">
      <c r="B409" s="146">
        <v>2356</v>
      </c>
      <c r="C409" s="146" t="s">
        <v>5748</v>
      </c>
      <c r="D409" s="28" t="s">
        <v>1789</v>
      </c>
      <c r="E409" s="124" t="s">
        <v>4908</v>
      </c>
      <c r="F409" s="108">
        <v>45461</v>
      </c>
      <c r="G409" s="109"/>
      <c r="H409" s="124"/>
      <c r="I409" s="124" t="s">
        <v>5817</v>
      </c>
      <c r="J409" s="124" t="s">
        <v>385</v>
      </c>
      <c r="K409" s="28"/>
      <c r="L409" s="28"/>
      <c r="M409" s="28"/>
      <c r="N409" s="28"/>
      <c r="O409" s="28"/>
      <c r="P409" s="28"/>
      <c r="Q409" s="28"/>
      <c r="R409" s="28"/>
      <c r="S409" s="28"/>
      <c r="T409" s="148"/>
    </row>
    <row r="410" spans="2:20" ht="19.5" x14ac:dyDescent="0.25">
      <c r="B410" s="146">
        <v>2357</v>
      </c>
      <c r="C410" s="146" t="s">
        <v>5749</v>
      </c>
      <c r="D410" s="28" t="s">
        <v>1789</v>
      </c>
      <c r="E410" s="124" t="s">
        <v>4908</v>
      </c>
      <c r="F410" s="108">
        <v>45461</v>
      </c>
      <c r="G410" s="109"/>
      <c r="H410" s="124"/>
      <c r="I410" s="124" t="s">
        <v>20</v>
      </c>
      <c r="J410" s="124"/>
      <c r="K410" s="28"/>
      <c r="L410" s="28"/>
      <c r="M410" s="28"/>
      <c r="N410" s="28"/>
      <c r="O410" s="28"/>
      <c r="P410" s="28"/>
      <c r="Q410" s="28"/>
      <c r="R410" s="28"/>
      <c r="S410" s="28"/>
      <c r="T410" s="148"/>
    </row>
    <row r="411" spans="2:20" ht="19.5" x14ac:dyDescent="0.25">
      <c r="B411" s="146">
        <v>2364</v>
      </c>
      <c r="C411" s="146" t="s">
        <v>5756</v>
      </c>
      <c r="D411" s="28" t="s">
        <v>1789</v>
      </c>
      <c r="E411" s="124" t="s">
        <v>4908</v>
      </c>
      <c r="F411" s="108">
        <v>45461</v>
      </c>
      <c r="G411" s="109"/>
      <c r="H411" s="124"/>
      <c r="I411" s="124" t="s">
        <v>20</v>
      </c>
      <c r="J411" s="124" t="s">
        <v>2448</v>
      </c>
      <c r="K411" s="28" t="s">
        <v>2443</v>
      </c>
      <c r="L411" s="28"/>
      <c r="M411" s="28"/>
      <c r="N411" s="28"/>
      <c r="O411" s="28"/>
      <c r="P411" s="28"/>
      <c r="Q411" s="28"/>
      <c r="R411" s="28"/>
      <c r="S411" s="28"/>
      <c r="T411" s="148"/>
    </row>
    <row r="412" spans="2:20" ht="19.5" x14ac:dyDescent="0.25">
      <c r="B412" s="146">
        <v>404</v>
      </c>
      <c r="C412" s="146">
        <v>68</v>
      </c>
      <c r="D412" s="28" t="s">
        <v>1789</v>
      </c>
      <c r="E412" s="28" t="s">
        <v>1789</v>
      </c>
      <c r="F412" s="108">
        <v>45461</v>
      </c>
      <c r="G412" s="109">
        <v>0.13263888888888889</v>
      </c>
      <c r="H412" s="124" t="s">
        <v>2399</v>
      </c>
      <c r="I412" s="124" t="s">
        <v>385</v>
      </c>
      <c r="J412" s="124" t="s">
        <v>385</v>
      </c>
      <c r="K412" s="28" t="s">
        <v>2043</v>
      </c>
      <c r="L412" s="28"/>
      <c r="M412" s="28">
        <v>80000</v>
      </c>
      <c r="N412" s="28">
        <v>1920000</v>
      </c>
      <c r="O412" s="28" t="s">
        <v>20</v>
      </c>
      <c r="P412" s="28" t="s">
        <v>20</v>
      </c>
      <c r="Q412" s="28" t="s">
        <v>20</v>
      </c>
      <c r="R412" s="28" t="s">
        <v>20</v>
      </c>
      <c r="S412" s="28" t="s">
        <v>20</v>
      </c>
      <c r="T412" s="148" t="s">
        <v>20</v>
      </c>
    </row>
    <row r="413" spans="2:20" ht="134.44999999999999" customHeight="1" x14ac:dyDescent="0.25">
      <c r="B413" s="146">
        <v>405</v>
      </c>
      <c r="C413" s="146">
        <v>69</v>
      </c>
      <c r="D413" s="28" t="s">
        <v>1789</v>
      </c>
      <c r="E413" s="28" t="s">
        <v>1789</v>
      </c>
      <c r="F413" s="108">
        <v>45461</v>
      </c>
      <c r="G413" s="109">
        <v>0.4548611111111111</v>
      </c>
      <c r="H413" s="124" t="s">
        <v>2400</v>
      </c>
      <c r="I413" s="124" t="s">
        <v>2162</v>
      </c>
      <c r="J413" s="124" t="s">
        <v>1904</v>
      </c>
      <c r="K413" s="28" t="s">
        <v>1994</v>
      </c>
      <c r="L413" s="28"/>
      <c r="M413" s="28">
        <v>5000</v>
      </c>
      <c r="N413" s="28">
        <v>45000</v>
      </c>
      <c r="O413" s="28" t="s">
        <v>20</v>
      </c>
      <c r="P413" s="28" t="s">
        <v>20</v>
      </c>
      <c r="Q413" s="28" t="s">
        <v>20</v>
      </c>
      <c r="R413" s="28" t="s">
        <v>20</v>
      </c>
      <c r="S413" s="28" t="s">
        <v>20</v>
      </c>
      <c r="T413" s="148" t="s">
        <v>20</v>
      </c>
    </row>
    <row r="414" spans="2:20" ht="115.15" customHeight="1" x14ac:dyDescent="0.25">
      <c r="B414" s="146">
        <v>406</v>
      </c>
      <c r="C414" s="146">
        <v>70</v>
      </c>
      <c r="D414" s="28" t="s">
        <v>1789</v>
      </c>
      <c r="E414" s="28" t="s">
        <v>1789</v>
      </c>
      <c r="F414" s="108">
        <v>45461</v>
      </c>
      <c r="G414" s="109">
        <v>0.46458333333333335</v>
      </c>
      <c r="H414" s="124" t="s">
        <v>2401</v>
      </c>
      <c r="I414" s="124" t="s">
        <v>1904</v>
      </c>
      <c r="J414" s="124" t="s">
        <v>1904</v>
      </c>
      <c r="K414" s="28" t="s">
        <v>1992</v>
      </c>
      <c r="L414" s="28"/>
      <c r="M414" s="28">
        <v>200000</v>
      </c>
      <c r="N414" s="28">
        <v>800000</v>
      </c>
      <c r="O414" s="28" t="s">
        <v>20</v>
      </c>
      <c r="P414" s="28" t="s">
        <v>20</v>
      </c>
      <c r="Q414" s="28" t="s">
        <v>20</v>
      </c>
      <c r="R414" s="28" t="s">
        <v>20</v>
      </c>
      <c r="S414" s="28" t="s">
        <v>20</v>
      </c>
      <c r="T414" s="148" t="s">
        <v>20</v>
      </c>
    </row>
    <row r="415" spans="2:20" ht="115.15" customHeight="1" x14ac:dyDescent="0.25">
      <c r="B415" s="146">
        <v>407</v>
      </c>
      <c r="C415" s="146">
        <v>71</v>
      </c>
      <c r="D415" s="28" t="s">
        <v>1789</v>
      </c>
      <c r="E415" s="28" t="s">
        <v>1789</v>
      </c>
      <c r="F415" s="108">
        <v>45461</v>
      </c>
      <c r="G415" s="109">
        <v>0.67361111111111116</v>
      </c>
      <c r="H415" s="124" t="s">
        <v>2402</v>
      </c>
      <c r="I415" s="124" t="s">
        <v>20</v>
      </c>
      <c r="J415" s="124" t="s">
        <v>20</v>
      </c>
      <c r="K415" s="28" t="s">
        <v>20</v>
      </c>
      <c r="L415" s="28"/>
      <c r="M415" s="28" t="s">
        <v>20</v>
      </c>
      <c r="N415" s="28" t="s">
        <v>20</v>
      </c>
      <c r="O415" s="28" t="s">
        <v>20</v>
      </c>
      <c r="P415" s="28" t="s">
        <v>20</v>
      </c>
      <c r="Q415" s="28" t="s">
        <v>20</v>
      </c>
      <c r="R415" s="28" t="s">
        <v>20</v>
      </c>
      <c r="S415" s="28" t="s">
        <v>20</v>
      </c>
      <c r="T415" s="148" t="s">
        <v>20</v>
      </c>
    </row>
    <row r="416" spans="2:20" ht="96" customHeight="1" x14ac:dyDescent="0.25">
      <c r="B416" s="146">
        <v>408</v>
      </c>
      <c r="C416" s="146">
        <v>72</v>
      </c>
      <c r="D416" s="28" t="s">
        <v>1789</v>
      </c>
      <c r="E416" s="28" t="s">
        <v>1789</v>
      </c>
      <c r="F416" s="108">
        <v>45461</v>
      </c>
      <c r="G416" s="109">
        <v>0.81527777777777777</v>
      </c>
      <c r="H416" s="124" t="s">
        <v>2403</v>
      </c>
      <c r="I416" s="124" t="s">
        <v>1904</v>
      </c>
      <c r="J416" s="124" t="s">
        <v>1904</v>
      </c>
      <c r="K416" s="28" t="s">
        <v>1994</v>
      </c>
      <c r="L416" s="28"/>
      <c r="M416" s="28">
        <v>5000</v>
      </c>
      <c r="N416" s="28">
        <v>45000</v>
      </c>
      <c r="O416" s="28" t="s">
        <v>20</v>
      </c>
      <c r="P416" s="28" t="s">
        <v>20</v>
      </c>
      <c r="Q416" s="28" t="s">
        <v>20</v>
      </c>
      <c r="R416" s="28" t="s">
        <v>20</v>
      </c>
      <c r="S416" s="28" t="s">
        <v>20</v>
      </c>
      <c r="T416" s="148" t="s">
        <v>20</v>
      </c>
    </row>
    <row r="417" spans="2:20" ht="115.15" customHeight="1" x14ac:dyDescent="0.25">
      <c r="B417" s="146">
        <v>452</v>
      </c>
      <c r="C417" s="146">
        <v>28</v>
      </c>
      <c r="D417" s="28" t="s">
        <v>1789</v>
      </c>
      <c r="E417" s="28" t="s">
        <v>1789</v>
      </c>
      <c r="F417" s="108">
        <v>45461</v>
      </c>
      <c r="G417" s="109">
        <v>0.67777777777777781</v>
      </c>
      <c r="H417" s="124" t="s">
        <v>2452</v>
      </c>
      <c r="I417" s="124" t="s">
        <v>2162</v>
      </c>
      <c r="J417" s="124" t="s">
        <v>1904</v>
      </c>
      <c r="K417" s="28" t="s">
        <v>2443</v>
      </c>
      <c r="L417" s="28"/>
      <c r="M417" s="28">
        <v>100000</v>
      </c>
      <c r="N417" s="28">
        <v>400000</v>
      </c>
      <c r="O417" s="28" t="s">
        <v>20</v>
      </c>
      <c r="P417" s="28" t="s">
        <v>20</v>
      </c>
      <c r="Q417" s="28" t="s">
        <v>20</v>
      </c>
      <c r="R417" s="28" t="s">
        <v>20</v>
      </c>
      <c r="S417" s="28" t="s">
        <v>20</v>
      </c>
      <c r="T417" s="148" t="s">
        <v>20</v>
      </c>
    </row>
    <row r="418" spans="2:20" ht="115.15" customHeight="1" x14ac:dyDescent="0.25">
      <c r="B418" s="146">
        <v>2244</v>
      </c>
      <c r="C418" s="146">
        <v>267</v>
      </c>
      <c r="D418" s="28" t="s">
        <v>5357</v>
      </c>
      <c r="E418" s="28" t="s">
        <v>5475</v>
      </c>
      <c r="F418" s="108">
        <v>45461</v>
      </c>
      <c r="G418" s="109">
        <v>0.48680555555555555</v>
      </c>
      <c r="H418" s="124" t="s">
        <v>5433</v>
      </c>
      <c r="I418" s="124"/>
      <c r="J418" s="124"/>
      <c r="K418" s="28"/>
      <c r="L418" s="28"/>
      <c r="M418" s="28" t="s">
        <v>20</v>
      </c>
      <c r="N418" s="28" t="s">
        <v>20</v>
      </c>
      <c r="O418" s="28" t="s">
        <v>20</v>
      </c>
      <c r="P418" s="28" t="s">
        <v>20</v>
      </c>
      <c r="Q418" s="28" t="s">
        <v>20</v>
      </c>
      <c r="R418" s="28" t="s">
        <v>20</v>
      </c>
      <c r="S418" s="28" t="s">
        <v>20</v>
      </c>
      <c r="T418" s="148" t="s">
        <v>20</v>
      </c>
    </row>
    <row r="419" spans="2:20" ht="57.6" customHeight="1" x14ac:dyDescent="0.25">
      <c r="B419" s="146">
        <v>2255</v>
      </c>
      <c r="C419" s="146">
        <v>278</v>
      </c>
      <c r="D419" s="28" t="s">
        <v>5357</v>
      </c>
      <c r="E419" s="28" t="s">
        <v>5471</v>
      </c>
      <c r="F419" s="108">
        <v>45461</v>
      </c>
      <c r="G419" s="109" t="s">
        <v>5467</v>
      </c>
      <c r="H419" s="124" t="s">
        <v>5443</v>
      </c>
      <c r="I419" s="124"/>
      <c r="J419" s="124"/>
      <c r="K419" s="28"/>
      <c r="L419" s="28"/>
      <c r="M419" s="28" t="s">
        <v>20</v>
      </c>
      <c r="N419" s="162">
        <v>1000</v>
      </c>
      <c r="O419" s="28" t="s">
        <v>20</v>
      </c>
      <c r="P419" s="28" t="s">
        <v>20</v>
      </c>
      <c r="Q419" s="28" t="s">
        <v>20</v>
      </c>
      <c r="R419" s="28" t="s">
        <v>20</v>
      </c>
      <c r="S419" s="28" t="s">
        <v>20</v>
      </c>
      <c r="T419" s="148" t="s">
        <v>20</v>
      </c>
    </row>
    <row r="420" spans="2:20" ht="57.6" customHeight="1" x14ac:dyDescent="0.25">
      <c r="B420" s="146">
        <v>2256</v>
      </c>
      <c r="C420" s="146">
        <v>279</v>
      </c>
      <c r="D420" s="28" t="s">
        <v>5357</v>
      </c>
      <c r="E420" s="28" t="s">
        <v>5472</v>
      </c>
      <c r="F420" s="108">
        <v>45461</v>
      </c>
      <c r="G420" s="109" t="s">
        <v>5468</v>
      </c>
      <c r="H420" s="124" t="s">
        <v>5444</v>
      </c>
      <c r="I420" s="124"/>
      <c r="J420" s="124"/>
      <c r="K420" s="28"/>
      <c r="L420" s="28"/>
      <c r="M420" s="28" t="s">
        <v>20</v>
      </c>
      <c r="N420" s="162">
        <v>20000</v>
      </c>
      <c r="O420" s="28" t="s">
        <v>20</v>
      </c>
      <c r="P420" s="28" t="s">
        <v>20</v>
      </c>
      <c r="Q420" s="28" t="s">
        <v>20</v>
      </c>
      <c r="R420" s="28" t="s">
        <v>20</v>
      </c>
      <c r="S420" s="28" t="s">
        <v>20</v>
      </c>
      <c r="T420" s="148" t="s">
        <v>20</v>
      </c>
    </row>
    <row r="421" spans="2:20" ht="76.900000000000006" customHeight="1" x14ac:dyDescent="0.25">
      <c r="B421" s="146">
        <v>3624</v>
      </c>
      <c r="C421" s="146" t="s">
        <v>5770</v>
      </c>
      <c r="D421" s="28" t="s">
        <v>4825</v>
      </c>
      <c r="E421" s="26" t="s">
        <v>5678</v>
      </c>
      <c r="F421" s="108">
        <v>45461</v>
      </c>
      <c r="G421" s="109">
        <v>2.0833333333333332E-2</v>
      </c>
      <c r="H421" s="28" t="s">
        <v>5620</v>
      </c>
      <c r="I421" s="28" t="s">
        <v>406</v>
      </c>
      <c r="J421" s="28"/>
      <c r="K421" s="28" t="s">
        <v>5621</v>
      </c>
      <c r="L421" s="28" t="s">
        <v>2002</v>
      </c>
      <c r="M421" s="28" t="s">
        <v>5270</v>
      </c>
      <c r="N421" s="28" t="s">
        <v>5622</v>
      </c>
      <c r="O421" s="28" t="s">
        <v>20</v>
      </c>
      <c r="P421" s="28" t="s">
        <v>20</v>
      </c>
      <c r="Q421" s="28" t="s">
        <v>20</v>
      </c>
      <c r="R421" s="28" t="s">
        <v>20</v>
      </c>
      <c r="S421" s="28" t="s">
        <v>20</v>
      </c>
      <c r="T421" s="148" t="s">
        <v>20</v>
      </c>
    </row>
    <row r="422" spans="2:20" ht="57.6" customHeight="1" x14ac:dyDescent="0.25">
      <c r="B422" s="146">
        <v>1466</v>
      </c>
      <c r="C422" s="146">
        <v>32</v>
      </c>
      <c r="D422" s="28" t="s">
        <v>93</v>
      </c>
      <c r="E422" s="28" t="s">
        <v>94</v>
      </c>
      <c r="F422" s="108">
        <v>45461</v>
      </c>
      <c r="G422" s="109">
        <v>0.5625</v>
      </c>
      <c r="H422" s="124" t="s">
        <v>2734</v>
      </c>
      <c r="I422" s="124" t="s">
        <v>2735</v>
      </c>
      <c r="J422" s="124" t="s">
        <v>4168</v>
      </c>
      <c r="K422" s="28" t="s">
        <v>2736</v>
      </c>
      <c r="L422" s="28"/>
      <c r="M422" s="28" t="s">
        <v>20</v>
      </c>
      <c r="N422" s="28">
        <v>1000000</v>
      </c>
      <c r="O422" s="28" t="s">
        <v>20</v>
      </c>
      <c r="P422" s="28" t="s">
        <v>20</v>
      </c>
      <c r="Q422" s="28" t="s">
        <v>20</v>
      </c>
      <c r="R422" s="28" t="s">
        <v>20</v>
      </c>
      <c r="S422" s="28" t="s">
        <v>20</v>
      </c>
      <c r="T422" s="148" t="s">
        <v>20</v>
      </c>
    </row>
    <row r="423" spans="2:20" ht="57.6" customHeight="1" x14ac:dyDescent="0.25">
      <c r="B423" s="146">
        <v>1467</v>
      </c>
      <c r="C423" s="146">
        <v>33</v>
      </c>
      <c r="D423" s="28" t="s">
        <v>93</v>
      </c>
      <c r="E423" s="28" t="s">
        <v>94</v>
      </c>
      <c r="F423" s="108">
        <v>45461</v>
      </c>
      <c r="G423" s="109">
        <v>0.68194444444444446</v>
      </c>
      <c r="H423" s="124" t="s">
        <v>2737</v>
      </c>
      <c r="I423" s="124" t="s">
        <v>2610</v>
      </c>
      <c r="J423" s="124" t="s">
        <v>4168</v>
      </c>
      <c r="K423" s="28" t="s">
        <v>2738</v>
      </c>
      <c r="L423" s="28"/>
      <c r="M423" s="28" t="s">
        <v>20</v>
      </c>
      <c r="N423" s="28" t="s">
        <v>20</v>
      </c>
      <c r="O423" s="28" t="s">
        <v>20</v>
      </c>
      <c r="P423" s="28" t="s">
        <v>20</v>
      </c>
      <c r="Q423" s="28" t="s">
        <v>20</v>
      </c>
      <c r="R423" s="28" t="s">
        <v>20</v>
      </c>
      <c r="S423" s="28" t="s">
        <v>20</v>
      </c>
      <c r="T423" s="148" t="s">
        <v>20</v>
      </c>
    </row>
    <row r="424" spans="2:20" ht="57.6" customHeight="1" x14ac:dyDescent="0.25">
      <c r="B424" s="146">
        <v>1502</v>
      </c>
      <c r="C424" s="146">
        <v>68</v>
      </c>
      <c r="D424" s="28" t="s">
        <v>93</v>
      </c>
      <c r="E424" s="28" t="s">
        <v>1792</v>
      </c>
      <c r="F424" s="108">
        <v>45461</v>
      </c>
      <c r="G424" s="109">
        <v>0.45833333333333331</v>
      </c>
      <c r="H424" s="124" t="s">
        <v>2805</v>
      </c>
      <c r="I424" s="124" t="s">
        <v>2578</v>
      </c>
      <c r="J424" s="124" t="s">
        <v>4168</v>
      </c>
      <c r="K424" s="28" t="s">
        <v>2806</v>
      </c>
      <c r="L424" s="28"/>
      <c r="M424" s="28" t="s">
        <v>1832</v>
      </c>
      <c r="N424" s="28" t="s">
        <v>1833</v>
      </c>
      <c r="O424" s="28" t="s">
        <v>23</v>
      </c>
      <c r="P424" s="28" t="s">
        <v>23</v>
      </c>
      <c r="Q424" s="28" t="s">
        <v>23</v>
      </c>
      <c r="R424" s="28" t="s">
        <v>23</v>
      </c>
      <c r="S424" s="28" t="s">
        <v>23</v>
      </c>
      <c r="T424" s="148" t="s">
        <v>23</v>
      </c>
    </row>
    <row r="425" spans="2:20" ht="96" customHeight="1" x14ac:dyDescent="0.25">
      <c r="B425" s="146">
        <v>1505</v>
      </c>
      <c r="C425" s="146">
        <v>71</v>
      </c>
      <c r="D425" s="28" t="s">
        <v>93</v>
      </c>
      <c r="E425" s="28" t="s">
        <v>1791</v>
      </c>
      <c r="F425" s="108">
        <v>45461</v>
      </c>
      <c r="G425" s="109">
        <v>0.64236111111111116</v>
      </c>
      <c r="H425" s="124" t="s">
        <v>2810</v>
      </c>
      <c r="I425" s="124" t="s">
        <v>309</v>
      </c>
      <c r="J425" s="124" t="s">
        <v>385</v>
      </c>
      <c r="K425" s="28" t="s">
        <v>3632</v>
      </c>
      <c r="L425" s="28"/>
      <c r="M425" s="28" t="s">
        <v>189</v>
      </c>
      <c r="N425" s="28" t="s">
        <v>190</v>
      </c>
      <c r="O425" s="28" t="s">
        <v>23</v>
      </c>
      <c r="P425" s="28" t="s">
        <v>23</v>
      </c>
      <c r="Q425" s="28" t="s">
        <v>23</v>
      </c>
      <c r="R425" s="28" t="s">
        <v>23</v>
      </c>
      <c r="S425" s="28" t="s">
        <v>23</v>
      </c>
      <c r="T425" s="148" t="s">
        <v>23</v>
      </c>
    </row>
    <row r="426" spans="2:20" ht="57.6" customHeight="1" x14ac:dyDescent="0.25">
      <c r="B426" s="146">
        <v>1506</v>
      </c>
      <c r="C426" s="146">
        <v>72</v>
      </c>
      <c r="D426" s="28" t="s">
        <v>93</v>
      </c>
      <c r="E426" s="28" t="s">
        <v>1791</v>
      </c>
      <c r="F426" s="108">
        <v>45461</v>
      </c>
      <c r="G426" s="109">
        <v>0.91874999999999996</v>
      </c>
      <c r="H426" s="124" t="s">
        <v>2811</v>
      </c>
      <c r="I426" s="124" t="s">
        <v>406</v>
      </c>
      <c r="J426" s="124" t="s">
        <v>406</v>
      </c>
      <c r="K426" s="28" t="s">
        <v>3635</v>
      </c>
      <c r="L426" s="28"/>
      <c r="M426" s="28" t="s">
        <v>1835</v>
      </c>
      <c r="N426" s="28" t="s">
        <v>204</v>
      </c>
      <c r="O426" s="28" t="s">
        <v>23</v>
      </c>
      <c r="P426" s="28" t="s">
        <v>23</v>
      </c>
      <c r="Q426" s="28" t="s">
        <v>23</v>
      </c>
      <c r="R426" s="28" t="s">
        <v>23</v>
      </c>
      <c r="S426" s="28" t="s">
        <v>23</v>
      </c>
      <c r="T426" s="148" t="s">
        <v>23</v>
      </c>
    </row>
    <row r="427" spans="2:20" ht="96" customHeight="1" x14ac:dyDescent="0.25">
      <c r="B427" s="146">
        <v>2300</v>
      </c>
      <c r="C427" s="146">
        <v>23</v>
      </c>
      <c r="D427" s="28" t="s">
        <v>4832</v>
      </c>
      <c r="E427" s="28" t="s">
        <v>5610</v>
      </c>
      <c r="F427" s="108">
        <v>45462</v>
      </c>
      <c r="G427" s="109">
        <v>0.68055555555555558</v>
      </c>
      <c r="H427" s="124" t="s">
        <v>5551</v>
      </c>
      <c r="I427" s="124" t="s">
        <v>5552</v>
      </c>
      <c r="J427" s="124" t="s">
        <v>4168</v>
      </c>
      <c r="K427" s="28" t="s">
        <v>5553</v>
      </c>
      <c r="L427" s="28"/>
      <c r="M427" s="162">
        <v>50000</v>
      </c>
      <c r="N427" s="162">
        <v>950000</v>
      </c>
      <c r="O427" s="28" t="s">
        <v>20</v>
      </c>
      <c r="P427" s="28" t="s">
        <v>20</v>
      </c>
      <c r="Q427" s="28" t="s">
        <v>20</v>
      </c>
      <c r="R427" s="28" t="s">
        <v>20</v>
      </c>
      <c r="S427" s="28" t="s">
        <v>20</v>
      </c>
      <c r="T427" s="148" t="s">
        <v>20</v>
      </c>
    </row>
    <row r="428" spans="2:20" ht="96" customHeight="1" x14ac:dyDescent="0.25">
      <c r="B428" s="146">
        <v>1036</v>
      </c>
      <c r="C428" s="146">
        <v>536</v>
      </c>
      <c r="D428" s="28" t="s">
        <v>321</v>
      </c>
      <c r="E428" s="28" t="s">
        <v>3685</v>
      </c>
      <c r="F428" s="108">
        <v>45462</v>
      </c>
      <c r="G428" s="109">
        <v>0.94097222222222221</v>
      </c>
      <c r="H428" s="124" t="s">
        <v>4424</v>
      </c>
      <c r="I428" s="124" t="s">
        <v>3752</v>
      </c>
      <c r="J428" s="124" t="s">
        <v>4168</v>
      </c>
      <c r="K428" s="28" t="s">
        <v>353</v>
      </c>
      <c r="L428" s="28"/>
      <c r="M428" s="28" t="s">
        <v>341</v>
      </c>
      <c r="N428" s="28" t="s">
        <v>341</v>
      </c>
      <c r="O428" s="28" t="s">
        <v>20</v>
      </c>
      <c r="P428" s="28" t="s">
        <v>20</v>
      </c>
      <c r="Q428" s="28" t="s">
        <v>20</v>
      </c>
      <c r="R428" s="28" t="s">
        <v>20</v>
      </c>
      <c r="S428" s="28" t="s">
        <v>20</v>
      </c>
      <c r="T428" s="148" t="s">
        <v>20</v>
      </c>
    </row>
    <row r="429" spans="2:20" ht="76.900000000000006" customHeight="1" x14ac:dyDescent="0.25">
      <c r="B429" s="146">
        <v>2358</v>
      </c>
      <c r="C429" s="146" t="s">
        <v>5750</v>
      </c>
      <c r="D429" s="28" t="s">
        <v>1789</v>
      </c>
      <c r="E429" s="124" t="s">
        <v>4908</v>
      </c>
      <c r="F429" s="108">
        <v>45462</v>
      </c>
      <c r="G429" s="109"/>
      <c r="H429" s="124"/>
      <c r="I429" s="124" t="s">
        <v>5362</v>
      </c>
      <c r="J429" s="124" t="s">
        <v>4168</v>
      </c>
      <c r="K429" s="28"/>
      <c r="L429" s="28"/>
      <c r="M429" s="28"/>
      <c r="N429" s="28"/>
      <c r="O429" s="28"/>
      <c r="P429" s="28"/>
      <c r="Q429" s="28"/>
      <c r="R429" s="28"/>
      <c r="S429" s="28"/>
      <c r="T429" s="148"/>
    </row>
    <row r="430" spans="2:20" ht="96" customHeight="1" x14ac:dyDescent="0.25">
      <c r="B430" s="146">
        <v>409</v>
      </c>
      <c r="C430" s="146">
        <v>73</v>
      </c>
      <c r="D430" s="28" t="s">
        <v>1789</v>
      </c>
      <c r="E430" s="28" t="s">
        <v>1789</v>
      </c>
      <c r="F430" s="108">
        <v>45462</v>
      </c>
      <c r="G430" s="109">
        <v>0.27569444444444446</v>
      </c>
      <c r="H430" s="124" t="s">
        <v>2404</v>
      </c>
      <c r="I430" s="124" t="s">
        <v>385</v>
      </c>
      <c r="J430" s="124" t="s">
        <v>385</v>
      </c>
      <c r="K430" s="28" t="s">
        <v>480</v>
      </c>
      <c r="L430" s="28"/>
      <c r="M430" s="28">
        <v>5000</v>
      </c>
      <c r="N430" s="28">
        <v>45000</v>
      </c>
      <c r="O430" s="28" t="s">
        <v>20</v>
      </c>
      <c r="P430" s="28" t="s">
        <v>20</v>
      </c>
      <c r="Q430" s="28" t="s">
        <v>20</v>
      </c>
      <c r="R430" s="28" t="s">
        <v>20</v>
      </c>
      <c r="S430" s="28" t="s">
        <v>20</v>
      </c>
      <c r="T430" s="148" t="s">
        <v>20</v>
      </c>
    </row>
    <row r="431" spans="2:20" ht="115.15" customHeight="1" x14ac:dyDescent="0.25">
      <c r="B431" s="146">
        <v>410</v>
      </c>
      <c r="C431" s="146">
        <v>74</v>
      </c>
      <c r="D431" s="28" t="s">
        <v>1789</v>
      </c>
      <c r="E431" s="28" t="s">
        <v>1789</v>
      </c>
      <c r="F431" s="108">
        <v>45462</v>
      </c>
      <c r="G431" s="109">
        <v>0.4201388888888889</v>
      </c>
      <c r="H431" s="124" t="s">
        <v>2405</v>
      </c>
      <c r="I431" s="124" t="s">
        <v>2406</v>
      </c>
      <c r="J431" s="124" t="s">
        <v>1899</v>
      </c>
      <c r="K431" s="28" t="s">
        <v>2007</v>
      </c>
      <c r="L431" s="28"/>
      <c r="M431" s="28" t="s">
        <v>20</v>
      </c>
      <c r="N431" s="28" t="s">
        <v>20</v>
      </c>
      <c r="O431" s="28" t="s">
        <v>20</v>
      </c>
      <c r="P431" s="28" t="s">
        <v>20</v>
      </c>
      <c r="Q431" s="28" t="s">
        <v>20</v>
      </c>
      <c r="R431" s="28" t="s">
        <v>20</v>
      </c>
      <c r="S431" s="28" t="s">
        <v>20</v>
      </c>
      <c r="T431" s="148" t="s">
        <v>20</v>
      </c>
    </row>
    <row r="432" spans="2:20" ht="115.15" customHeight="1" x14ac:dyDescent="0.25">
      <c r="B432" s="146">
        <v>411</v>
      </c>
      <c r="C432" s="146">
        <v>75</v>
      </c>
      <c r="D432" s="28" t="s">
        <v>1789</v>
      </c>
      <c r="E432" s="28" t="s">
        <v>1789</v>
      </c>
      <c r="F432" s="108">
        <v>45462</v>
      </c>
      <c r="G432" s="109">
        <v>0.49375000000000002</v>
      </c>
      <c r="H432" s="124" t="s">
        <v>2407</v>
      </c>
      <c r="I432" s="124" t="s">
        <v>385</v>
      </c>
      <c r="J432" s="124" t="s">
        <v>385</v>
      </c>
      <c r="K432" s="26" t="s">
        <v>2047</v>
      </c>
      <c r="L432" s="28"/>
      <c r="M432" s="28">
        <v>50000</v>
      </c>
      <c r="N432" s="28">
        <v>450000</v>
      </c>
      <c r="O432" s="28" t="s">
        <v>20</v>
      </c>
      <c r="P432" s="28" t="s">
        <v>20</v>
      </c>
      <c r="Q432" s="28" t="s">
        <v>20</v>
      </c>
      <c r="R432" s="28" t="s">
        <v>20</v>
      </c>
      <c r="S432" s="28" t="s">
        <v>20</v>
      </c>
      <c r="T432" s="148" t="s">
        <v>20</v>
      </c>
    </row>
    <row r="433" spans="2:20" ht="96" customHeight="1" x14ac:dyDescent="0.25">
      <c r="B433" s="146">
        <v>412</v>
      </c>
      <c r="C433" s="146">
        <v>76</v>
      </c>
      <c r="D433" s="28" t="s">
        <v>1789</v>
      </c>
      <c r="E433" s="28" t="s">
        <v>1789</v>
      </c>
      <c r="F433" s="108">
        <v>45462</v>
      </c>
      <c r="G433" s="109">
        <v>0.77083333333333337</v>
      </c>
      <c r="H433" s="124" t="s">
        <v>2408</v>
      </c>
      <c r="I433" s="124" t="s">
        <v>20</v>
      </c>
      <c r="J433" s="124" t="s">
        <v>20</v>
      </c>
      <c r="K433" s="28" t="s">
        <v>2007</v>
      </c>
      <c r="L433" s="28"/>
      <c r="M433" s="28" t="s">
        <v>20</v>
      </c>
      <c r="N433" s="28" t="s">
        <v>20</v>
      </c>
      <c r="O433" s="28" t="s">
        <v>20</v>
      </c>
      <c r="P433" s="28" t="s">
        <v>20</v>
      </c>
      <c r="Q433" s="28" t="s">
        <v>20</v>
      </c>
      <c r="R433" s="28" t="s">
        <v>20</v>
      </c>
      <c r="S433" s="28" t="s">
        <v>20</v>
      </c>
      <c r="T433" s="148" t="s">
        <v>20</v>
      </c>
    </row>
    <row r="434" spans="2:20" ht="57.6" customHeight="1" x14ac:dyDescent="0.25">
      <c r="B434" s="146">
        <v>453</v>
      </c>
      <c r="C434" s="146">
        <v>29</v>
      </c>
      <c r="D434" s="28" t="s">
        <v>1789</v>
      </c>
      <c r="E434" s="28" t="s">
        <v>1789</v>
      </c>
      <c r="F434" s="108">
        <v>45462</v>
      </c>
      <c r="G434" s="109">
        <v>0.56527777777777777</v>
      </c>
      <c r="H434" s="124" t="s">
        <v>2453</v>
      </c>
      <c r="I434" s="124" t="s">
        <v>2162</v>
      </c>
      <c r="J434" s="124" t="s">
        <v>1904</v>
      </c>
      <c r="K434" s="28" t="s">
        <v>2442</v>
      </c>
      <c r="L434" s="28"/>
      <c r="M434" s="28"/>
      <c r="N434" s="28"/>
      <c r="O434" s="28" t="s">
        <v>20</v>
      </c>
      <c r="P434" s="28" t="s">
        <v>20</v>
      </c>
      <c r="Q434" s="28" t="s">
        <v>20</v>
      </c>
      <c r="R434" s="28" t="s">
        <v>20</v>
      </c>
      <c r="S434" s="28" t="s">
        <v>20</v>
      </c>
      <c r="T434" s="148" t="s">
        <v>20</v>
      </c>
    </row>
    <row r="435" spans="2:20" ht="19.5" x14ac:dyDescent="0.25">
      <c r="B435" s="146">
        <v>454</v>
      </c>
      <c r="C435" s="146">
        <v>30</v>
      </c>
      <c r="D435" s="28" t="s">
        <v>1789</v>
      </c>
      <c r="E435" s="28" t="s">
        <v>1789</v>
      </c>
      <c r="F435" s="108">
        <v>45462</v>
      </c>
      <c r="G435" s="109">
        <v>0.59722222222222221</v>
      </c>
      <c r="H435" s="124" t="s">
        <v>2454</v>
      </c>
      <c r="I435" s="124" t="s">
        <v>2162</v>
      </c>
      <c r="J435" s="124" t="s">
        <v>1904</v>
      </c>
      <c r="K435" s="28" t="s">
        <v>2443</v>
      </c>
      <c r="L435" s="28"/>
      <c r="M435" s="28">
        <v>20000</v>
      </c>
      <c r="N435" s="28">
        <v>200000</v>
      </c>
      <c r="O435" s="28" t="s">
        <v>20</v>
      </c>
      <c r="P435" s="28" t="s">
        <v>20</v>
      </c>
      <c r="Q435" s="28" t="s">
        <v>20</v>
      </c>
      <c r="R435" s="28" t="s">
        <v>20</v>
      </c>
      <c r="S435" s="28" t="s">
        <v>20</v>
      </c>
      <c r="T435" s="148" t="s">
        <v>20</v>
      </c>
    </row>
    <row r="436" spans="2:20" ht="115.15" customHeight="1" x14ac:dyDescent="0.35">
      <c r="B436" s="146">
        <v>3641</v>
      </c>
      <c r="C436" s="146" t="s">
        <v>5787</v>
      </c>
      <c r="D436" s="28" t="s">
        <v>4825</v>
      </c>
      <c r="E436" s="28" t="s">
        <v>5678</v>
      </c>
      <c r="F436" s="108">
        <v>45462</v>
      </c>
      <c r="G436" s="109">
        <v>0.65625</v>
      </c>
      <c r="H436" s="28" t="s">
        <v>5640</v>
      </c>
      <c r="I436" s="131"/>
      <c r="J436" s="131"/>
      <c r="K436" s="131"/>
      <c r="L436" s="104"/>
      <c r="M436" s="28" t="s">
        <v>5634</v>
      </c>
      <c r="N436" s="28" t="s">
        <v>20</v>
      </c>
      <c r="O436" s="28" t="s">
        <v>20</v>
      </c>
      <c r="P436" s="28" t="s">
        <v>20</v>
      </c>
      <c r="Q436" s="28" t="s">
        <v>20</v>
      </c>
      <c r="R436" s="28" t="s">
        <v>20</v>
      </c>
      <c r="S436" s="28" t="s">
        <v>20</v>
      </c>
      <c r="T436" s="148" t="s">
        <v>20</v>
      </c>
    </row>
    <row r="437" spans="2:20" ht="115.15" customHeight="1" x14ac:dyDescent="0.35">
      <c r="B437" s="146">
        <v>3631</v>
      </c>
      <c r="C437" s="146" t="s">
        <v>5777</v>
      </c>
      <c r="D437" s="28" t="s">
        <v>4825</v>
      </c>
      <c r="E437" s="28" t="s">
        <v>4825</v>
      </c>
      <c r="F437" s="108">
        <v>45462</v>
      </c>
      <c r="G437" s="109">
        <v>0.49444444444444446</v>
      </c>
      <c r="H437" s="28" t="s">
        <v>5627</v>
      </c>
      <c r="I437" s="131"/>
      <c r="J437" s="131"/>
      <c r="K437" s="131"/>
      <c r="L437" s="104"/>
      <c r="M437" s="27" t="s">
        <v>20</v>
      </c>
      <c r="N437" s="27" t="s">
        <v>20</v>
      </c>
      <c r="O437" s="27" t="s">
        <v>20</v>
      </c>
      <c r="P437" s="27" t="s">
        <v>20</v>
      </c>
      <c r="Q437" s="27" t="s">
        <v>20</v>
      </c>
      <c r="R437" s="27" t="s">
        <v>20</v>
      </c>
      <c r="S437" s="27" t="s">
        <v>20</v>
      </c>
      <c r="T437" s="241" t="s">
        <v>20</v>
      </c>
    </row>
    <row r="438" spans="2:20" ht="76.900000000000006" customHeight="1" x14ac:dyDescent="0.25">
      <c r="B438" s="146">
        <v>1514</v>
      </c>
      <c r="C438" s="146">
        <v>80</v>
      </c>
      <c r="D438" s="28" t="s">
        <v>93</v>
      </c>
      <c r="E438" s="28" t="s">
        <v>587</v>
      </c>
      <c r="F438" s="108">
        <v>45462</v>
      </c>
      <c r="G438" s="109">
        <v>0.92986111111111114</v>
      </c>
      <c r="H438" s="124" t="s">
        <v>2824</v>
      </c>
      <c r="I438" s="124" t="s">
        <v>2825</v>
      </c>
      <c r="J438" s="124" t="s">
        <v>1899</v>
      </c>
      <c r="K438" s="28" t="s">
        <v>2826</v>
      </c>
      <c r="L438" s="28"/>
      <c r="M438" s="28">
        <v>2000</v>
      </c>
      <c r="N438" s="28">
        <v>298000</v>
      </c>
      <c r="O438" s="28" t="s">
        <v>23</v>
      </c>
      <c r="P438" s="28" t="s">
        <v>23</v>
      </c>
      <c r="Q438" s="28" t="s">
        <v>23</v>
      </c>
      <c r="R438" s="28" t="s">
        <v>23</v>
      </c>
      <c r="S438" s="28" t="s">
        <v>23</v>
      </c>
      <c r="T438" s="148" t="s">
        <v>23</v>
      </c>
    </row>
    <row r="439" spans="2:20" ht="115.15" customHeight="1" x14ac:dyDescent="0.25">
      <c r="B439" s="146">
        <v>1468</v>
      </c>
      <c r="C439" s="154">
        <v>34</v>
      </c>
      <c r="D439" s="155" t="s">
        <v>93</v>
      </c>
      <c r="E439" s="155" t="s">
        <v>94</v>
      </c>
      <c r="F439" s="160">
        <v>45462</v>
      </c>
      <c r="G439" s="156">
        <v>0.50624999999999998</v>
      </c>
      <c r="H439" s="157" t="s">
        <v>2739</v>
      </c>
      <c r="I439" s="157" t="s">
        <v>2740</v>
      </c>
      <c r="J439" s="157" t="s">
        <v>4168</v>
      </c>
      <c r="K439" s="155" t="s">
        <v>2736</v>
      </c>
      <c r="L439" s="155"/>
      <c r="M439" s="155">
        <v>1000</v>
      </c>
      <c r="N439" s="155">
        <v>499000</v>
      </c>
      <c r="O439" s="155" t="s">
        <v>20</v>
      </c>
      <c r="P439" s="155" t="s">
        <v>20</v>
      </c>
      <c r="Q439" s="155" t="s">
        <v>20</v>
      </c>
      <c r="R439" s="155" t="s">
        <v>20</v>
      </c>
      <c r="S439" s="155" t="s">
        <v>20</v>
      </c>
      <c r="T439" s="158" t="s">
        <v>20</v>
      </c>
    </row>
    <row r="440" spans="2:20" ht="211.15" customHeight="1" x14ac:dyDescent="0.25">
      <c r="B440" s="146">
        <v>1469</v>
      </c>
      <c r="C440" s="146">
        <v>35</v>
      </c>
      <c r="D440" s="28" t="s">
        <v>93</v>
      </c>
      <c r="E440" s="28" t="s">
        <v>94</v>
      </c>
      <c r="F440" s="108">
        <v>45462</v>
      </c>
      <c r="G440" s="109">
        <v>0.9555555555555556</v>
      </c>
      <c r="H440" s="124" t="s">
        <v>2741</v>
      </c>
      <c r="I440" s="124" t="s">
        <v>2742</v>
      </c>
      <c r="J440" s="124"/>
      <c r="K440" s="28" t="s">
        <v>2743</v>
      </c>
      <c r="L440" s="28"/>
      <c r="M440" s="28">
        <v>1000</v>
      </c>
      <c r="N440" s="28">
        <v>19000</v>
      </c>
      <c r="O440" s="28" t="s">
        <v>20</v>
      </c>
      <c r="P440" s="28" t="s">
        <v>20</v>
      </c>
      <c r="Q440" s="28" t="s">
        <v>20</v>
      </c>
      <c r="R440" s="28" t="s">
        <v>20</v>
      </c>
      <c r="S440" s="28" t="s">
        <v>20</v>
      </c>
      <c r="T440" s="148" t="s">
        <v>20</v>
      </c>
    </row>
    <row r="441" spans="2:20" ht="115.15" customHeight="1" x14ac:dyDescent="0.25">
      <c r="B441" s="146">
        <v>1492</v>
      </c>
      <c r="C441" s="146">
        <v>58</v>
      </c>
      <c r="D441" s="28" t="s">
        <v>93</v>
      </c>
      <c r="E441" s="28" t="s">
        <v>584</v>
      </c>
      <c r="F441" s="108">
        <v>45462</v>
      </c>
      <c r="G441" s="109">
        <v>0.57222222222222219</v>
      </c>
      <c r="H441" s="124" t="s">
        <v>2787</v>
      </c>
      <c r="I441" s="124" t="s">
        <v>2778</v>
      </c>
      <c r="J441" s="124" t="s">
        <v>4168</v>
      </c>
      <c r="K441" s="28" t="s">
        <v>2555</v>
      </c>
      <c r="L441" s="28"/>
      <c r="M441" s="28" t="s">
        <v>121</v>
      </c>
      <c r="N441" s="28">
        <v>50000</v>
      </c>
      <c r="O441" s="28" t="s">
        <v>75</v>
      </c>
      <c r="P441" s="28" t="s">
        <v>75</v>
      </c>
      <c r="Q441" s="28" t="s">
        <v>75</v>
      </c>
      <c r="R441" s="28" t="s">
        <v>75</v>
      </c>
      <c r="S441" s="28" t="s">
        <v>75</v>
      </c>
      <c r="T441" s="148" t="s">
        <v>75</v>
      </c>
    </row>
    <row r="442" spans="2:20" ht="39" x14ac:dyDescent="0.25">
      <c r="B442" s="146">
        <v>1493</v>
      </c>
      <c r="C442" s="146">
        <v>59</v>
      </c>
      <c r="D442" s="28" t="s">
        <v>93</v>
      </c>
      <c r="E442" s="28" t="s">
        <v>584</v>
      </c>
      <c r="F442" s="108">
        <v>45462</v>
      </c>
      <c r="G442" s="109">
        <v>0.89513888888888893</v>
      </c>
      <c r="H442" s="124" t="s">
        <v>2788</v>
      </c>
      <c r="I442" s="124" t="s">
        <v>406</v>
      </c>
      <c r="J442" s="124" t="s">
        <v>406</v>
      </c>
      <c r="K442" s="28" t="s">
        <v>2789</v>
      </c>
      <c r="L442" s="28"/>
      <c r="M442" s="28">
        <v>1000</v>
      </c>
      <c r="N442" s="28">
        <v>49000</v>
      </c>
      <c r="O442" s="28" t="s">
        <v>75</v>
      </c>
      <c r="P442" s="28" t="s">
        <v>75</v>
      </c>
      <c r="Q442" s="28" t="s">
        <v>75</v>
      </c>
      <c r="R442" s="28" t="s">
        <v>75</v>
      </c>
      <c r="S442" s="28" t="s">
        <v>75</v>
      </c>
      <c r="T442" s="148" t="s">
        <v>75</v>
      </c>
    </row>
    <row r="443" spans="2:20" ht="39" x14ac:dyDescent="0.25">
      <c r="B443" s="146">
        <v>1507</v>
      </c>
      <c r="C443" s="146">
        <v>73</v>
      </c>
      <c r="D443" s="28" t="s">
        <v>93</v>
      </c>
      <c r="E443" s="28" t="s">
        <v>1791</v>
      </c>
      <c r="F443" s="108">
        <v>45462</v>
      </c>
      <c r="G443" s="109">
        <v>1.2500000000000001E-2</v>
      </c>
      <c r="H443" s="124" t="s">
        <v>2812</v>
      </c>
      <c r="I443" s="124" t="s">
        <v>319</v>
      </c>
      <c r="J443" s="124" t="s">
        <v>385</v>
      </c>
      <c r="K443" s="28" t="s">
        <v>3634</v>
      </c>
      <c r="L443" s="28"/>
      <c r="M443" s="28" t="s">
        <v>20</v>
      </c>
      <c r="N443" s="28" t="s">
        <v>20</v>
      </c>
      <c r="O443" s="28" t="s">
        <v>23</v>
      </c>
      <c r="P443" s="28" t="s">
        <v>23</v>
      </c>
      <c r="Q443" s="28" t="s">
        <v>23</v>
      </c>
      <c r="R443" s="28" t="s">
        <v>23</v>
      </c>
      <c r="S443" s="28" t="s">
        <v>23</v>
      </c>
      <c r="T443" s="148" t="s">
        <v>23</v>
      </c>
    </row>
    <row r="444" spans="2:20" ht="19.5" x14ac:dyDescent="0.25">
      <c r="B444" s="146">
        <v>1037</v>
      </c>
      <c r="C444" s="146">
        <v>537</v>
      </c>
      <c r="D444" s="28" t="s">
        <v>321</v>
      </c>
      <c r="E444" s="28" t="s">
        <v>3685</v>
      </c>
      <c r="F444" s="108">
        <v>45463</v>
      </c>
      <c r="G444" s="109">
        <v>0.83819444444444446</v>
      </c>
      <c r="H444" s="124" t="s">
        <v>4425</v>
      </c>
      <c r="I444" s="124" t="s">
        <v>4426</v>
      </c>
      <c r="J444" s="124" t="s">
        <v>385</v>
      </c>
      <c r="K444" s="28" t="s">
        <v>4427</v>
      </c>
      <c r="L444" s="28"/>
      <c r="M444" s="28">
        <v>5000</v>
      </c>
      <c r="N444" s="28">
        <v>20000</v>
      </c>
      <c r="O444" s="28" t="s">
        <v>20</v>
      </c>
      <c r="P444" s="28" t="s">
        <v>20</v>
      </c>
      <c r="Q444" s="28" t="s">
        <v>20</v>
      </c>
      <c r="R444" s="28" t="s">
        <v>20</v>
      </c>
      <c r="S444" s="28" t="s">
        <v>20</v>
      </c>
      <c r="T444" s="148" t="s">
        <v>20</v>
      </c>
    </row>
    <row r="445" spans="2:20" ht="39" x14ac:dyDescent="0.25">
      <c r="B445" s="146">
        <v>1038</v>
      </c>
      <c r="C445" s="146">
        <v>538</v>
      </c>
      <c r="D445" s="28" t="s">
        <v>321</v>
      </c>
      <c r="E445" s="28" t="s">
        <v>3685</v>
      </c>
      <c r="F445" s="108">
        <v>45463</v>
      </c>
      <c r="G445" s="109">
        <v>0.83958333333333335</v>
      </c>
      <c r="H445" s="124" t="s">
        <v>4428</v>
      </c>
      <c r="I445" s="124" t="s">
        <v>3755</v>
      </c>
      <c r="J445" s="124" t="s">
        <v>1899</v>
      </c>
      <c r="K445" s="28" t="s">
        <v>2210</v>
      </c>
      <c r="L445" s="28"/>
      <c r="M445" s="28">
        <v>10000</v>
      </c>
      <c r="N445" s="28">
        <v>20000</v>
      </c>
      <c r="O445" s="28" t="s">
        <v>20</v>
      </c>
      <c r="P445" s="28" t="s">
        <v>20</v>
      </c>
      <c r="Q445" s="28" t="s">
        <v>20</v>
      </c>
      <c r="R445" s="28" t="s">
        <v>20</v>
      </c>
      <c r="S445" s="28" t="s">
        <v>20</v>
      </c>
      <c r="T445" s="148" t="s">
        <v>20</v>
      </c>
    </row>
    <row r="446" spans="2:20" ht="117" x14ac:dyDescent="0.25">
      <c r="B446" s="146">
        <v>1058</v>
      </c>
      <c r="C446" s="146">
        <v>558</v>
      </c>
      <c r="D446" s="28" t="s">
        <v>321</v>
      </c>
      <c r="E446" s="28" t="s">
        <v>306</v>
      </c>
      <c r="F446" s="108">
        <v>45463</v>
      </c>
      <c r="G446" s="109">
        <v>0.74722222222222223</v>
      </c>
      <c r="H446" s="124" t="s">
        <v>4459</v>
      </c>
      <c r="I446" s="124" t="s">
        <v>4285</v>
      </c>
      <c r="J446" s="124" t="s">
        <v>385</v>
      </c>
      <c r="K446" s="28" t="s">
        <v>4460</v>
      </c>
      <c r="L446" s="28"/>
      <c r="M446" s="28">
        <v>100000</v>
      </c>
      <c r="N446" s="28">
        <v>1900000</v>
      </c>
      <c r="O446" s="28" t="s">
        <v>20</v>
      </c>
      <c r="P446" s="28" t="s">
        <v>20</v>
      </c>
      <c r="Q446" s="28" t="s">
        <v>20</v>
      </c>
      <c r="R446" s="28" t="s">
        <v>20</v>
      </c>
      <c r="S446" s="28" t="s">
        <v>20</v>
      </c>
      <c r="T446" s="148" t="s">
        <v>20</v>
      </c>
    </row>
    <row r="447" spans="2:20" ht="19.5" x14ac:dyDescent="0.25">
      <c r="B447" s="146">
        <v>414</v>
      </c>
      <c r="C447" s="146">
        <v>78</v>
      </c>
      <c r="D447" s="28" t="s">
        <v>1789</v>
      </c>
      <c r="E447" s="28" t="s">
        <v>1789</v>
      </c>
      <c r="F447" s="108">
        <v>45463</v>
      </c>
      <c r="G447" s="109">
        <v>0.86944444444444446</v>
      </c>
      <c r="H447" s="124" t="s">
        <v>2410</v>
      </c>
      <c r="I447" s="124" t="s">
        <v>2200</v>
      </c>
      <c r="J447" s="124" t="s">
        <v>5903</v>
      </c>
      <c r="K447" s="26" t="s">
        <v>2411</v>
      </c>
      <c r="L447" s="28" t="s">
        <v>2011</v>
      </c>
      <c r="M447" s="28">
        <v>0</v>
      </c>
      <c r="N447" s="28">
        <v>0</v>
      </c>
      <c r="O447" s="28" t="s">
        <v>20</v>
      </c>
      <c r="P447" s="28" t="s">
        <v>20</v>
      </c>
      <c r="Q447" s="28" t="s">
        <v>20</v>
      </c>
      <c r="R447" s="28" t="s">
        <v>20</v>
      </c>
      <c r="S447" s="28" t="s">
        <v>20</v>
      </c>
      <c r="T447" s="148" t="s">
        <v>20</v>
      </c>
    </row>
    <row r="448" spans="2:20" ht="19.5" x14ac:dyDescent="0.25">
      <c r="B448" s="146">
        <v>455</v>
      </c>
      <c r="C448" s="146">
        <v>31</v>
      </c>
      <c r="D448" s="28" t="s">
        <v>1789</v>
      </c>
      <c r="E448" s="28" t="s">
        <v>1789</v>
      </c>
      <c r="F448" s="108">
        <v>45463</v>
      </c>
      <c r="G448" s="109">
        <v>0.78749999999999998</v>
      </c>
      <c r="H448" s="124" t="s">
        <v>2266</v>
      </c>
      <c r="I448" s="124" t="s">
        <v>2162</v>
      </c>
      <c r="J448" s="124" t="s">
        <v>1904</v>
      </c>
      <c r="K448" s="28" t="s">
        <v>2448</v>
      </c>
      <c r="L448" s="28"/>
      <c r="M448" s="28">
        <v>20000</v>
      </c>
      <c r="N448" s="28">
        <v>180000</v>
      </c>
      <c r="O448" s="28" t="s">
        <v>20</v>
      </c>
      <c r="P448" s="28" t="s">
        <v>20</v>
      </c>
      <c r="Q448" s="28" t="s">
        <v>20</v>
      </c>
      <c r="R448" s="28" t="s">
        <v>20</v>
      </c>
      <c r="S448" s="28" t="s">
        <v>20</v>
      </c>
      <c r="T448" s="148" t="s">
        <v>20</v>
      </c>
    </row>
    <row r="449" spans="2:20" ht="58.5" x14ac:dyDescent="0.25">
      <c r="B449" s="146">
        <v>1470</v>
      </c>
      <c r="C449" s="146">
        <v>36</v>
      </c>
      <c r="D449" s="28" t="s">
        <v>93</v>
      </c>
      <c r="E449" s="28" t="s">
        <v>94</v>
      </c>
      <c r="F449" s="108">
        <v>45463</v>
      </c>
      <c r="G449" s="109">
        <v>0.9916666666666667</v>
      </c>
      <c r="H449" s="124" t="s">
        <v>2744</v>
      </c>
      <c r="I449" s="124" t="s">
        <v>2740</v>
      </c>
      <c r="J449" s="124" t="s">
        <v>4168</v>
      </c>
      <c r="K449" s="28" t="s">
        <v>2716</v>
      </c>
      <c r="L449" s="28"/>
      <c r="M449" s="28" t="s">
        <v>20</v>
      </c>
      <c r="N449" s="28" t="s">
        <v>20</v>
      </c>
      <c r="O449" s="28" t="s">
        <v>20</v>
      </c>
      <c r="P449" s="28" t="s">
        <v>20</v>
      </c>
      <c r="Q449" s="28" t="s">
        <v>20</v>
      </c>
      <c r="R449" s="28" t="s">
        <v>20</v>
      </c>
      <c r="S449" s="28" t="s">
        <v>20</v>
      </c>
      <c r="T449" s="148" t="s">
        <v>20</v>
      </c>
    </row>
    <row r="450" spans="2:20" ht="19.5" x14ac:dyDescent="0.25">
      <c r="B450" s="146">
        <v>1039</v>
      </c>
      <c r="C450" s="146">
        <v>539</v>
      </c>
      <c r="D450" s="28" t="s">
        <v>321</v>
      </c>
      <c r="E450" s="28" t="s">
        <v>3685</v>
      </c>
      <c r="F450" s="108">
        <v>45464</v>
      </c>
      <c r="G450" s="109">
        <v>0.90138888888888891</v>
      </c>
      <c r="H450" s="124" t="s">
        <v>4429</v>
      </c>
      <c r="I450" s="124" t="s">
        <v>4340</v>
      </c>
      <c r="J450" s="124" t="s">
        <v>385</v>
      </c>
      <c r="K450" s="28" t="s">
        <v>320</v>
      </c>
      <c r="L450" s="28"/>
      <c r="M450" s="28">
        <v>20000</v>
      </c>
      <c r="N450" s="28">
        <v>30000</v>
      </c>
      <c r="O450" s="28" t="s">
        <v>20</v>
      </c>
      <c r="P450" s="28" t="s">
        <v>20</v>
      </c>
      <c r="Q450" s="28" t="s">
        <v>20</v>
      </c>
      <c r="R450" s="28" t="s">
        <v>20</v>
      </c>
      <c r="S450" s="28" t="s">
        <v>20</v>
      </c>
      <c r="T450" s="148" t="s">
        <v>20</v>
      </c>
    </row>
    <row r="451" spans="2:20" ht="117" x14ac:dyDescent="0.25">
      <c r="B451" s="146">
        <v>1059</v>
      </c>
      <c r="C451" s="146">
        <v>559</v>
      </c>
      <c r="D451" s="28" t="s">
        <v>321</v>
      </c>
      <c r="E451" s="28" t="s">
        <v>306</v>
      </c>
      <c r="F451" s="108">
        <v>45464</v>
      </c>
      <c r="G451" s="109">
        <v>0.69722222222222219</v>
      </c>
      <c r="H451" s="124" t="s">
        <v>4461</v>
      </c>
      <c r="I451" s="124" t="s">
        <v>4029</v>
      </c>
      <c r="J451" s="26" t="s">
        <v>4168</v>
      </c>
      <c r="K451" s="28" t="s">
        <v>5792</v>
      </c>
      <c r="L451" s="28"/>
      <c r="M451" s="28" t="s">
        <v>341</v>
      </c>
      <c r="N451" s="28" t="s">
        <v>341</v>
      </c>
      <c r="O451" s="28" t="s">
        <v>20</v>
      </c>
      <c r="P451" s="28" t="s">
        <v>20</v>
      </c>
      <c r="Q451" s="28" t="s">
        <v>20</v>
      </c>
      <c r="R451" s="28" t="s">
        <v>20</v>
      </c>
      <c r="S451" s="28" t="s">
        <v>20</v>
      </c>
      <c r="T451" s="148" t="s">
        <v>20</v>
      </c>
    </row>
    <row r="452" spans="2:20" ht="19.5" x14ac:dyDescent="0.25">
      <c r="B452" s="146">
        <v>415</v>
      </c>
      <c r="C452" s="146">
        <v>79</v>
      </c>
      <c r="D452" s="28" t="s">
        <v>1789</v>
      </c>
      <c r="E452" s="28" t="s">
        <v>1789</v>
      </c>
      <c r="F452" s="108">
        <v>45464</v>
      </c>
      <c r="G452" s="109">
        <v>0.47083333333333333</v>
      </c>
      <c r="H452" s="124" t="s">
        <v>2412</v>
      </c>
      <c r="I452" s="124" t="s">
        <v>2162</v>
      </c>
      <c r="J452" s="124" t="s">
        <v>1904</v>
      </c>
      <c r="K452" s="28" t="s">
        <v>2160</v>
      </c>
      <c r="L452" s="28"/>
      <c r="M452" s="28">
        <v>10000</v>
      </c>
      <c r="N452" s="28">
        <v>90000</v>
      </c>
      <c r="O452" s="28" t="s">
        <v>20</v>
      </c>
      <c r="P452" s="28" t="s">
        <v>20</v>
      </c>
      <c r="Q452" s="28" t="s">
        <v>20</v>
      </c>
      <c r="R452" s="28" t="s">
        <v>20</v>
      </c>
      <c r="S452" s="28" t="s">
        <v>20</v>
      </c>
      <c r="T452" s="148" t="s">
        <v>20</v>
      </c>
    </row>
    <row r="453" spans="2:20" ht="134.44999999999999" customHeight="1" x14ac:dyDescent="0.35">
      <c r="B453" s="146">
        <v>3642</v>
      </c>
      <c r="C453" s="146" t="s">
        <v>5788</v>
      </c>
      <c r="D453" s="28" t="s">
        <v>4825</v>
      </c>
      <c r="E453" s="28" t="s">
        <v>5678</v>
      </c>
      <c r="F453" s="108">
        <v>45464</v>
      </c>
      <c r="G453" s="109">
        <v>0.45833333333333331</v>
      </c>
      <c r="H453" s="26" t="s">
        <v>5641</v>
      </c>
      <c r="I453" s="131"/>
      <c r="J453" s="131"/>
      <c r="K453" s="131"/>
      <c r="L453" s="104"/>
      <c r="M453" s="28" t="s">
        <v>5634</v>
      </c>
      <c r="N453" s="28" t="s">
        <v>20</v>
      </c>
      <c r="O453" s="28" t="s">
        <v>20</v>
      </c>
      <c r="P453" s="28" t="s">
        <v>20</v>
      </c>
      <c r="Q453" s="28" t="s">
        <v>20</v>
      </c>
      <c r="R453" s="28" t="s">
        <v>20</v>
      </c>
      <c r="S453" s="28" t="s">
        <v>20</v>
      </c>
      <c r="T453" s="148" t="s">
        <v>20</v>
      </c>
    </row>
    <row r="454" spans="2:20" ht="249.6" customHeight="1" x14ac:dyDescent="0.35">
      <c r="B454" s="146">
        <v>3643</v>
      </c>
      <c r="C454" s="146" t="s">
        <v>5789</v>
      </c>
      <c r="D454" s="28" t="s">
        <v>4825</v>
      </c>
      <c r="E454" s="28" t="s">
        <v>5678</v>
      </c>
      <c r="F454" s="108">
        <v>45464</v>
      </c>
      <c r="G454" s="109">
        <v>0.6020833333333333</v>
      </c>
      <c r="H454" s="28" t="s">
        <v>5642</v>
      </c>
      <c r="I454" s="131"/>
      <c r="J454" s="131"/>
      <c r="K454" s="131"/>
      <c r="L454" s="104"/>
      <c r="M454" s="28" t="s">
        <v>5634</v>
      </c>
      <c r="N454" s="28" t="s">
        <v>20</v>
      </c>
      <c r="O454" s="28" t="s">
        <v>20</v>
      </c>
      <c r="P454" s="28" t="s">
        <v>20</v>
      </c>
      <c r="Q454" s="28" t="s">
        <v>20</v>
      </c>
      <c r="R454" s="28" t="s">
        <v>20</v>
      </c>
      <c r="S454" s="28" t="s">
        <v>20</v>
      </c>
      <c r="T454" s="148" t="s">
        <v>20</v>
      </c>
    </row>
    <row r="455" spans="2:20" ht="211.15" customHeight="1" x14ac:dyDescent="0.25">
      <c r="B455" s="146">
        <v>2359</v>
      </c>
      <c r="C455" s="146" t="s">
        <v>5751</v>
      </c>
      <c r="D455" s="28" t="s">
        <v>1789</v>
      </c>
      <c r="E455" s="124" t="s">
        <v>4908</v>
      </c>
      <c r="F455" s="108">
        <v>45465</v>
      </c>
      <c r="G455" s="109"/>
      <c r="H455" s="124"/>
      <c r="I455" s="124" t="s">
        <v>5810</v>
      </c>
      <c r="J455" s="124" t="s">
        <v>4168</v>
      </c>
      <c r="K455" s="28"/>
      <c r="L455" s="28"/>
      <c r="M455" s="28"/>
      <c r="N455" s="28"/>
      <c r="O455" s="28"/>
      <c r="P455" s="28"/>
      <c r="Q455" s="28"/>
      <c r="R455" s="28"/>
      <c r="S455" s="28"/>
      <c r="T455" s="148"/>
    </row>
    <row r="456" spans="2:20" ht="230.45" customHeight="1" x14ac:dyDescent="0.25">
      <c r="B456" s="146">
        <v>2196</v>
      </c>
      <c r="C456" s="146">
        <v>219</v>
      </c>
      <c r="D456" s="28" t="s">
        <v>5357</v>
      </c>
      <c r="E456" s="28" t="s">
        <v>5469</v>
      </c>
      <c r="F456" s="108">
        <v>45465</v>
      </c>
      <c r="G456" s="109">
        <v>0.57430555555555551</v>
      </c>
      <c r="H456" s="124" t="s">
        <v>5383</v>
      </c>
      <c r="I456" s="124" t="s">
        <v>5384</v>
      </c>
      <c r="J456" s="124"/>
      <c r="K456" s="28" t="s">
        <v>5360</v>
      </c>
      <c r="L456" s="28"/>
      <c r="M456" s="162">
        <v>90000</v>
      </c>
      <c r="N456" s="162">
        <v>1410000</v>
      </c>
      <c r="O456" s="28" t="s">
        <v>20</v>
      </c>
      <c r="P456" s="28" t="s">
        <v>20</v>
      </c>
      <c r="Q456" s="28" t="s">
        <v>20</v>
      </c>
      <c r="R456" s="28" t="s">
        <v>20</v>
      </c>
      <c r="S456" s="28" t="s">
        <v>20</v>
      </c>
      <c r="T456" s="148" t="s">
        <v>20</v>
      </c>
    </row>
    <row r="457" spans="2:20" ht="249.6" customHeight="1" x14ac:dyDescent="0.25">
      <c r="B457" s="146">
        <v>2262</v>
      </c>
      <c r="C457" s="146">
        <v>285</v>
      </c>
      <c r="D457" s="28" t="s">
        <v>5357</v>
      </c>
      <c r="E457" s="28" t="s">
        <v>5469</v>
      </c>
      <c r="F457" s="108">
        <v>45465</v>
      </c>
      <c r="G457" s="109">
        <v>0.82499999999999996</v>
      </c>
      <c r="H457" s="124" t="s">
        <v>5450</v>
      </c>
      <c r="I457" s="124"/>
      <c r="J457" s="124"/>
      <c r="K457" s="28"/>
      <c r="L457" s="28"/>
      <c r="M457" s="28" t="s">
        <v>20</v>
      </c>
      <c r="N457" s="28" t="s">
        <v>20</v>
      </c>
      <c r="O457" s="28" t="s">
        <v>20</v>
      </c>
      <c r="P457" s="28" t="s">
        <v>20</v>
      </c>
      <c r="Q457" s="28" t="s">
        <v>20</v>
      </c>
      <c r="R457" s="28" t="s">
        <v>20</v>
      </c>
      <c r="S457" s="28" t="s">
        <v>20</v>
      </c>
      <c r="T457" s="148" t="s">
        <v>20</v>
      </c>
    </row>
    <row r="458" spans="2:20" ht="192" customHeight="1" x14ac:dyDescent="0.25">
      <c r="B458" s="146">
        <v>1040</v>
      </c>
      <c r="C458" s="146">
        <v>540</v>
      </c>
      <c r="D458" s="28" t="s">
        <v>321</v>
      </c>
      <c r="E458" s="28" t="s">
        <v>3685</v>
      </c>
      <c r="F458" s="108">
        <v>45466</v>
      </c>
      <c r="G458" s="109">
        <v>0.89583333333333337</v>
      </c>
      <c r="H458" s="124" t="s">
        <v>4430</v>
      </c>
      <c r="I458" s="124" t="s">
        <v>4343</v>
      </c>
      <c r="J458" s="124" t="s">
        <v>385</v>
      </c>
      <c r="K458" s="28" t="s">
        <v>3148</v>
      </c>
      <c r="L458" s="28"/>
      <c r="M458" s="28">
        <v>5000</v>
      </c>
      <c r="N458" s="28">
        <v>10000</v>
      </c>
      <c r="O458" s="28" t="s">
        <v>20</v>
      </c>
      <c r="P458" s="28" t="s">
        <v>20</v>
      </c>
      <c r="Q458" s="28" t="s">
        <v>20</v>
      </c>
      <c r="R458" s="28" t="s">
        <v>20</v>
      </c>
      <c r="S458" s="28" t="s">
        <v>20</v>
      </c>
      <c r="T458" s="148" t="s">
        <v>20</v>
      </c>
    </row>
    <row r="459" spans="2:20" ht="211.15" customHeight="1" x14ac:dyDescent="0.25">
      <c r="B459" s="146">
        <v>2360</v>
      </c>
      <c r="C459" s="146" t="s">
        <v>5752</v>
      </c>
      <c r="D459" s="28" t="s">
        <v>1789</v>
      </c>
      <c r="E459" s="124" t="s">
        <v>4908</v>
      </c>
      <c r="F459" s="108">
        <v>45466</v>
      </c>
      <c r="G459" s="109"/>
      <c r="H459" s="124"/>
      <c r="I459" s="124" t="s">
        <v>5816</v>
      </c>
      <c r="J459" s="124" t="s">
        <v>385</v>
      </c>
      <c r="K459" s="28"/>
      <c r="L459" s="28"/>
      <c r="M459" s="28"/>
      <c r="N459" s="28"/>
      <c r="O459" s="28"/>
      <c r="P459" s="28"/>
      <c r="Q459" s="28"/>
      <c r="R459" s="28"/>
      <c r="S459" s="28"/>
      <c r="T459" s="148"/>
    </row>
    <row r="460" spans="2:20" ht="211.15" customHeight="1" x14ac:dyDescent="0.25">
      <c r="B460" s="146">
        <v>416</v>
      </c>
      <c r="C460" s="146">
        <v>80</v>
      </c>
      <c r="D460" s="28" t="s">
        <v>1789</v>
      </c>
      <c r="E460" s="28" t="s">
        <v>1789</v>
      </c>
      <c r="F460" s="108">
        <v>45466</v>
      </c>
      <c r="G460" s="109">
        <v>0.24236111111111111</v>
      </c>
      <c r="H460" s="124" t="s">
        <v>2413</v>
      </c>
      <c r="I460" s="124" t="s">
        <v>2414</v>
      </c>
      <c r="J460" s="124"/>
      <c r="K460" s="28" t="s">
        <v>2193</v>
      </c>
      <c r="L460" s="28" t="s">
        <v>5889</v>
      </c>
      <c r="M460" s="28">
        <v>20000</v>
      </c>
      <c r="N460" s="28">
        <v>980000</v>
      </c>
      <c r="O460" s="28" t="s">
        <v>20</v>
      </c>
      <c r="P460" s="28" t="s">
        <v>20</v>
      </c>
      <c r="Q460" s="28" t="s">
        <v>20</v>
      </c>
      <c r="R460" s="28" t="s">
        <v>20</v>
      </c>
      <c r="S460" s="28" t="s">
        <v>20</v>
      </c>
      <c r="T460" s="148" t="s">
        <v>20</v>
      </c>
    </row>
    <row r="461" spans="2:20" ht="249.6" customHeight="1" x14ac:dyDescent="0.25">
      <c r="B461" s="146">
        <v>417</v>
      </c>
      <c r="C461" s="146">
        <v>81</v>
      </c>
      <c r="D461" s="28" t="s">
        <v>1789</v>
      </c>
      <c r="E461" s="28" t="s">
        <v>1789</v>
      </c>
      <c r="F461" s="108">
        <v>45466</v>
      </c>
      <c r="G461" s="109">
        <v>0.52361111111111114</v>
      </c>
      <c r="H461" s="124" t="s">
        <v>2415</v>
      </c>
      <c r="I461" s="124" t="s">
        <v>406</v>
      </c>
      <c r="J461" s="124" t="s">
        <v>406</v>
      </c>
      <c r="K461" s="28" t="s">
        <v>2180</v>
      </c>
      <c r="L461" s="28"/>
      <c r="M461" s="28">
        <v>50000</v>
      </c>
      <c r="N461" s="28">
        <v>950000</v>
      </c>
      <c r="O461" s="28" t="s">
        <v>20</v>
      </c>
      <c r="P461" s="28" t="s">
        <v>20</v>
      </c>
      <c r="Q461" s="28" t="s">
        <v>20</v>
      </c>
      <c r="R461" s="28" t="s">
        <v>20</v>
      </c>
      <c r="S461" s="28" t="s">
        <v>20</v>
      </c>
      <c r="T461" s="148" t="s">
        <v>20</v>
      </c>
    </row>
    <row r="462" spans="2:20" ht="192" customHeight="1" x14ac:dyDescent="0.25">
      <c r="B462" s="146">
        <v>1494</v>
      </c>
      <c r="C462" s="146">
        <v>60</v>
      </c>
      <c r="D462" s="28" t="s">
        <v>93</v>
      </c>
      <c r="E462" s="28" t="s">
        <v>584</v>
      </c>
      <c r="F462" s="108">
        <v>45466</v>
      </c>
      <c r="G462" s="109">
        <v>6.643518518518518E-2</v>
      </c>
      <c r="H462" s="124" t="s">
        <v>2790</v>
      </c>
      <c r="I462" s="124" t="s">
        <v>2751</v>
      </c>
      <c r="J462" s="124"/>
      <c r="K462" s="28" t="s">
        <v>3631</v>
      </c>
      <c r="L462" s="28" t="s">
        <v>2011</v>
      </c>
      <c r="M462" s="28">
        <v>490000</v>
      </c>
      <c r="N462" s="28" t="s">
        <v>1844</v>
      </c>
      <c r="O462" s="28" t="s">
        <v>75</v>
      </c>
      <c r="P462" s="28" t="s">
        <v>75</v>
      </c>
      <c r="Q462" s="28" t="s">
        <v>75</v>
      </c>
      <c r="R462" s="28" t="s">
        <v>75</v>
      </c>
      <c r="S462" s="28">
        <v>2</v>
      </c>
      <c r="T462" s="148" t="s">
        <v>75</v>
      </c>
    </row>
    <row r="463" spans="2:20" ht="172.9" customHeight="1" x14ac:dyDescent="0.25">
      <c r="B463" s="146">
        <v>418</v>
      </c>
      <c r="C463" s="146">
        <v>82</v>
      </c>
      <c r="D463" s="28" t="s">
        <v>1789</v>
      </c>
      <c r="E463" s="28" t="s">
        <v>1789</v>
      </c>
      <c r="F463" s="108">
        <v>45467</v>
      </c>
      <c r="G463" s="109">
        <v>0.34027777777777779</v>
      </c>
      <c r="H463" s="124" t="s">
        <v>2416</v>
      </c>
      <c r="I463" s="124" t="s">
        <v>385</v>
      </c>
      <c r="J463" s="124" t="s">
        <v>385</v>
      </c>
      <c r="K463" s="28" t="s">
        <v>2007</v>
      </c>
      <c r="L463" s="28"/>
      <c r="M463" s="28">
        <v>0</v>
      </c>
      <c r="N463" s="28">
        <v>0</v>
      </c>
      <c r="O463" s="28" t="s">
        <v>20</v>
      </c>
      <c r="P463" s="28" t="s">
        <v>20</v>
      </c>
      <c r="Q463" s="28" t="s">
        <v>20</v>
      </c>
      <c r="R463" s="28" t="s">
        <v>20</v>
      </c>
      <c r="S463" s="28" t="s">
        <v>20</v>
      </c>
      <c r="T463" s="148" t="s">
        <v>20</v>
      </c>
    </row>
    <row r="464" spans="2:20" ht="172.9" customHeight="1" x14ac:dyDescent="0.25">
      <c r="B464" s="146">
        <v>419</v>
      </c>
      <c r="C464" s="146">
        <v>83</v>
      </c>
      <c r="D464" s="28" t="s">
        <v>1789</v>
      </c>
      <c r="E464" s="28" t="s">
        <v>1789</v>
      </c>
      <c r="F464" s="108">
        <v>45467</v>
      </c>
      <c r="G464" s="109">
        <v>0.50624999999999998</v>
      </c>
      <c r="H464" s="124" t="s">
        <v>2417</v>
      </c>
      <c r="I464" s="124" t="s">
        <v>406</v>
      </c>
      <c r="J464" s="124" t="s">
        <v>406</v>
      </c>
      <c r="K464" s="28" t="s">
        <v>2002</v>
      </c>
      <c r="L464" s="28"/>
      <c r="M464" s="28">
        <v>4800000</v>
      </c>
      <c r="N464" s="28">
        <v>20000</v>
      </c>
      <c r="O464" s="28" t="s">
        <v>20</v>
      </c>
      <c r="P464" s="28" t="s">
        <v>20</v>
      </c>
      <c r="Q464" s="28" t="s">
        <v>20</v>
      </c>
      <c r="R464" s="28" t="s">
        <v>20</v>
      </c>
      <c r="S464" s="28" t="s">
        <v>20</v>
      </c>
      <c r="T464" s="148" t="s">
        <v>20</v>
      </c>
    </row>
    <row r="465" spans="2:20" ht="153.6" customHeight="1" x14ac:dyDescent="0.25">
      <c r="B465" s="146">
        <v>1471</v>
      </c>
      <c r="C465" s="146">
        <v>37</v>
      </c>
      <c r="D465" s="28" t="s">
        <v>93</v>
      </c>
      <c r="E465" s="28" t="s">
        <v>94</v>
      </c>
      <c r="F465" s="108">
        <v>45467</v>
      </c>
      <c r="G465" s="109">
        <v>0.47291666666666665</v>
      </c>
      <c r="H465" s="124" t="s">
        <v>2745</v>
      </c>
      <c r="I465" s="124" t="s">
        <v>2599</v>
      </c>
      <c r="J465" s="124" t="s">
        <v>385</v>
      </c>
      <c r="K465" s="28" t="s">
        <v>2746</v>
      </c>
      <c r="L465" s="28"/>
      <c r="M465" s="28">
        <v>250000</v>
      </c>
      <c r="N465" s="28">
        <v>1750000</v>
      </c>
      <c r="O465" s="28" t="s">
        <v>20</v>
      </c>
      <c r="P465" s="28" t="s">
        <v>20</v>
      </c>
      <c r="Q465" s="28" t="s">
        <v>20</v>
      </c>
      <c r="R465" s="28" t="s">
        <v>20</v>
      </c>
      <c r="S465" s="28" t="s">
        <v>20</v>
      </c>
      <c r="T465" s="148" t="s">
        <v>20</v>
      </c>
    </row>
    <row r="466" spans="2:20" ht="153.6" customHeight="1" x14ac:dyDescent="0.25">
      <c r="B466" s="146">
        <v>992</v>
      </c>
      <c r="C466" s="146">
        <v>480</v>
      </c>
      <c r="D466" s="28" t="s">
        <v>321</v>
      </c>
      <c r="E466" s="28" t="s">
        <v>334</v>
      </c>
      <c r="F466" s="108">
        <v>45468</v>
      </c>
      <c r="G466" s="109">
        <v>0.21458333333333332</v>
      </c>
      <c r="H466" s="124" t="s">
        <v>493</v>
      </c>
      <c r="I466" s="124" t="s">
        <v>494</v>
      </c>
      <c r="J466" s="124" t="s">
        <v>5905</v>
      </c>
      <c r="K466" s="28" t="s">
        <v>495</v>
      </c>
      <c r="L466" s="28" t="s">
        <v>2011</v>
      </c>
      <c r="M466" s="28" t="s">
        <v>496</v>
      </c>
      <c r="N466" s="28"/>
      <c r="O466" s="28">
        <v>1</v>
      </c>
      <c r="P466" s="28" t="s">
        <v>20</v>
      </c>
      <c r="Q466" s="28">
        <v>3</v>
      </c>
      <c r="R466" s="28" t="s">
        <v>20</v>
      </c>
      <c r="S466" s="28" t="s">
        <v>20</v>
      </c>
      <c r="T466" s="148" t="s">
        <v>20</v>
      </c>
    </row>
    <row r="467" spans="2:20" ht="172.9" customHeight="1" x14ac:dyDescent="0.25">
      <c r="B467" s="146">
        <v>1041</v>
      </c>
      <c r="C467" s="146">
        <v>541</v>
      </c>
      <c r="D467" s="28" t="s">
        <v>321</v>
      </c>
      <c r="E467" s="28" t="s">
        <v>3685</v>
      </c>
      <c r="F467" s="108">
        <v>45468</v>
      </c>
      <c r="G467" s="109">
        <v>0.53472222222222221</v>
      </c>
      <c r="H467" s="124" t="s">
        <v>4431</v>
      </c>
      <c r="I467" s="124" t="s">
        <v>4432</v>
      </c>
      <c r="J467" s="124"/>
      <c r="K467" s="28" t="s">
        <v>4433</v>
      </c>
      <c r="L467" s="28" t="s">
        <v>5889</v>
      </c>
      <c r="M467" s="28" t="s">
        <v>4433</v>
      </c>
      <c r="N467" s="28" t="s">
        <v>4433</v>
      </c>
      <c r="O467" s="28" t="s">
        <v>20</v>
      </c>
      <c r="P467" s="28" t="s">
        <v>20</v>
      </c>
      <c r="Q467" s="28" t="s">
        <v>20</v>
      </c>
      <c r="R467" s="28" t="s">
        <v>20</v>
      </c>
      <c r="S467" s="28" t="s">
        <v>20</v>
      </c>
      <c r="T467" s="148" t="s">
        <v>20</v>
      </c>
    </row>
    <row r="468" spans="2:20" ht="172.9" customHeight="1" x14ac:dyDescent="0.25">
      <c r="B468" s="146">
        <v>2361</v>
      </c>
      <c r="C468" s="146" t="s">
        <v>5753</v>
      </c>
      <c r="D468" s="28" t="s">
        <v>1789</v>
      </c>
      <c r="E468" s="124" t="s">
        <v>4908</v>
      </c>
      <c r="F468" s="108">
        <v>45468</v>
      </c>
      <c r="G468" s="109"/>
      <c r="H468" s="124"/>
      <c r="I468" s="124" t="s">
        <v>5816</v>
      </c>
      <c r="J468" s="124" t="s">
        <v>385</v>
      </c>
      <c r="K468" s="28"/>
      <c r="L468" s="28"/>
      <c r="M468" s="28"/>
      <c r="N468" s="28"/>
      <c r="O468" s="28"/>
      <c r="P468" s="28"/>
      <c r="Q468" s="28"/>
      <c r="R468" s="28"/>
      <c r="S468" s="28"/>
      <c r="T468" s="148"/>
    </row>
    <row r="469" spans="2:20" ht="153.6" customHeight="1" x14ac:dyDescent="0.25">
      <c r="B469" s="146">
        <v>420</v>
      </c>
      <c r="C469" s="146">
        <v>84</v>
      </c>
      <c r="D469" s="28" t="s">
        <v>1789</v>
      </c>
      <c r="E469" s="28" t="s">
        <v>1789</v>
      </c>
      <c r="F469" s="108">
        <v>45468</v>
      </c>
      <c r="G469" s="109">
        <v>0.90138888888888891</v>
      </c>
      <c r="H469" s="124" t="s">
        <v>2418</v>
      </c>
      <c r="I469" s="124" t="s">
        <v>385</v>
      </c>
      <c r="J469" s="124" t="s">
        <v>385</v>
      </c>
      <c r="K469" s="28" t="s">
        <v>2419</v>
      </c>
      <c r="L469" s="28"/>
      <c r="M469" s="28">
        <v>50000</v>
      </c>
      <c r="N469" s="28">
        <v>45000</v>
      </c>
      <c r="O469" s="28" t="s">
        <v>20</v>
      </c>
      <c r="P469" s="28" t="s">
        <v>20</v>
      </c>
      <c r="Q469" s="28" t="s">
        <v>20</v>
      </c>
      <c r="R469" s="28" t="s">
        <v>20</v>
      </c>
      <c r="S469" s="28" t="s">
        <v>20</v>
      </c>
      <c r="T469" s="148" t="s">
        <v>20</v>
      </c>
    </row>
    <row r="470" spans="2:20" ht="134.44999999999999" customHeight="1" x14ac:dyDescent="0.25">
      <c r="B470" s="146">
        <v>1495</v>
      </c>
      <c r="C470" s="146">
        <v>61</v>
      </c>
      <c r="D470" s="28" t="s">
        <v>93</v>
      </c>
      <c r="E470" s="28" t="s">
        <v>584</v>
      </c>
      <c r="F470" s="108">
        <v>45468</v>
      </c>
      <c r="G470" s="109">
        <v>0.60833333333333328</v>
      </c>
      <c r="H470" s="124" t="s">
        <v>2791</v>
      </c>
      <c r="I470" s="124" t="s">
        <v>2781</v>
      </c>
      <c r="J470" s="124" t="s">
        <v>385</v>
      </c>
      <c r="K470" s="28" t="s">
        <v>2792</v>
      </c>
      <c r="L470" s="28"/>
      <c r="M470" s="28">
        <v>10000</v>
      </c>
      <c r="N470" s="28">
        <v>1990000</v>
      </c>
      <c r="O470" s="28" t="s">
        <v>75</v>
      </c>
      <c r="P470" s="28" t="s">
        <v>75</v>
      </c>
      <c r="Q470" s="28" t="s">
        <v>75</v>
      </c>
      <c r="R470" s="28" t="s">
        <v>75</v>
      </c>
      <c r="S470" s="28" t="s">
        <v>75</v>
      </c>
      <c r="T470" s="148" t="s">
        <v>75</v>
      </c>
    </row>
    <row r="471" spans="2:20" ht="153.6" customHeight="1" x14ac:dyDescent="0.25">
      <c r="B471" s="146">
        <v>1060</v>
      </c>
      <c r="C471" s="146">
        <v>560</v>
      </c>
      <c r="D471" s="28" t="s">
        <v>321</v>
      </c>
      <c r="E471" s="28" t="s">
        <v>306</v>
      </c>
      <c r="F471" s="108">
        <v>45469</v>
      </c>
      <c r="G471" s="109">
        <v>0.69513888888888886</v>
      </c>
      <c r="H471" s="124" t="s">
        <v>4463</v>
      </c>
      <c r="I471" s="124" t="s">
        <v>4029</v>
      </c>
      <c r="J471" s="26" t="s">
        <v>4168</v>
      </c>
      <c r="K471" s="28" t="s">
        <v>5793</v>
      </c>
      <c r="L471" s="28"/>
      <c r="M471" s="28">
        <v>20000</v>
      </c>
      <c r="N471" s="28">
        <v>1980000</v>
      </c>
      <c r="O471" s="28" t="s">
        <v>20</v>
      </c>
      <c r="P471" s="28" t="s">
        <v>20</v>
      </c>
      <c r="Q471" s="28" t="s">
        <v>20</v>
      </c>
      <c r="R471" s="28" t="s">
        <v>20</v>
      </c>
      <c r="S471" s="28" t="s">
        <v>20</v>
      </c>
      <c r="T471" s="148" t="s">
        <v>20</v>
      </c>
    </row>
    <row r="472" spans="2:20" ht="153.6" customHeight="1" x14ac:dyDescent="0.25">
      <c r="B472" s="146">
        <v>413</v>
      </c>
      <c r="C472" s="146">
        <v>77</v>
      </c>
      <c r="D472" s="28" t="s">
        <v>1789</v>
      </c>
      <c r="E472" s="28" t="s">
        <v>1789</v>
      </c>
      <c r="F472" s="108">
        <v>45469</v>
      </c>
      <c r="G472" s="109">
        <v>0.19097222222222221</v>
      </c>
      <c r="H472" s="124" t="s">
        <v>2409</v>
      </c>
      <c r="I472" s="124" t="s">
        <v>385</v>
      </c>
      <c r="J472" s="124" t="s">
        <v>385</v>
      </c>
      <c r="K472" s="28" t="s">
        <v>1947</v>
      </c>
      <c r="L472" s="28"/>
      <c r="M472" s="28">
        <v>800000</v>
      </c>
      <c r="N472" s="28">
        <v>9200000</v>
      </c>
      <c r="O472" s="28" t="s">
        <v>20</v>
      </c>
      <c r="P472" s="28" t="s">
        <v>20</v>
      </c>
      <c r="Q472" s="28" t="s">
        <v>20</v>
      </c>
      <c r="R472" s="28" t="s">
        <v>20</v>
      </c>
      <c r="S472" s="28" t="s">
        <v>20</v>
      </c>
      <c r="T472" s="148" t="s">
        <v>20</v>
      </c>
    </row>
    <row r="473" spans="2:20" ht="172.9" customHeight="1" x14ac:dyDescent="0.35">
      <c r="B473" s="146">
        <v>3632</v>
      </c>
      <c r="C473" s="146" t="s">
        <v>5778</v>
      </c>
      <c r="D473" s="28" t="s">
        <v>4825</v>
      </c>
      <c r="E473" s="28" t="s">
        <v>4825</v>
      </c>
      <c r="F473" s="108">
        <v>45469</v>
      </c>
      <c r="G473" s="109">
        <v>0.47222222222222221</v>
      </c>
      <c r="H473" s="28" t="s">
        <v>5628</v>
      </c>
      <c r="I473" s="131"/>
      <c r="J473" s="131"/>
      <c r="K473" s="131"/>
      <c r="L473" s="104"/>
      <c r="M473" s="27" t="s">
        <v>20</v>
      </c>
      <c r="N473" s="27" t="s">
        <v>20</v>
      </c>
      <c r="O473" s="27" t="s">
        <v>20</v>
      </c>
      <c r="P473" s="27" t="s">
        <v>20</v>
      </c>
      <c r="Q473" s="27" t="s">
        <v>20</v>
      </c>
      <c r="R473" s="27" t="s">
        <v>20</v>
      </c>
      <c r="S473" s="27" t="s">
        <v>20</v>
      </c>
      <c r="T473" s="241" t="s">
        <v>20</v>
      </c>
    </row>
    <row r="474" spans="2:20" ht="153.6" customHeight="1" x14ac:dyDescent="0.25">
      <c r="B474" s="146">
        <v>1503</v>
      </c>
      <c r="C474" s="146">
        <v>69</v>
      </c>
      <c r="D474" s="28" t="s">
        <v>93</v>
      </c>
      <c r="E474" s="28" t="s">
        <v>1792</v>
      </c>
      <c r="F474" s="108">
        <v>45469</v>
      </c>
      <c r="G474" s="109">
        <v>9.2361111111111116E-2</v>
      </c>
      <c r="H474" s="124" t="s">
        <v>2807</v>
      </c>
      <c r="I474" s="124" t="s">
        <v>2578</v>
      </c>
      <c r="J474" s="124" t="s">
        <v>4168</v>
      </c>
      <c r="K474" s="28" t="s">
        <v>2808</v>
      </c>
      <c r="L474" s="28"/>
      <c r="M474" s="28" t="s">
        <v>1819</v>
      </c>
      <c r="N474" s="28" t="s">
        <v>1834</v>
      </c>
      <c r="O474" s="28" t="s">
        <v>23</v>
      </c>
      <c r="P474" s="28" t="s">
        <v>23</v>
      </c>
      <c r="Q474" s="28" t="s">
        <v>23</v>
      </c>
      <c r="R474" s="28" t="s">
        <v>23</v>
      </c>
      <c r="S474" s="28" t="s">
        <v>23</v>
      </c>
      <c r="T474" s="148" t="s">
        <v>23</v>
      </c>
    </row>
    <row r="475" spans="2:20" ht="153.6" customHeight="1" x14ac:dyDescent="0.25">
      <c r="B475" s="146">
        <v>1005</v>
      </c>
      <c r="C475" s="146">
        <v>504</v>
      </c>
      <c r="D475" s="28" t="s">
        <v>321</v>
      </c>
      <c r="E475" s="28" t="s">
        <v>3721</v>
      </c>
      <c r="F475" s="108">
        <v>45470</v>
      </c>
      <c r="G475" s="109">
        <v>0.48402777777777778</v>
      </c>
      <c r="H475" s="124" t="s">
        <v>4398</v>
      </c>
      <c r="I475" s="124" t="s">
        <v>3659</v>
      </c>
      <c r="J475" s="124" t="s">
        <v>385</v>
      </c>
      <c r="K475" s="28" t="s">
        <v>4399</v>
      </c>
      <c r="L475" s="28"/>
      <c r="M475" s="28">
        <v>250000</v>
      </c>
      <c r="N475" s="28">
        <v>100000</v>
      </c>
      <c r="O475" s="28" t="s">
        <v>20</v>
      </c>
      <c r="P475" s="28" t="s">
        <v>20</v>
      </c>
      <c r="Q475" s="28" t="s">
        <v>20</v>
      </c>
      <c r="R475" s="28" t="s">
        <v>20</v>
      </c>
      <c r="S475" s="28" t="s">
        <v>20</v>
      </c>
      <c r="T475" s="148" t="s">
        <v>20</v>
      </c>
    </row>
    <row r="476" spans="2:20" ht="249.6" customHeight="1" x14ac:dyDescent="0.35">
      <c r="B476" s="146">
        <v>3633</v>
      </c>
      <c r="C476" s="146" t="s">
        <v>5779</v>
      </c>
      <c r="D476" s="28" t="s">
        <v>4825</v>
      </c>
      <c r="E476" s="28" t="s">
        <v>4825</v>
      </c>
      <c r="F476" s="108">
        <v>45470</v>
      </c>
      <c r="G476" s="109">
        <v>0.80833333333333335</v>
      </c>
      <c r="H476" s="28" t="s">
        <v>5629</v>
      </c>
      <c r="I476" s="131"/>
      <c r="J476" s="131"/>
      <c r="K476" s="131"/>
      <c r="L476" s="104"/>
      <c r="M476" s="27" t="s">
        <v>20</v>
      </c>
      <c r="N476" s="27" t="s">
        <v>20</v>
      </c>
      <c r="O476" s="27" t="s">
        <v>20</v>
      </c>
      <c r="P476" s="27" t="s">
        <v>20</v>
      </c>
      <c r="Q476" s="27" t="s">
        <v>20</v>
      </c>
      <c r="R476" s="27" t="s">
        <v>20</v>
      </c>
      <c r="S476" s="27" t="s">
        <v>20</v>
      </c>
      <c r="T476" s="241" t="s">
        <v>20</v>
      </c>
    </row>
    <row r="477" spans="2:20" ht="153.6" customHeight="1" x14ac:dyDescent="0.25">
      <c r="B477" s="146">
        <v>421</v>
      </c>
      <c r="C477" s="146">
        <v>85</v>
      </c>
      <c r="D477" s="28" t="s">
        <v>1789</v>
      </c>
      <c r="E477" s="28" t="s">
        <v>1789</v>
      </c>
      <c r="F477" s="108">
        <v>45471</v>
      </c>
      <c r="G477" s="109">
        <v>3.4027777777777775E-2</v>
      </c>
      <c r="H477" s="124" t="s">
        <v>2420</v>
      </c>
      <c r="I477" s="124" t="s">
        <v>2007</v>
      </c>
      <c r="J477" s="124" t="s">
        <v>5903</v>
      </c>
      <c r="K477" s="28" t="s">
        <v>2421</v>
      </c>
      <c r="L477" s="28"/>
      <c r="M477" s="28">
        <v>5000</v>
      </c>
      <c r="N477" s="28">
        <v>45000</v>
      </c>
      <c r="O477" s="28" t="s">
        <v>20</v>
      </c>
      <c r="P477" s="28" t="s">
        <v>20</v>
      </c>
      <c r="Q477" s="28" t="s">
        <v>20</v>
      </c>
      <c r="R477" s="28" t="s">
        <v>20</v>
      </c>
      <c r="S477" s="28" t="s">
        <v>20</v>
      </c>
      <c r="T477" s="148" t="s">
        <v>20</v>
      </c>
    </row>
    <row r="478" spans="2:20" ht="230.45" customHeight="1" x14ac:dyDescent="0.25">
      <c r="B478" s="146">
        <v>2362</v>
      </c>
      <c r="C478" s="146" t="s">
        <v>5754</v>
      </c>
      <c r="D478" s="28" t="s">
        <v>1789</v>
      </c>
      <c r="E478" s="124" t="s">
        <v>4908</v>
      </c>
      <c r="F478" s="108">
        <v>45472</v>
      </c>
      <c r="G478" s="109"/>
      <c r="H478" s="124"/>
      <c r="I478" s="124" t="s">
        <v>5816</v>
      </c>
      <c r="J478" s="124" t="s">
        <v>385</v>
      </c>
      <c r="K478" s="28"/>
      <c r="L478" s="28"/>
      <c r="M478" s="28"/>
      <c r="N478" s="28"/>
      <c r="O478" s="28"/>
      <c r="P478" s="28"/>
      <c r="Q478" s="28"/>
      <c r="R478" s="28"/>
      <c r="S478" s="28"/>
      <c r="T478" s="148"/>
    </row>
    <row r="479" spans="2:20" ht="211.15" customHeight="1" x14ac:dyDescent="0.25">
      <c r="B479" s="146">
        <v>422</v>
      </c>
      <c r="C479" s="146">
        <v>86</v>
      </c>
      <c r="D479" s="28" t="s">
        <v>1789</v>
      </c>
      <c r="E479" s="28" t="s">
        <v>1789</v>
      </c>
      <c r="F479" s="108">
        <v>45472</v>
      </c>
      <c r="G479" s="109">
        <v>0.4284722222222222</v>
      </c>
      <c r="H479" s="124" t="s">
        <v>2422</v>
      </c>
      <c r="I479" s="124" t="s">
        <v>2423</v>
      </c>
      <c r="J479" s="124" t="s">
        <v>1904</v>
      </c>
      <c r="K479" s="28" t="s">
        <v>2165</v>
      </c>
      <c r="L479" s="28"/>
      <c r="M479" s="28">
        <v>5000</v>
      </c>
      <c r="N479" s="28">
        <v>495000</v>
      </c>
      <c r="O479" s="28" t="s">
        <v>20</v>
      </c>
      <c r="P479" s="28" t="s">
        <v>20</v>
      </c>
      <c r="Q479" s="28" t="s">
        <v>20</v>
      </c>
      <c r="R479" s="28" t="s">
        <v>20</v>
      </c>
      <c r="S479" s="28" t="s">
        <v>20</v>
      </c>
      <c r="T479" s="148" t="s">
        <v>20</v>
      </c>
    </row>
    <row r="480" spans="2:20" ht="192" customHeight="1" x14ac:dyDescent="0.25">
      <c r="B480" s="146">
        <v>423</v>
      </c>
      <c r="C480" s="147">
        <v>87</v>
      </c>
      <c r="D480" s="28" t="s">
        <v>1789</v>
      </c>
      <c r="E480" s="28" t="s">
        <v>1789</v>
      </c>
      <c r="F480" s="108">
        <v>45472</v>
      </c>
      <c r="G480" s="109">
        <v>0.85972222222222228</v>
      </c>
      <c r="H480" s="124" t="s">
        <v>2424</v>
      </c>
      <c r="I480" s="124" t="s">
        <v>2200</v>
      </c>
      <c r="J480" s="124" t="s">
        <v>5903</v>
      </c>
      <c r="K480" s="26" t="s">
        <v>2425</v>
      </c>
      <c r="L480" s="28"/>
      <c r="M480" s="28">
        <v>10000</v>
      </c>
      <c r="N480" s="28">
        <v>2590000</v>
      </c>
      <c r="O480" s="28" t="s">
        <v>20</v>
      </c>
      <c r="P480" s="28" t="s">
        <v>20</v>
      </c>
      <c r="Q480" s="28" t="s">
        <v>20</v>
      </c>
      <c r="R480" s="28" t="s">
        <v>20</v>
      </c>
      <c r="S480" s="28" t="s">
        <v>20</v>
      </c>
      <c r="T480" s="148" t="s">
        <v>20</v>
      </c>
    </row>
    <row r="481" spans="2:20" ht="249.6" customHeight="1" x14ac:dyDescent="0.25">
      <c r="B481" s="146">
        <v>424</v>
      </c>
      <c r="C481" s="146">
        <v>88</v>
      </c>
      <c r="D481" s="28" t="s">
        <v>1789</v>
      </c>
      <c r="E481" s="28" t="s">
        <v>1789</v>
      </c>
      <c r="F481" s="108">
        <v>45473</v>
      </c>
      <c r="G481" s="109">
        <v>0.97499999999999998</v>
      </c>
      <c r="H481" s="124" t="s">
        <v>2426</v>
      </c>
      <c r="I481" s="124" t="s">
        <v>2007</v>
      </c>
      <c r="J481" s="124" t="s">
        <v>5903</v>
      </c>
      <c r="K481" s="26" t="s">
        <v>2186</v>
      </c>
      <c r="L481" s="28"/>
      <c r="M481" s="28">
        <v>0</v>
      </c>
      <c r="N481" s="28">
        <v>0</v>
      </c>
      <c r="O481" s="28" t="s">
        <v>20</v>
      </c>
      <c r="P481" s="28" t="s">
        <v>20</v>
      </c>
      <c r="Q481" s="28" t="s">
        <v>20</v>
      </c>
      <c r="R481" s="28" t="s">
        <v>20</v>
      </c>
      <c r="S481" s="28" t="s">
        <v>20</v>
      </c>
      <c r="T481" s="148" t="s">
        <v>20</v>
      </c>
    </row>
  </sheetData>
  <phoneticPr fontId="45" type="noConversion"/>
  <conditionalFormatting sqref="B3:T182 B183:I209 K183:T209 B210:T481">
    <cfRule type="containsBlanks" dxfId="4" priority="1">
      <formula>LEN(TRIM(B3))=0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BC4E6-6AD1-46FF-91AD-5D496FB9FE9A}">
  <sheetPr>
    <pageSetUpPr fitToPage="1"/>
  </sheetPr>
  <dimension ref="C1:AE54"/>
  <sheetViews>
    <sheetView topLeftCell="K10" workbookViewId="0">
      <selection activeCell="J45" sqref="J45"/>
    </sheetView>
  </sheetViews>
  <sheetFormatPr defaultRowHeight="15" x14ac:dyDescent="0.25"/>
  <cols>
    <col min="1" max="1" width="2.85546875" customWidth="1"/>
    <col min="2" max="2" width="4.140625" customWidth="1"/>
    <col min="4" max="4" width="11" customWidth="1"/>
    <col min="5" max="5" width="15.7109375" bestFit="1" customWidth="1"/>
    <col min="6" max="6" width="8.140625" style="210" customWidth="1"/>
    <col min="7" max="7" width="8.140625" customWidth="1"/>
    <col min="8" max="8" width="8.140625" style="210" customWidth="1"/>
    <col min="9" max="9" width="8.140625" customWidth="1"/>
    <col min="10" max="10" width="8.140625" style="210" customWidth="1"/>
    <col min="11" max="11" width="8.140625" customWidth="1"/>
    <col min="12" max="12" width="8.140625" style="210" customWidth="1"/>
    <col min="13" max="13" width="8.140625" customWidth="1"/>
    <col min="14" max="14" width="8.140625" style="210" customWidth="1"/>
    <col min="15" max="15" width="8.140625" customWidth="1"/>
    <col min="16" max="16" width="8.140625" style="210" customWidth="1"/>
    <col min="17" max="17" width="8.140625" customWidth="1"/>
    <col min="18" max="18" width="8.140625" style="210" customWidth="1"/>
    <col min="19" max="19" width="8.140625" customWidth="1"/>
    <col min="20" max="20" width="8.140625" style="210" customWidth="1"/>
    <col min="21" max="21" width="8.140625" customWidth="1"/>
    <col min="22" max="22" width="8.140625" style="210" customWidth="1"/>
    <col min="23" max="23" width="8.140625" customWidth="1"/>
    <col min="24" max="24" width="8.140625" style="210" customWidth="1"/>
    <col min="25" max="25" width="8.140625" customWidth="1"/>
    <col min="26" max="26" width="8.140625" style="210" customWidth="1"/>
    <col min="27" max="27" width="8.140625" customWidth="1"/>
    <col min="28" max="28" width="8.140625" style="210" customWidth="1"/>
    <col min="29" max="29" width="8.140625" customWidth="1"/>
    <col min="30" max="30" width="8.140625" style="210" customWidth="1"/>
  </cols>
  <sheetData>
    <row r="1" spans="3:31" ht="7.5" customHeight="1" x14ac:dyDescent="0.25"/>
    <row r="2" spans="3:31" ht="24.75" customHeight="1" x14ac:dyDescent="0.4">
      <c r="C2" s="275" t="s">
        <v>5685</v>
      </c>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row>
    <row r="3" spans="3:31" ht="11.25" customHeight="1" x14ac:dyDescent="0.25">
      <c r="F3" s="207"/>
      <c r="G3" s="102"/>
      <c r="H3" s="207"/>
      <c r="I3" s="102"/>
      <c r="J3" s="207"/>
      <c r="K3" s="102"/>
      <c r="L3" s="207"/>
      <c r="M3" s="102"/>
      <c r="N3" s="207"/>
      <c r="O3" s="102"/>
      <c r="P3" s="207"/>
      <c r="Q3" s="102"/>
      <c r="R3" s="207"/>
      <c r="S3" s="102"/>
      <c r="T3" s="207"/>
      <c r="U3" s="102"/>
      <c r="V3" s="207"/>
      <c r="W3" s="102"/>
      <c r="X3" s="207"/>
      <c r="Y3" s="102"/>
      <c r="Z3" s="207"/>
      <c r="AA3" s="102"/>
      <c r="AB3" s="207"/>
      <c r="AC3" s="102"/>
      <c r="AD3" s="207"/>
      <c r="AE3" s="197"/>
    </row>
    <row r="4" spans="3:31" ht="23.25" x14ac:dyDescent="0.5">
      <c r="C4" s="198" t="s">
        <v>5686</v>
      </c>
      <c r="D4" s="198" t="s">
        <v>77</v>
      </c>
      <c r="E4" s="198" t="s">
        <v>5687</v>
      </c>
      <c r="F4" s="276" t="s">
        <v>5688</v>
      </c>
      <c r="G4" s="277"/>
      <c r="H4" s="276" t="s">
        <v>5689</v>
      </c>
      <c r="I4" s="277"/>
      <c r="J4" s="276" t="s">
        <v>5690</v>
      </c>
      <c r="K4" s="277"/>
      <c r="L4" s="276" t="s">
        <v>5691</v>
      </c>
      <c r="M4" s="277"/>
      <c r="N4" s="276" t="s">
        <v>5692</v>
      </c>
      <c r="O4" s="277"/>
      <c r="P4" s="276" t="s">
        <v>5693</v>
      </c>
      <c r="Q4" s="277"/>
      <c r="R4" s="276" t="s">
        <v>5694</v>
      </c>
      <c r="S4" s="277"/>
      <c r="T4" s="276" t="s">
        <v>5695</v>
      </c>
      <c r="U4" s="277"/>
      <c r="V4" s="276" t="s">
        <v>5696</v>
      </c>
      <c r="W4" s="277"/>
      <c r="X4" s="276" t="s">
        <v>5697</v>
      </c>
      <c r="Y4" s="277"/>
      <c r="Z4" s="276" t="s">
        <v>5698</v>
      </c>
      <c r="AA4" s="277"/>
      <c r="AB4" s="276" t="s">
        <v>5699</v>
      </c>
      <c r="AC4" s="277"/>
      <c r="AD4" s="276" t="s">
        <v>5700</v>
      </c>
      <c r="AE4" s="277"/>
    </row>
    <row r="5" spans="3:31" ht="20.100000000000001" customHeight="1" x14ac:dyDescent="0.25">
      <c r="C5" s="200">
        <v>1</v>
      </c>
      <c r="D5" s="201" t="s">
        <v>5701</v>
      </c>
      <c r="E5" s="201" t="s">
        <v>1789</v>
      </c>
      <c r="F5" s="208">
        <f>COUNTIFS(Table1[(जिस फायर स्टेशन क्षेत्रार्न्तागत अग्निकाण्ड हुआ हो)],Sheet2!E5,Table1[अग्निकाण्ड का दिनांक],"&gt;="&amp;DATE(2024,1,1), Table1[अग्निकाण्ड का दिनांक],"&lt;="&amp;EOMONTH(DATE(2024,1,1),0))</f>
        <v>0</v>
      </c>
      <c r="G5" s="202">
        <v>36</v>
      </c>
      <c r="H5" s="208">
        <f>COUNTIFS(Table1[(जिस फायर स्टेशन क्षेत्रार्न्तागत अग्निकाण्ड हुआ हो)],Sheet2!E5,Table1[अग्निकाण्ड का दिनांक],"&gt;="&amp;DATE(2024,2,1), Table1[अग्निकाण्ड का दिनांक],"&lt;="&amp;EOMONTH(DATE(2024,2,1),0))</f>
        <v>0</v>
      </c>
      <c r="I5" s="202">
        <v>24</v>
      </c>
      <c r="J5" s="208">
        <f>COUNTIFS(Table1[(जिस फायर स्टेशन क्षेत्रार्न्तागत अग्निकाण्ड हुआ हो)],Sheet2!E5,Table1[अग्निकाण्ड का दिनांक],"&gt;="&amp;DATE(2024,3,1), Table1[अग्निकाण्ड का दिनांक],"&lt;="&amp;EOMONTH(DATE(2024,3,1),0))</f>
        <v>0</v>
      </c>
      <c r="K5" s="202">
        <v>34</v>
      </c>
      <c r="L5" s="208">
        <f>COUNTIFS(Table1[(जिस फायर स्टेशन क्षेत्रार्न्तागत अग्निकाण्ड हुआ हो)],Sheet2!E5,Table1[अग्निकाण्ड का दिनांक],"&gt;="&amp;DATE(2024,4,1), Table1[अग्निकाण्ड का दिनांक],"&lt;="&amp;EOMONTH(DATE(2024,4,1),0))</f>
        <v>0</v>
      </c>
      <c r="M5" s="202">
        <v>116</v>
      </c>
      <c r="N5" s="208">
        <f>COUNTIFS(Table1[(जिस फायर स्टेशन क्षेत्रार्न्तागत अग्निकाण्ड हुआ हो)],Sheet2!E5,Table1[अग्निकाण्ड का दिनांक],"&gt;="&amp;DATE(2024,5,1), Table1[अग्निकाण्ड का दिनांक],"&lt;="&amp;EOMONTH(DATE(2024,5,1),0))</f>
        <v>0</v>
      </c>
      <c r="O5" s="202">
        <v>133</v>
      </c>
      <c r="P5" s="208">
        <f>COUNTIFS(Table1[(जिस फायर स्टेशन क्षेत्रार्न्तागत अग्निकाण्ड हुआ हो)],Sheet2!E5,Table1[अग्निकाण्ड का दिनांक],"&gt;="&amp;DATE(2024,6,1), Table1[अग्निकाण्ड का दिनांक],"&lt;="&amp;EOMONTH(DATE(2024,6,1),0))</f>
        <v>119</v>
      </c>
      <c r="Q5" s="202">
        <v>119</v>
      </c>
      <c r="R5" s="208">
        <f>COUNTIFS(Table1[(जिस फायर स्टेशन क्षेत्रार्न्तागत अग्निकाण्ड हुआ हो)],Sheet2!E5,Table1[अग्निकाण्ड का दिनांक],"&gt;="&amp;DATE(2024,7,1), Table1[अग्निकाण्ड का दिनांक],"&lt;="&amp;EOMONTH(DATE(2024,7,1),0))</f>
        <v>0</v>
      </c>
      <c r="S5" s="202">
        <v>17</v>
      </c>
      <c r="T5" s="208">
        <f>COUNTIFS(Table1[(जिस फायर स्टेशन क्षेत्रार्न्तागत अग्निकाण्ड हुआ हो)],Sheet2!E5,Table1[अग्निकाण्ड का दिनांक],"&gt;="&amp;DATE(2024,8,1), Table1[अग्निकाण्ड का दिनांक],"&lt;="&amp;EOMONTH(DATE(2024,8,1),0))</f>
        <v>0</v>
      </c>
      <c r="U5" s="202">
        <v>11</v>
      </c>
      <c r="V5" s="208">
        <f>COUNTIFS(Table1[(जिस फायर स्टेशन क्षेत्रार्न्तागत अग्निकाण्ड हुआ हो)],Sheet2!E5,Table1[अग्निकाण्ड का दिनांक],"&gt;="&amp;DATE(2024,9,1), Table1[अग्निकाण्ड का दिनांक],"&lt;="&amp;EOMONTH(DATE(2024,9,1),0))</f>
        <v>0</v>
      </c>
      <c r="W5" s="202">
        <v>15</v>
      </c>
      <c r="X5" s="208">
        <f>COUNTIFS(Table1[(जिस फायर स्टेशन क्षेत्रार्न्तागत अग्निकाण्ड हुआ हो)],Sheet2!E5,Table1[अग्निकाण्ड का दिनांक],"&gt;="&amp;DATE(2024,10,1), Table1[अग्निकाण्ड का दिनांक],"&lt;="&amp;EOMONTH(DATE(2024,10,1),0))</f>
        <v>0</v>
      </c>
      <c r="Y5" s="202">
        <v>31</v>
      </c>
      <c r="Z5" s="208">
        <f>COUNTIFS(Table1[(जिस फायर स्टेशन क्षेत्रार्न्तागत अग्निकाण्ड हुआ हो)],Sheet2!E5,Table1[अग्निकाण्ड का दिनांक],"&gt;="&amp;DATE(2024,11,1), Table1[अग्निकाण्ड का दिनांक],"&lt;="&amp;EOMONTH(DATE(2024,11,1),0))</f>
        <v>0</v>
      </c>
      <c r="AA5" s="202">
        <v>33</v>
      </c>
      <c r="AB5" s="208">
        <f>COUNTIFS(Table1[(जिस फायर स्टेशन क्षेत्रार्न्तागत अग्निकाण्ड हुआ हो)],Sheet2!E5,Table1[अग्निकाण्ड का दिनांक],"&gt;="&amp;DATE(2024,12,1), Table1[अग्निकाण्ड का दिनांक],"&lt;="&amp;EOMONTH(DATE(2024,12,1),0))</f>
        <v>0</v>
      </c>
      <c r="AC5" s="202">
        <v>30</v>
      </c>
      <c r="AD5" s="208">
        <f>F5+H5+J5+L5+N5+P5+R5+T5+V5+X5+Z5+AB5</f>
        <v>119</v>
      </c>
      <c r="AE5" s="199">
        <f>G5+I5+K5+M5+O5+Q5+S5+U5+W5+Y5+AA5+AC5</f>
        <v>599</v>
      </c>
    </row>
    <row r="6" spans="3:31" ht="20.100000000000001" customHeight="1" x14ac:dyDescent="0.25">
      <c r="C6" s="203">
        <v>2</v>
      </c>
      <c r="D6" s="204"/>
      <c r="E6" s="204" t="s">
        <v>4908</v>
      </c>
      <c r="F6" s="208">
        <f>COUNTIFS(Table1[(जिस फायर स्टेशन क्षेत्रार्न्तागत अग्निकाण्ड हुआ हो)],Sheet2!E6,Table1[अग्निकाण्ड का दिनांक],"&gt;="&amp;DATE(2024,1,1), Table1[अग्निकाण्ड का दिनांक],"&lt;="&amp;EOMONTH(DATE(2024,1,1),0))</f>
        <v>0</v>
      </c>
      <c r="G6" s="202">
        <v>6</v>
      </c>
      <c r="H6" s="208">
        <f>COUNTIFS(Table1[(जिस फायर स्टेशन क्षेत्रार्न्तागत अग्निकाण्ड हुआ हो)],Sheet2!E6,Table1[अग्निकाण्ड का दिनांक],"&gt;="&amp;DATE(2024,2,1), Table1[अग्निकाण्ड का दिनांक],"&lt;="&amp;EOMONTH(DATE(2024,2,1),0))</f>
        <v>0</v>
      </c>
      <c r="I6" s="202">
        <v>5</v>
      </c>
      <c r="J6" s="208">
        <f>COUNTIFS(Table1[(जिस फायर स्टेशन क्षेत्रार्न्तागत अग्निकाण्ड हुआ हो)],Sheet2!E6,Table1[अग्निकाण्ड का दिनांक],"&gt;="&amp;DATE(2024,3,1), Table1[अग्निकाण्ड का दिनांक],"&lt;="&amp;EOMONTH(DATE(2024,3,1),0))</f>
        <v>0</v>
      </c>
      <c r="K6" s="202">
        <v>7</v>
      </c>
      <c r="L6" s="208">
        <f>COUNTIFS(Table1[(जिस फायर स्टेशन क्षेत्रार्न्तागत अग्निकाण्ड हुआ हो)],Sheet2!E6,Table1[अग्निकाण्ड का दिनांक],"&gt;="&amp;DATE(2024,4,1), Table1[अग्निकाण्ड का दिनांक],"&lt;="&amp;EOMONTH(DATE(2024,4,1),0))</f>
        <v>0</v>
      </c>
      <c r="M6" s="202">
        <v>21</v>
      </c>
      <c r="N6" s="208">
        <f>COUNTIFS(Table1[(जिस फायर स्टेशन क्षेत्रार्न्तागत अग्निकाण्ड हुआ हो)],Sheet2!E6,Table1[अग्निकाण्ड का दिनांक],"&gt;="&amp;DATE(2024,5,1), Table1[अग्निकाण्ड का दिनांक],"&lt;="&amp;EOMONTH(DATE(2024,5,1),0))</f>
        <v>0</v>
      </c>
      <c r="O6" s="202">
        <v>30</v>
      </c>
      <c r="P6" s="208">
        <f>COUNTIFS(Table1[(जिस फायर स्टेशन क्षेत्रार्न्तागत अग्निकाण्ड हुआ हो)],Sheet2!E6,Table1[अग्निकाण्ड का दिनांक],"&gt;="&amp;DATE(2024,6,1), Table1[अग्निकाण्ड का दिनांक],"&lt;="&amp;EOMONTH(DATE(2024,6,1),0))</f>
        <v>26</v>
      </c>
      <c r="Q6" s="202">
        <v>26</v>
      </c>
      <c r="R6" s="208">
        <f>COUNTIFS(Table1[(जिस फायर स्टेशन क्षेत्रार्न्तागत अग्निकाण्ड हुआ हो)],Sheet2!E6,Table1[अग्निकाण्ड का दिनांक],"&gt;="&amp;DATE(2024,7,1), Table1[अग्निकाण्ड का दिनांक],"&lt;="&amp;EOMONTH(DATE(2024,7,1),0))</f>
        <v>0</v>
      </c>
      <c r="S6" s="202">
        <v>7</v>
      </c>
      <c r="T6" s="208">
        <f>COUNTIFS(Table1[(जिस फायर स्टेशन क्षेत्रार्न्तागत अग्निकाण्ड हुआ हो)],Sheet2!E6,Table1[अग्निकाण्ड का दिनांक],"&gt;="&amp;DATE(2024,8,1), Table1[अग्निकाण्ड का दिनांक],"&lt;="&amp;EOMONTH(DATE(2024,8,1),0))</f>
        <v>0</v>
      </c>
      <c r="U6" s="202">
        <v>3</v>
      </c>
      <c r="V6" s="208">
        <f>COUNTIFS(Table1[(जिस फायर स्टेशन क्षेत्रार्न्तागत अग्निकाण्ड हुआ हो)],Sheet2!E6,Table1[अग्निकाण्ड का दिनांक],"&gt;="&amp;DATE(2024,9,1), Table1[अग्निकाण्ड का दिनांक],"&lt;="&amp;EOMONTH(DATE(2024,9,1),0))</f>
        <v>0</v>
      </c>
      <c r="W6" s="202">
        <v>2</v>
      </c>
      <c r="X6" s="208">
        <f>COUNTIFS(Table1[(जिस फायर स्टेशन क्षेत्रार्न्तागत अग्निकाण्ड हुआ हो)],Sheet2!E6,Table1[अग्निकाण्ड का दिनांक],"&gt;="&amp;DATE(2024,10,1), Table1[अग्निकाण्ड का दिनांक],"&lt;="&amp;EOMONTH(DATE(2024,10,1),0))</f>
        <v>0</v>
      </c>
      <c r="Y6" s="202">
        <v>11</v>
      </c>
      <c r="Z6" s="208">
        <f>COUNTIFS(Table1[(जिस फायर स्टेशन क्षेत्रार्न्तागत अग्निकाण्ड हुआ हो)],Sheet2!E6,Table1[अग्निकाण्ड का दिनांक],"&gt;="&amp;DATE(2024,11,1), Table1[अग्निकाण्ड का दिनांक],"&lt;="&amp;EOMONTH(DATE(2024,11,1),0))</f>
        <v>0</v>
      </c>
      <c r="AA6" s="202">
        <v>7</v>
      </c>
      <c r="AB6" s="208">
        <f>COUNTIFS(Table1[(जिस फायर स्टेशन क्षेत्रार्न्तागत अग्निकाण्ड हुआ हो)],Sheet2!E6,Table1[अग्निकाण्ड का दिनांक],"&gt;="&amp;DATE(2024,12,1), Table1[अग्निकाण्ड का दिनांक],"&lt;="&amp;EOMONTH(DATE(2024,12,1),0))</f>
        <v>0</v>
      </c>
      <c r="AC6" s="202">
        <v>9</v>
      </c>
      <c r="AD6" s="208">
        <f t="shared" ref="AD6:AD53" si="0">F6+H6+J6+L6+N6+P6+R6+T6+V6+X6+Z6+AB6</f>
        <v>26</v>
      </c>
      <c r="AE6" s="199">
        <f t="shared" ref="AE6:AE53" si="1">G6+I6+K6+M6+O6+Q6+S6+U6+W6+Y6+AA6+AC6</f>
        <v>134</v>
      </c>
    </row>
    <row r="7" spans="3:31" ht="20.100000000000001" customHeight="1" x14ac:dyDescent="0.25">
      <c r="C7" s="200">
        <v>3</v>
      </c>
      <c r="D7" s="201"/>
      <c r="E7" s="201" t="s">
        <v>5714</v>
      </c>
      <c r="F7" s="208">
        <f>COUNTIFS(Table1[(जिस फायर स्टेशन क्षेत्रार्न्तागत अग्निकाण्ड हुआ हो)],Sheet2!E7,Table1[अग्निकाण्ड का दिनांक],"&gt;="&amp;DATE(2024,1,1), Table1[अग्निकाण्ड का दिनांक],"&lt;="&amp;EOMONTH(DATE(2024,1,1),0))</f>
        <v>0</v>
      </c>
      <c r="G7" s="202">
        <v>5</v>
      </c>
      <c r="H7" s="208">
        <f>COUNTIFS(Table1[(जिस फायर स्टेशन क्षेत्रार्न्तागत अग्निकाण्ड हुआ हो)],Sheet2!E7,Table1[अग्निकाण्ड का दिनांक],"&gt;="&amp;DATE(2024,2,1), Table1[अग्निकाण्ड का दिनांक],"&lt;="&amp;EOMONTH(DATE(2024,2,1),0))</f>
        <v>0</v>
      </c>
      <c r="I7" s="202">
        <v>0</v>
      </c>
      <c r="J7" s="208">
        <f>COUNTIFS(Table1[(जिस फायर स्टेशन क्षेत्रार्न्तागत अग्निकाण्ड हुआ हो)],Sheet2!E7,Table1[अग्निकाण्ड का दिनांक],"&gt;="&amp;DATE(2024,3,1), Table1[अग्निकाण्ड का दिनांक],"&lt;="&amp;EOMONTH(DATE(2024,3,1),0))</f>
        <v>0</v>
      </c>
      <c r="K7" s="202">
        <v>0</v>
      </c>
      <c r="L7" s="208">
        <f>COUNTIFS(Table1[(जिस फायर स्टेशन क्षेत्रार्न्तागत अग्निकाण्ड हुआ हो)],Sheet2!E7,Table1[अग्निकाण्ड का दिनांक],"&gt;="&amp;DATE(2024,4,1), Table1[अग्निकाण्ड का दिनांक],"&lt;="&amp;EOMONTH(DATE(2024,4,1),0))</f>
        <v>0</v>
      </c>
      <c r="M7" s="202">
        <v>5</v>
      </c>
      <c r="N7" s="208">
        <f>COUNTIFS(Table1[(जिस फायर स्टेशन क्षेत्रार्न्तागत अग्निकाण्ड हुआ हो)],Sheet2!E7,Table1[अग्निकाण्ड का दिनांक],"&gt;="&amp;DATE(2024,5,1), Table1[अग्निकाण्ड का दिनांक],"&lt;="&amp;EOMONTH(DATE(2024,5,1),0))</f>
        <v>0</v>
      </c>
      <c r="O7" s="202">
        <v>9</v>
      </c>
      <c r="P7" s="208">
        <f>COUNTIFS(Table1[(जिस फायर स्टेशन क्षेत्रार्न्तागत अग्निकाण्ड हुआ हो)],Sheet2!E7,Table1[अग्निकाण्ड का दिनांक],"&gt;="&amp;DATE(2024,6,1), Table1[अग्निकाण्ड का दिनांक],"&lt;="&amp;EOMONTH(DATE(2024,6,1),0))</f>
        <v>6</v>
      </c>
      <c r="Q7" s="202">
        <v>6</v>
      </c>
      <c r="R7" s="208">
        <f>COUNTIFS(Table1[(जिस फायर स्टेशन क्षेत्रार्न्तागत अग्निकाण्ड हुआ हो)],Sheet2!E7,Table1[अग्निकाण्ड का दिनांक],"&gt;="&amp;DATE(2024,7,1), Table1[अग्निकाण्ड का दिनांक],"&lt;="&amp;EOMONTH(DATE(2024,7,1),0))</f>
        <v>0</v>
      </c>
      <c r="S7" s="202">
        <v>0</v>
      </c>
      <c r="T7" s="208">
        <f>COUNTIFS(Table1[(जिस फायर स्टेशन क्षेत्रार्न्तागत अग्निकाण्ड हुआ हो)],Sheet2!E7,Table1[अग्निकाण्ड का दिनांक],"&gt;="&amp;DATE(2024,8,1), Table1[अग्निकाण्ड का दिनांक],"&lt;="&amp;EOMONTH(DATE(2024,8,1),0))</f>
        <v>0</v>
      </c>
      <c r="U7" s="202">
        <v>0</v>
      </c>
      <c r="V7" s="208">
        <f>COUNTIFS(Table1[(जिस फायर स्टेशन क्षेत्रार्न्तागत अग्निकाण्ड हुआ हो)],Sheet2!E7,Table1[अग्निकाण्ड का दिनांक],"&gt;="&amp;DATE(2024,9,1), Table1[अग्निकाण्ड का दिनांक],"&lt;="&amp;EOMONTH(DATE(2024,9,1),0))</f>
        <v>0</v>
      </c>
      <c r="W7" s="202">
        <v>0</v>
      </c>
      <c r="X7" s="208">
        <f>COUNTIFS(Table1[(जिस फायर स्टेशन क्षेत्रार्न्तागत अग्निकाण्ड हुआ हो)],Sheet2!E7,Table1[अग्निकाण्ड का दिनांक],"&gt;="&amp;DATE(2024,10,1), Table1[अग्निकाण्ड का दिनांक],"&lt;="&amp;EOMONTH(DATE(2024,10,1),0))</f>
        <v>0</v>
      </c>
      <c r="Y7" s="202">
        <v>0</v>
      </c>
      <c r="Z7" s="208">
        <f>COUNTIFS(Table1[(जिस फायर स्टेशन क्षेत्रार्न्तागत अग्निकाण्ड हुआ हो)],Sheet2!E7,Table1[अग्निकाण्ड का दिनांक],"&gt;="&amp;DATE(2024,11,1), Table1[अग्निकाण्ड का दिनांक],"&lt;="&amp;EOMONTH(DATE(2024,11,1),0))</f>
        <v>0</v>
      </c>
      <c r="AA7" s="202">
        <v>1</v>
      </c>
      <c r="AB7" s="208">
        <f>COUNTIFS(Table1[(जिस फायर स्टेशन क्षेत्रार्न्तागत अग्निकाण्ड हुआ हो)],Sheet2!E7,Table1[अग्निकाण्ड का दिनांक],"&gt;="&amp;DATE(2024,12,1), Table1[अग्निकाण्ड का दिनांक],"&lt;="&amp;EOMONTH(DATE(2024,12,1),0))</f>
        <v>0</v>
      </c>
      <c r="AC7" s="202">
        <v>3</v>
      </c>
      <c r="AD7" s="208">
        <f t="shared" si="0"/>
        <v>6</v>
      </c>
      <c r="AE7" s="199">
        <f t="shared" si="1"/>
        <v>29</v>
      </c>
    </row>
    <row r="8" spans="3:31" ht="20.100000000000001" customHeight="1" x14ac:dyDescent="0.25">
      <c r="C8" s="203">
        <v>4</v>
      </c>
      <c r="D8" s="204"/>
      <c r="E8" s="204" t="s">
        <v>5072</v>
      </c>
      <c r="F8" s="208">
        <f>COUNTIFS(Table1[(जिस फायर स्टेशन क्षेत्रार्न्तागत अग्निकाण्ड हुआ हो)],Sheet2!E8,Table1[अग्निकाण्ड का दिनांक],"&gt;="&amp;DATE(2024,1,1), Table1[अग्निकाण्ड का दिनांक],"&lt;="&amp;EOMONTH(DATE(2024,1,1),0))</f>
        <v>0</v>
      </c>
      <c r="G8" s="202">
        <v>2</v>
      </c>
      <c r="H8" s="208">
        <f>COUNTIFS(Table1[(जिस फायर स्टेशन क्षेत्रार्न्तागत अग्निकाण्ड हुआ हो)],Sheet2!E8,Table1[अग्निकाण्ड का दिनांक],"&gt;="&amp;DATE(2024,2,1), Table1[अग्निकाण्ड का दिनांक],"&lt;="&amp;EOMONTH(DATE(2024,2,1),0))</f>
        <v>0</v>
      </c>
      <c r="I8" s="202">
        <v>1</v>
      </c>
      <c r="J8" s="208">
        <f>COUNTIFS(Table1[(जिस फायर स्टेशन क्षेत्रार्न्तागत अग्निकाण्ड हुआ हो)],Sheet2!E8,Table1[अग्निकाण्ड का दिनांक],"&gt;="&amp;DATE(2024,3,1), Table1[अग्निकाण्ड का दिनांक],"&lt;="&amp;EOMONTH(DATE(2024,3,1),0))</f>
        <v>0</v>
      </c>
      <c r="K8" s="202">
        <v>4</v>
      </c>
      <c r="L8" s="208">
        <f>COUNTIFS(Table1[(जिस फायर स्टेशन क्षेत्रार्न्तागत अग्निकाण्ड हुआ हो)],Sheet2!E8,Table1[अग्निकाण्ड का दिनांक],"&gt;="&amp;DATE(2024,4,1), Table1[अग्निकाण्ड का दिनांक],"&lt;="&amp;EOMONTH(DATE(2024,4,1),0))</f>
        <v>0</v>
      </c>
      <c r="M8" s="202">
        <v>10</v>
      </c>
      <c r="N8" s="208">
        <f>COUNTIFS(Table1[(जिस फायर स्टेशन क्षेत्रार्न्तागत अग्निकाण्ड हुआ हो)],Sheet2!E8,Table1[अग्निकाण्ड का दिनांक],"&gt;="&amp;DATE(2024,5,1), Table1[अग्निकाण्ड का दिनांक],"&lt;="&amp;EOMONTH(DATE(2024,5,1),0))</f>
        <v>0</v>
      </c>
      <c r="O8" s="202">
        <v>26</v>
      </c>
      <c r="P8" s="208">
        <f>COUNTIFS(Table1[(जिस फायर स्टेशन क्षेत्रार्न्तागत अग्निकाण्ड हुआ हो)],Sheet2!E8,Table1[अग्निकाण्ड का दिनांक],"&gt;="&amp;DATE(2024,6,1), Table1[अग्निकाण्ड का दिनांक],"&lt;="&amp;EOMONTH(DATE(2024,6,1),0))</f>
        <v>11</v>
      </c>
      <c r="Q8" s="202">
        <v>11</v>
      </c>
      <c r="R8" s="208">
        <f>COUNTIFS(Table1[(जिस फायर स्टेशन क्षेत्रार्न्तागत अग्निकाण्ड हुआ हो)],Sheet2!E8,Table1[अग्निकाण्ड का दिनांक],"&gt;="&amp;DATE(2024,7,1), Table1[अग्निकाण्ड का दिनांक],"&lt;="&amp;EOMONTH(DATE(2024,7,1),0))</f>
        <v>0</v>
      </c>
      <c r="S8" s="202">
        <v>0</v>
      </c>
      <c r="T8" s="208">
        <f>COUNTIFS(Table1[(जिस फायर स्टेशन क्षेत्रार्न्तागत अग्निकाण्ड हुआ हो)],Sheet2!E8,Table1[अग्निकाण्ड का दिनांक],"&gt;="&amp;DATE(2024,8,1), Table1[अग्निकाण्ड का दिनांक],"&lt;="&amp;EOMONTH(DATE(2024,8,1),0))</f>
        <v>0</v>
      </c>
      <c r="U8" s="202">
        <v>1</v>
      </c>
      <c r="V8" s="208">
        <f>COUNTIFS(Table1[(जिस फायर स्टेशन क्षेत्रार्न्तागत अग्निकाण्ड हुआ हो)],Sheet2!E8,Table1[अग्निकाण्ड का दिनांक],"&gt;="&amp;DATE(2024,9,1), Table1[अग्निकाण्ड का दिनांक],"&lt;="&amp;EOMONTH(DATE(2024,9,1),0))</f>
        <v>0</v>
      </c>
      <c r="W8" s="202">
        <v>2</v>
      </c>
      <c r="X8" s="208">
        <f>COUNTIFS(Table1[(जिस फायर स्टेशन क्षेत्रार्न्तागत अग्निकाण्ड हुआ हो)],Sheet2!E8,Table1[अग्निकाण्ड का दिनांक],"&gt;="&amp;DATE(2024,10,1), Table1[अग्निकाण्ड का दिनांक],"&lt;="&amp;EOMONTH(DATE(2024,10,1),0))</f>
        <v>0</v>
      </c>
      <c r="Y8" s="202">
        <v>1</v>
      </c>
      <c r="Z8" s="208">
        <f>COUNTIFS(Table1[(जिस फायर स्टेशन क्षेत्रार्न्तागत अग्निकाण्ड हुआ हो)],Sheet2!E8,Table1[अग्निकाण्ड का दिनांक],"&gt;="&amp;DATE(2024,11,1), Table1[अग्निकाण्ड का दिनांक],"&lt;="&amp;EOMONTH(DATE(2024,11,1),0))</f>
        <v>0</v>
      </c>
      <c r="AA8" s="202">
        <v>7</v>
      </c>
      <c r="AB8" s="208">
        <f>COUNTIFS(Table1[(जिस फायर स्टेशन क्षेत्रार्न्तागत अग्निकाण्ड हुआ हो)],Sheet2!E8,Table1[अग्निकाण्ड का दिनांक],"&gt;="&amp;DATE(2024,12,1), Table1[अग्निकाण्ड का दिनांक],"&lt;="&amp;EOMONTH(DATE(2024,12,1),0))</f>
        <v>0</v>
      </c>
      <c r="AC8" s="202">
        <v>6</v>
      </c>
      <c r="AD8" s="208">
        <f t="shared" si="0"/>
        <v>11</v>
      </c>
      <c r="AE8" s="199">
        <f t="shared" si="1"/>
        <v>71</v>
      </c>
    </row>
    <row r="9" spans="3:31" ht="20.100000000000001" customHeight="1" x14ac:dyDescent="0.25">
      <c r="C9" s="200">
        <v>5</v>
      </c>
      <c r="D9" s="201"/>
      <c r="E9" s="201" t="s">
        <v>5715</v>
      </c>
      <c r="F9" s="208">
        <f>COUNTIFS(Table1[(जिस फायर स्टेशन क्षेत्रार्न्तागत अग्निकाण्ड हुआ हो)],Sheet2!E9,Table1[अग्निकाण्ड का दिनांक],"&gt;="&amp;DATE(2024,1,1), Table1[अग्निकाण्ड का दिनांक],"&lt;="&amp;EOMONTH(DATE(2024,1,1),0))</f>
        <v>0</v>
      </c>
      <c r="G9" s="202">
        <v>5</v>
      </c>
      <c r="H9" s="208">
        <f>COUNTIFS(Table1[(जिस फायर स्टेशन क्षेत्रार्न्तागत अग्निकाण्ड हुआ हो)],Sheet2!E9,Table1[अग्निकाण्ड का दिनांक],"&gt;="&amp;DATE(2024,2,1), Table1[अग्निकाण्ड का दिनांक],"&lt;="&amp;EOMONTH(DATE(2024,2,1),0))</f>
        <v>0</v>
      </c>
      <c r="I9" s="202">
        <v>4</v>
      </c>
      <c r="J9" s="208">
        <f>COUNTIFS(Table1[(जिस फायर स्टेशन क्षेत्रार्न्तागत अग्निकाण्ड हुआ हो)],Sheet2!E9,Table1[अग्निकाण्ड का दिनांक],"&gt;="&amp;DATE(2024,3,1), Table1[अग्निकाण्ड का दिनांक],"&lt;="&amp;EOMONTH(DATE(2024,3,1),0))</f>
        <v>0</v>
      </c>
      <c r="K9" s="202">
        <v>7</v>
      </c>
      <c r="L9" s="208">
        <f>COUNTIFS(Table1[(जिस फायर स्टेशन क्षेत्रार्न्तागत अग्निकाण्ड हुआ हो)],Sheet2!E9,Table1[अग्निकाण्ड का दिनांक],"&gt;="&amp;DATE(2024,4,1), Table1[अग्निकाण्ड का दिनांक],"&lt;="&amp;EOMONTH(DATE(2024,4,1),0))</f>
        <v>0</v>
      </c>
      <c r="M9" s="202">
        <v>22</v>
      </c>
      <c r="N9" s="208">
        <f>COUNTIFS(Table1[(जिस फायर स्टेशन क्षेत्रार्न्तागत अग्निकाण्ड हुआ हो)],Sheet2!E9,Table1[अग्निकाण्ड का दिनांक],"&gt;="&amp;DATE(2024,5,1), Table1[अग्निकाण्ड का दिनांक],"&lt;="&amp;EOMONTH(DATE(2024,5,1),0))</f>
        <v>0</v>
      </c>
      <c r="O9" s="202">
        <v>34</v>
      </c>
      <c r="P9" s="208">
        <f>COUNTIFS(Table1[(जिस फायर स्टेशन क्षेत्रार्न्तागत अग्निकाण्ड हुआ हो)],Sheet2!E9,Table1[अग्निकाण्ड का दिनांक],"&gt;="&amp;DATE(2024,6,1), Table1[अग्निकाण्ड का दिनांक],"&lt;="&amp;EOMONTH(DATE(2024,6,1),0))</f>
        <v>1</v>
      </c>
      <c r="Q9" s="202">
        <v>30</v>
      </c>
      <c r="R9" s="208">
        <f>COUNTIFS(Table1[(जिस फायर स्टेशन क्षेत्रार्न्तागत अग्निकाण्ड हुआ हो)],Sheet2!E9,Table1[अग्निकाण्ड का दिनांक],"&gt;="&amp;DATE(2024,7,1), Table1[अग्निकाण्ड का दिनांक],"&lt;="&amp;EOMONTH(DATE(2024,7,1),0))</f>
        <v>0</v>
      </c>
      <c r="S9" s="202">
        <v>1</v>
      </c>
      <c r="T9" s="208">
        <f>COUNTIFS(Table1[(जिस फायर स्टेशन क्षेत्रार्न्तागत अग्निकाण्ड हुआ हो)],Sheet2!E9,Table1[अग्निकाण्ड का दिनांक],"&gt;="&amp;DATE(2024,8,1), Table1[अग्निकाण्ड का दिनांक],"&lt;="&amp;EOMONTH(DATE(2024,8,1),0))</f>
        <v>0</v>
      </c>
      <c r="U9" s="202">
        <v>2</v>
      </c>
      <c r="V9" s="208">
        <f>COUNTIFS(Table1[(जिस फायर स्टेशन क्षेत्रार्न्तागत अग्निकाण्ड हुआ हो)],Sheet2!E9,Table1[अग्निकाण्ड का दिनांक],"&gt;="&amp;DATE(2024,9,1), Table1[अग्निकाण्ड का दिनांक],"&lt;="&amp;EOMONTH(DATE(2024,9,1),0))</f>
        <v>0</v>
      </c>
      <c r="W9" s="202">
        <v>2</v>
      </c>
      <c r="X9" s="208">
        <f>COUNTIFS(Table1[(जिस फायर स्टेशन क्षेत्रार्न्तागत अग्निकाण्ड हुआ हो)],Sheet2!E9,Table1[अग्निकाण्ड का दिनांक],"&gt;="&amp;DATE(2024,10,1), Table1[अग्निकाण्ड का दिनांक],"&lt;="&amp;EOMONTH(DATE(2024,10,1),0))</f>
        <v>0</v>
      </c>
      <c r="Y9" s="202">
        <v>1</v>
      </c>
      <c r="Z9" s="208">
        <f>COUNTIFS(Table1[(जिस फायर स्टेशन क्षेत्रार्न्तागत अग्निकाण्ड हुआ हो)],Sheet2!E9,Table1[अग्निकाण्ड का दिनांक],"&gt;="&amp;DATE(2024,11,1), Table1[अग्निकाण्ड का दिनांक],"&lt;="&amp;EOMONTH(DATE(2024,11,1),0))</f>
        <v>0</v>
      </c>
      <c r="AA9" s="202">
        <v>1</v>
      </c>
      <c r="AB9" s="208">
        <f>COUNTIFS(Table1[(जिस फायर स्टेशन क्षेत्रार्न्तागत अग्निकाण्ड हुआ हो)],Sheet2!E9,Table1[अग्निकाण्ड का दिनांक],"&gt;="&amp;DATE(2024,12,1), Table1[अग्निकाण्ड का दिनांक],"&lt;="&amp;EOMONTH(DATE(2024,12,1),0))</f>
        <v>0</v>
      </c>
      <c r="AC9" s="202">
        <v>4</v>
      </c>
      <c r="AD9" s="208">
        <f t="shared" si="0"/>
        <v>1</v>
      </c>
      <c r="AE9" s="199">
        <f t="shared" si="1"/>
        <v>113</v>
      </c>
    </row>
    <row r="10" spans="3:31" ht="20.100000000000001" customHeight="1" x14ac:dyDescent="0.25">
      <c r="C10" s="203">
        <v>6</v>
      </c>
      <c r="D10" s="204"/>
      <c r="E10" s="204" t="s">
        <v>5716</v>
      </c>
      <c r="F10" s="208">
        <f>COUNTIFS(Table1[(जिस फायर स्टेशन क्षेत्रार्न्तागत अग्निकाण्ड हुआ हो)],Sheet2!E10,Table1[अग्निकाण्ड का दिनांक],"&gt;="&amp;DATE(2024,1,1), Table1[अग्निकाण्ड का दिनांक],"&lt;="&amp;EOMONTH(DATE(2024,1,1),0))</f>
        <v>0</v>
      </c>
      <c r="G10" s="202">
        <v>1</v>
      </c>
      <c r="H10" s="208">
        <f>COUNTIFS(Table1[(जिस फायर स्टेशन क्षेत्रार्न्तागत अग्निकाण्ड हुआ हो)],Sheet2!E10,Table1[अग्निकाण्ड का दिनांक],"&gt;="&amp;DATE(2024,2,1), Table1[अग्निकाण्ड का दिनांक],"&lt;="&amp;EOMONTH(DATE(2024,2,1),0))</f>
        <v>0</v>
      </c>
      <c r="I10" s="202">
        <v>1</v>
      </c>
      <c r="J10" s="208">
        <f>COUNTIFS(Table1[(जिस फायर स्टेशन क्षेत्रार्न्तागत अग्निकाण्ड हुआ हो)],Sheet2!E10,Table1[अग्निकाण्ड का दिनांक],"&gt;="&amp;DATE(2024,3,1), Table1[अग्निकाण्ड का दिनांक],"&lt;="&amp;EOMONTH(DATE(2024,3,1),0))</f>
        <v>0</v>
      </c>
      <c r="K10" s="202">
        <v>3</v>
      </c>
      <c r="L10" s="208">
        <f>COUNTIFS(Table1[(जिस फायर स्टेशन क्षेत्रार्न्तागत अग्निकाण्ड हुआ हो)],Sheet2!E10,Table1[अग्निकाण्ड का दिनांक],"&gt;="&amp;DATE(2024,4,1), Table1[अग्निकाण्ड का दिनांक],"&lt;="&amp;EOMONTH(DATE(2024,4,1),0))</f>
        <v>0</v>
      </c>
      <c r="M10" s="202">
        <v>3</v>
      </c>
      <c r="N10" s="208">
        <f>COUNTIFS(Table1[(जिस फायर स्टेशन क्षेत्रार्न्तागत अग्निकाण्ड हुआ हो)],Sheet2!E10,Table1[अग्निकाण्ड का दिनांक],"&gt;="&amp;DATE(2024,5,1), Table1[अग्निकाण्ड का दिनांक],"&lt;="&amp;EOMONTH(DATE(2024,5,1),0))</f>
        <v>0</v>
      </c>
      <c r="O10" s="202">
        <v>7</v>
      </c>
      <c r="P10" s="208">
        <f>COUNTIFS(Table1[(जिस फायर स्टेशन क्षेत्रार्न्तागत अग्निकाण्ड हुआ हो)],Sheet2!E10,Table1[अग्निकाण्ड का दिनांक],"&gt;="&amp;DATE(2024,6,1), Table1[अग्निकाण्ड का दिनांक],"&lt;="&amp;EOMONTH(DATE(2024,6,1),0))</f>
        <v>0</v>
      </c>
      <c r="Q10" s="202">
        <v>3</v>
      </c>
      <c r="R10" s="208">
        <f>COUNTIFS(Table1[(जिस फायर स्टेशन क्षेत्रार्न्तागत अग्निकाण्ड हुआ हो)],Sheet2!E10,Table1[अग्निकाण्ड का दिनांक],"&gt;="&amp;DATE(2024,7,1), Table1[अग्निकाण्ड का दिनांक],"&lt;="&amp;EOMONTH(DATE(2024,7,1),0))</f>
        <v>0</v>
      </c>
      <c r="S10" s="202">
        <v>2</v>
      </c>
      <c r="T10" s="208">
        <f>COUNTIFS(Table1[(जिस फायर स्टेशन क्षेत्रार्न्तागत अग्निकाण्ड हुआ हो)],Sheet2!E10,Table1[अग्निकाण्ड का दिनांक],"&gt;="&amp;DATE(2024,8,1), Table1[अग्निकाण्ड का दिनांक],"&lt;="&amp;EOMONTH(DATE(2024,8,1),0))</f>
        <v>0</v>
      </c>
      <c r="U10" s="202">
        <v>0</v>
      </c>
      <c r="V10" s="208">
        <f>COUNTIFS(Table1[(जिस फायर स्टेशन क्षेत्रार्न्तागत अग्निकाण्ड हुआ हो)],Sheet2!E10,Table1[अग्निकाण्ड का दिनांक],"&gt;="&amp;DATE(2024,9,1), Table1[अग्निकाण्ड का दिनांक],"&lt;="&amp;EOMONTH(DATE(2024,9,1),0))</f>
        <v>0</v>
      </c>
      <c r="W10" s="202">
        <v>2</v>
      </c>
      <c r="X10" s="208">
        <f>COUNTIFS(Table1[(जिस फायर स्टेशन क्षेत्रार्न्तागत अग्निकाण्ड हुआ हो)],Sheet2!E10,Table1[अग्निकाण्ड का दिनांक],"&gt;="&amp;DATE(2024,10,1), Table1[अग्निकाण्ड का दिनांक],"&lt;="&amp;EOMONTH(DATE(2024,10,1),0))</f>
        <v>0</v>
      </c>
      <c r="Y10" s="202">
        <v>4</v>
      </c>
      <c r="Z10" s="208">
        <f>COUNTIFS(Table1[(जिस फायर स्टेशन क्षेत्रार्न्तागत अग्निकाण्ड हुआ हो)],Sheet2!E10,Table1[अग्निकाण्ड का दिनांक],"&gt;="&amp;DATE(2024,11,1), Table1[अग्निकाण्ड का दिनांक],"&lt;="&amp;EOMONTH(DATE(2024,11,1),0))</f>
        <v>0</v>
      </c>
      <c r="AA10" s="202">
        <v>5</v>
      </c>
      <c r="AB10" s="208">
        <f>COUNTIFS(Table1[(जिस फायर स्टेशन क्षेत्रार्न्तागत अग्निकाण्ड हुआ हो)],Sheet2!E10,Table1[अग्निकाण्ड का दिनांक],"&gt;="&amp;DATE(2024,12,1), Table1[अग्निकाण्ड का दिनांक],"&lt;="&amp;EOMONTH(DATE(2024,12,1),0))</f>
        <v>0</v>
      </c>
      <c r="AC10" s="202">
        <v>1</v>
      </c>
      <c r="AD10" s="208">
        <f t="shared" si="0"/>
        <v>0</v>
      </c>
      <c r="AE10" s="199">
        <f t="shared" si="1"/>
        <v>32</v>
      </c>
    </row>
    <row r="11" spans="3:31" ht="20.100000000000001" customHeight="1" x14ac:dyDescent="0.25">
      <c r="C11" s="200">
        <v>7</v>
      </c>
      <c r="D11" s="201"/>
      <c r="E11" s="201" t="s">
        <v>5149</v>
      </c>
      <c r="F11" s="208">
        <f>COUNTIFS(Table1[(जिस फायर स्टेशन क्षेत्रार्न्तागत अग्निकाण्ड हुआ हो)],Sheet2!E11,Table1[अग्निकाण्ड का दिनांक],"&gt;="&amp;DATE(2024,1,1), Table1[अग्निकाण्ड का दिनांक],"&lt;="&amp;EOMONTH(DATE(2024,1,1),0))</f>
        <v>0</v>
      </c>
      <c r="G11" s="202">
        <v>1</v>
      </c>
      <c r="H11" s="208">
        <f>COUNTIFS(Table1[(जिस फायर स्टेशन क्षेत्रार्न्तागत अग्निकाण्ड हुआ हो)],Sheet2!E11,Table1[अग्निकाण्ड का दिनांक],"&gt;="&amp;DATE(2024,2,1), Table1[अग्निकाण्ड का दिनांक],"&lt;="&amp;EOMONTH(DATE(2024,2,1),0))</f>
        <v>0</v>
      </c>
      <c r="I11" s="202">
        <v>0</v>
      </c>
      <c r="J11" s="208">
        <f>COUNTIFS(Table1[(जिस फायर स्टेशन क्षेत्रार्न्तागत अग्निकाण्ड हुआ हो)],Sheet2!E11,Table1[अग्निकाण्ड का दिनांक],"&gt;="&amp;DATE(2024,3,1), Table1[अग्निकाण्ड का दिनांक],"&lt;="&amp;EOMONTH(DATE(2024,3,1),0))</f>
        <v>0</v>
      </c>
      <c r="K11" s="202">
        <v>0</v>
      </c>
      <c r="L11" s="208">
        <f>COUNTIFS(Table1[(जिस फायर स्टेशन क्षेत्रार्न्तागत अग्निकाण्ड हुआ हो)],Sheet2!E11,Table1[अग्निकाण्ड का दिनांक],"&gt;="&amp;DATE(2024,4,1), Table1[अग्निकाण्ड का दिनांक],"&lt;="&amp;EOMONTH(DATE(2024,4,1),0))</f>
        <v>0</v>
      </c>
      <c r="M11" s="202">
        <v>1</v>
      </c>
      <c r="N11" s="208">
        <f>COUNTIFS(Table1[(जिस फायर स्टेशन क्षेत्रार्न्तागत अग्निकाण्ड हुआ हो)],Sheet2!E11,Table1[अग्निकाण्ड का दिनांक],"&gt;="&amp;DATE(2024,5,1), Table1[अग्निकाण्ड का दिनांक],"&lt;="&amp;EOMONTH(DATE(2024,5,1),0))</f>
        <v>0</v>
      </c>
      <c r="O11" s="202">
        <v>4</v>
      </c>
      <c r="P11" s="208">
        <f>COUNTIFS(Table1[(जिस फायर स्टेशन क्षेत्रार्न्तागत अग्निकाण्ड हुआ हो)],Sheet2!E11,Table1[अग्निकाण्ड का दिनांक],"&gt;="&amp;DATE(2024,6,1), Table1[अग्निकाण्ड का दिनांक],"&lt;="&amp;EOMONTH(DATE(2024,6,1),0))</f>
        <v>3</v>
      </c>
      <c r="Q11" s="202">
        <v>3</v>
      </c>
      <c r="R11" s="208">
        <f>COUNTIFS(Table1[(जिस फायर स्टेशन क्षेत्रार्न्तागत अग्निकाण्ड हुआ हो)],Sheet2!E11,Table1[अग्निकाण्ड का दिनांक],"&gt;="&amp;DATE(2024,7,1), Table1[अग्निकाण्ड का दिनांक],"&lt;="&amp;EOMONTH(DATE(2024,7,1),0))</f>
        <v>0</v>
      </c>
      <c r="S11" s="202">
        <v>0</v>
      </c>
      <c r="T11" s="208">
        <f>COUNTIFS(Table1[(जिस फायर स्टेशन क्षेत्रार्न्तागत अग्निकाण्ड हुआ हो)],Sheet2!E11,Table1[अग्निकाण्ड का दिनांक],"&gt;="&amp;DATE(2024,8,1), Table1[अग्निकाण्ड का दिनांक],"&lt;="&amp;EOMONTH(DATE(2024,8,1),0))</f>
        <v>0</v>
      </c>
      <c r="U11" s="202">
        <v>0</v>
      </c>
      <c r="V11" s="208">
        <f>COUNTIFS(Table1[(जिस फायर स्टेशन क्षेत्रार्न्तागत अग्निकाण्ड हुआ हो)],Sheet2!E11,Table1[अग्निकाण्ड का दिनांक],"&gt;="&amp;DATE(2024,9,1), Table1[अग्निकाण्ड का दिनांक],"&lt;="&amp;EOMONTH(DATE(2024,9,1),0))</f>
        <v>0</v>
      </c>
      <c r="W11" s="202">
        <v>0</v>
      </c>
      <c r="X11" s="208">
        <f>COUNTIFS(Table1[(जिस फायर स्टेशन क्षेत्रार्न्तागत अग्निकाण्ड हुआ हो)],Sheet2!E11,Table1[अग्निकाण्ड का दिनांक],"&gt;="&amp;DATE(2024,10,1), Table1[अग्निकाण्ड का दिनांक],"&lt;="&amp;EOMONTH(DATE(2024,10,1),0))</f>
        <v>0</v>
      </c>
      <c r="Y11" s="202">
        <v>0</v>
      </c>
      <c r="Z11" s="208">
        <f>COUNTIFS(Table1[(जिस फायर स्टेशन क्षेत्रार्न्तागत अग्निकाण्ड हुआ हो)],Sheet2!E11,Table1[अग्निकाण्ड का दिनांक],"&gt;="&amp;DATE(2024,11,1), Table1[अग्निकाण्ड का दिनांक],"&lt;="&amp;EOMONTH(DATE(2024,11,1),0))</f>
        <v>0</v>
      </c>
      <c r="AA11" s="202">
        <v>0</v>
      </c>
      <c r="AB11" s="208">
        <f>COUNTIFS(Table1[(जिस फायर स्टेशन क्षेत्रार्न्तागत अग्निकाण्ड हुआ हो)],Sheet2!E11,Table1[अग्निकाण्ड का दिनांक],"&gt;="&amp;DATE(2024,12,1), Table1[अग्निकाण्ड का दिनांक],"&lt;="&amp;EOMONTH(DATE(2024,12,1),0))</f>
        <v>0</v>
      </c>
      <c r="AC11" s="202">
        <v>0</v>
      </c>
      <c r="AD11" s="208">
        <f t="shared" si="0"/>
        <v>3</v>
      </c>
      <c r="AE11" s="199">
        <f t="shared" si="1"/>
        <v>9</v>
      </c>
    </row>
    <row r="12" spans="3:31" ht="20.100000000000001" customHeight="1" x14ac:dyDescent="0.25">
      <c r="C12" s="203">
        <v>8</v>
      </c>
      <c r="D12" s="204" t="s">
        <v>5702</v>
      </c>
      <c r="E12" s="204" t="s">
        <v>94</v>
      </c>
      <c r="F12" s="208">
        <f>COUNTIFS(Table1[(जिस फायर स्टेशन क्षेत्रार्न्तागत अग्निकाण्ड हुआ हो)],Sheet2!E12,Table1[अग्निकाण्ड का दिनांक],"&gt;="&amp;DATE(2024,1,1), Table1[अग्निकाण्ड का दिनांक],"&lt;="&amp;EOMONTH(DATE(2024,1,1),0))</f>
        <v>0</v>
      </c>
      <c r="G12" s="202">
        <v>11</v>
      </c>
      <c r="H12" s="208">
        <f>COUNTIFS(Table1[(जिस फायर स्टेशन क्षेत्रार्न्तागत अग्निकाण्ड हुआ हो)],Sheet2!E12,Table1[अग्निकाण्ड का दिनांक],"&gt;="&amp;DATE(2024,2,1), Table1[अग्निकाण्ड का दिनांक],"&lt;="&amp;EOMONTH(DATE(2024,2,1),0))</f>
        <v>0</v>
      </c>
      <c r="I12" s="202">
        <v>11</v>
      </c>
      <c r="J12" s="208">
        <f>COUNTIFS(Table1[(जिस फायर स्टेशन क्षेत्रार्न्तागत अग्निकाण्ड हुआ हो)],Sheet2!E12,Table1[अग्निकाण्ड का दिनांक],"&gt;="&amp;DATE(2024,3,1), Table1[अग्निकाण्ड का दिनांक],"&lt;="&amp;EOMONTH(DATE(2024,3,1),0))</f>
        <v>0</v>
      </c>
      <c r="K12" s="202">
        <v>13</v>
      </c>
      <c r="L12" s="208">
        <f>COUNTIFS(Table1[(जिस फायर स्टेशन क्षेत्रार्न्तागत अग्निकाण्ड हुआ हो)],Sheet2!E12,Table1[अग्निकाण्ड का दिनांक],"&gt;="&amp;DATE(2024,4,1), Table1[अग्निकाण्ड का दिनांक],"&lt;="&amp;EOMONTH(DATE(2024,4,1),0))</f>
        <v>0</v>
      </c>
      <c r="M12" s="202">
        <v>30</v>
      </c>
      <c r="N12" s="208">
        <f>COUNTIFS(Table1[(जिस फायर स्टेशन क्षेत्रार्न्तागत अग्निकाण्ड हुआ हो)],Sheet2!E12,Table1[अग्निकाण्ड का दिनांक],"&gt;="&amp;DATE(2024,5,1), Table1[अग्निकाण्ड का दिनांक],"&lt;="&amp;EOMONTH(DATE(2024,5,1),0))</f>
        <v>0</v>
      </c>
      <c r="O12" s="202">
        <v>48</v>
      </c>
      <c r="P12" s="208">
        <f>COUNTIFS(Table1[(जिस फायर स्टेशन क्षेत्रार्न्तागत अग्निकाण्ड हुआ हो)],Sheet2!E12,Table1[अग्निकाण्ड का दिनांक],"&gt;="&amp;DATE(2024,6,1), Table1[अग्निकाण्ड का दिनांक],"&lt;="&amp;EOMONTH(DATE(2024,6,1),0))</f>
        <v>37</v>
      </c>
      <c r="Q12" s="202">
        <v>40</v>
      </c>
      <c r="R12" s="208">
        <f>COUNTIFS(Table1[(जिस फायर स्टेशन क्षेत्रार्न्तागत अग्निकाण्ड हुआ हो)],Sheet2!E12,Table1[अग्निकाण्ड का दिनांक],"&gt;="&amp;DATE(2024,7,1), Table1[अग्निकाण्ड का दिनांक],"&lt;="&amp;EOMONTH(DATE(2024,7,1),0))</f>
        <v>0</v>
      </c>
      <c r="S12" s="202">
        <v>15</v>
      </c>
      <c r="T12" s="208">
        <f>COUNTIFS(Table1[(जिस फायर स्टेशन क्षेत्रार्न्तागत अग्निकाण्ड हुआ हो)],Sheet2!E12,Table1[अग्निकाण्ड का दिनांक],"&gt;="&amp;DATE(2024,8,1), Table1[अग्निकाण्ड का दिनांक],"&lt;="&amp;EOMONTH(DATE(2024,8,1),0))</f>
        <v>0</v>
      </c>
      <c r="U12" s="202">
        <v>10</v>
      </c>
      <c r="V12" s="208">
        <f>COUNTIFS(Table1[(जिस फायर स्टेशन क्षेत्रार्न्तागत अग्निकाण्ड हुआ हो)],Sheet2!E12,Table1[अग्निकाण्ड का दिनांक],"&gt;="&amp;DATE(2024,9,1), Table1[अग्निकाण्ड का दिनांक],"&lt;="&amp;EOMONTH(DATE(2024,9,1),0))</f>
        <v>0</v>
      </c>
      <c r="W12" s="202">
        <v>7</v>
      </c>
      <c r="X12" s="208">
        <f>COUNTIFS(Table1[(जिस फायर स्टेशन क्षेत्रार्न्तागत अग्निकाण्ड हुआ हो)],Sheet2!E12,Table1[अग्निकाण्ड का दिनांक],"&gt;="&amp;DATE(2024,10,1), Table1[अग्निकाण्ड का दिनांक],"&lt;="&amp;EOMONTH(DATE(2024,10,1),0))</f>
        <v>0</v>
      </c>
      <c r="Y12" s="202">
        <v>16</v>
      </c>
      <c r="Z12" s="208">
        <f>COUNTIFS(Table1[(जिस फायर स्टेशन क्षेत्रार्न्तागत अग्निकाण्ड हुआ हो)],Sheet2!E12,Table1[अग्निकाण्ड का दिनांक],"&gt;="&amp;DATE(2024,11,1), Table1[अग्निकाण्ड का दिनांक],"&lt;="&amp;EOMONTH(DATE(2024,11,1),0))</f>
        <v>0</v>
      </c>
      <c r="AA12" s="202">
        <v>19</v>
      </c>
      <c r="AB12" s="208">
        <f>COUNTIFS(Table1[(जिस फायर स्टेशन क्षेत्रार्न्तागत अग्निकाण्ड हुआ हो)],Sheet2!E12,Table1[अग्निकाण्ड का दिनांक],"&gt;="&amp;DATE(2024,12,1), Table1[अग्निकाण्ड का दिनांक],"&lt;="&amp;EOMONTH(DATE(2024,12,1),0))</f>
        <v>0</v>
      </c>
      <c r="AC12" s="202">
        <v>8</v>
      </c>
      <c r="AD12" s="208">
        <f t="shared" si="0"/>
        <v>37</v>
      </c>
      <c r="AE12" s="199">
        <f t="shared" si="1"/>
        <v>228</v>
      </c>
    </row>
    <row r="13" spans="3:31" ht="20.100000000000001" customHeight="1" x14ac:dyDescent="0.25">
      <c r="C13" s="200">
        <v>9</v>
      </c>
      <c r="D13" s="201"/>
      <c r="E13" s="201" t="s">
        <v>584</v>
      </c>
      <c r="F13" s="208">
        <f>COUNTIFS(Table1[(जिस फायर स्टेशन क्षेत्रार्न्तागत अग्निकाण्ड हुआ हो)],Sheet2!E13,Table1[अग्निकाण्ड का दिनांक],"&gt;="&amp;DATE(2024,1,1), Table1[अग्निकाण्ड का दिनांक],"&lt;="&amp;EOMONTH(DATE(2024,1,1),0))</f>
        <v>0</v>
      </c>
      <c r="G13" s="202">
        <v>13</v>
      </c>
      <c r="H13" s="208">
        <f>COUNTIFS(Table1[(जिस फायर स्टेशन क्षेत्रार्न्तागत अग्निकाण्ड हुआ हो)],Sheet2!E13,Table1[अग्निकाण्ड का दिनांक],"&gt;="&amp;DATE(2024,2,1), Table1[अग्निकाण्ड का दिनांक],"&lt;="&amp;EOMONTH(DATE(2024,2,1),0))</f>
        <v>0</v>
      </c>
      <c r="I13" s="202">
        <v>8</v>
      </c>
      <c r="J13" s="208">
        <f>COUNTIFS(Table1[(जिस फायर स्टेशन क्षेत्रार्न्तागत अग्निकाण्ड हुआ हो)],Sheet2!E13,Table1[अग्निकाण्ड का दिनांक],"&gt;="&amp;DATE(2024,3,1), Table1[अग्निकाण्ड का दिनांक],"&lt;="&amp;EOMONTH(DATE(2024,3,1),0))</f>
        <v>0</v>
      </c>
      <c r="K13" s="202">
        <v>5</v>
      </c>
      <c r="L13" s="208">
        <f>COUNTIFS(Table1[(जिस फायर स्टेशन क्षेत्रार्न्तागत अग्निकाण्ड हुआ हो)],Sheet2!E13,Table1[अग्निकाण्ड का दिनांक],"&gt;="&amp;DATE(2024,4,1), Table1[अग्निकाण्ड का दिनांक],"&lt;="&amp;EOMONTH(DATE(2024,4,1),0))</f>
        <v>0</v>
      </c>
      <c r="M13" s="202">
        <v>23</v>
      </c>
      <c r="N13" s="208">
        <f>COUNTIFS(Table1[(जिस फायर स्टेशन क्षेत्रार्न्तागत अग्निकाण्ड हुआ हो)],Sheet2!E13,Table1[अग्निकाण्ड का दिनांक],"&gt;="&amp;DATE(2024,5,1), Table1[अग्निकाण्ड का दिनांक],"&lt;="&amp;EOMONTH(DATE(2024,5,1),0))</f>
        <v>0</v>
      </c>
      <c r="O13" s="202">
        <v>30</v>
      </c>
      <c r="P13" s="208">
        <f>COUNTIFS(Table1[(जिस फायर स्टेशन क्षेत्रार्न्तागत अग्निकाण्ड हुआ हो)],Sheet2!E13,Table1[अग्निकाण्ड का दिनांक],"&gt;="&amp;DATE(2024,6,1), Table1[अग्निकाण्ड का दिनांक],"&lt;="&amp;EOMONTH(DATE(2024,6,1),0))</f>
        <v>24</v>
      </c>
      <c r="Q13" s="202">
        <v>24</v>
      </c>
      <c r="R13" s="208">
        <f>COUNTIFS(Table1[(जिस फायर स्टेशन क्षेत्रार्न्तागत अग्निकाण्ड हुआ हो)],Sheet2!E13,Table1[अग्निकाण्ड का दिनांक],"&gt;="&amp;DATE(2024,7,1), Table1[अग्निकाण्ड का दिनांक],"&lt;="&amp;EOMONTH(DATE(2024,7,1),0))</f>
        <v>0</v>
      </c>
      <c r="S13" s="202">
        <v>9</v>
      </c>
      <c r="T13" s="208">
        <f>COUNTIFS(Table1[(जिस फायर स्टेशन क्षेत्रार्न्तागत अग्निकाण्ड हुआ हो)],Sheet2!E13,Table1[अग्निकाण्ड का दिनांक],"&gt;="&amp;DATE(2024,8,1), Table1[अग्निकाण्ड का दिनांक],"&lt;="&amp;EOMONTH(DATE(2024,8,1),0))</f>
        <v>0</v>
      </c>
      <c r="U13" s="202">
        <v>7</v>
      </c>
      <c r="V13" s="208">
        <f>COUNTIFS(Table1[(जिस फायर स्टेशन क्षेत्रार्न्तागत अग्निकाण्ड हुआ हो)],Sheet2!E13,Table1[अग्निकाण्ड का दिनांक],"&gt;="&amp;DATE(2024,9,1), Table1[अग्निकाण्ड का दिनांक],"&lt;="&amp;EOMONTH(DATE(2024,9,1),0))</f>
        <v>0</v>
      </c>
      <c r="W13" s="202">
        <v>4</v>
      </c>
      <c r="X13" s="208">
        <f>COUNTIFS(Table1[(जिस फायर स्टेशन क्षेत्रार्न्तागत अग्निकाण्ड हुआ हो)],Sheet2!E13,Table1[अग्निकाण्ड का दिनांक],"&gt;="&amp;DATE(2024,10,1), Table1[अग्निकाण्ड का दिनांक],"&lt;="&amp;EOMONTH(DATE(2024,10,1),0))</f>
        <v>0</v>
      </c>
      <c r="Y13" s="202">
        <v>5</v>
      </c>
      <c r="Z13" s="208">
        <f>COUNTIFS(Table1[(जिस फायर स्टेशन क्षेत्रार्न्तागत अग्निकाण्ड हुआ हो)],Sheet2!E13,Table1[अग्निकाण्ड का दिनांक],"&gt;="&amp;DATE(2024,11,1), Table1[अग्निकाण्ड का दिनांक],"&lt;="&amp;EOMONTH(DATE(2024,11,1),0))</f>
        <v>0</v>
      </c>
      <c r="AA13" s="202">
        <v>10</v>
      </c>
      <c r="AB13" s="208">
        <f>COUNTIFS(Table1[(जिस फायर स्टेशन क्षेत्रार्न्तागत अग्निकाण्ड हुआ हो)],Sheet2!E13,Table1[अग्निकाण्ड का दिनांक],"&gt;="&amp;DATE(2024,12,1), Table1[अग्निकाण्ड का दिनांक],"&lt;="&amp;EOMONTH(DATE(2024,12,1),0))</f>
        <v>0</v>
      </c>
      <c r="AC13" s="202">
        <v>19</v>
      </c>
      <c r="AD13" s="208">
        <f t="shared" si="0"/>
        <v>24</v>
      </c>
      <c r="AE13" s="199">
        <f t="shared" si="1"/>
        <v>157</v>
      </c>
    </row>
    <row r="14" spans="3:31" ht="20.100000000000001" customHeight="1" x14ac:dyDescent="0.25">
      <c r="C14" s="203">
        <v>10</v>
      </c>
      <c r="D14" s="204"/>
      <c r="E14" s="204" t="s">
        <v>1792</v>
      </c>
      <c r="F14" s="208">
        <f>COUNTIFS(Table1[(जिस फायर स्टेशन क्षेत्रार्न्तागत अग्निकाण्ड हुआ हो)],Sheet2!E14,Table1[अग्निकाण्ड का दिनांक],"&gt;="&amp;DATE(2024,1,1), Table1[अग्निकाण्ड का दिनांक],"&lt;="&amp;EOMONTH(DATE(2024,1,1),0))</f>
        <v>0</v>
      </c>
      <c r="G14" s="202">
        <v>0</v>
      </c>
      <c r="H14" s="208">
        <f>COUNTIFS(Table1[(जिस फायर स्टेशन क्षेत्रार्न्तागत अग्निकाण्ड हुआ हो)],Sheet2!E14,Table1[अग्निकाण्ड का दिनांक],"&gt;="&amp;DATE(2024,2,1), Table1[अग्निकाण्ड का दिनांक],"&lt;="&amp;EOMONTH(DATE(2024,2,1),0))</f>
        <v>0</v>
      </c>
      <c r="I14" s="202">
        <v>1</v>
      </c>
      <c r="J14" s="208">
        <f>COUNTIFS(Table1[(जिस फायर स्टेशन क्षेत्रार्न्तागत अग्निकाण्ड हुआ हो)],Sheet2!E14,Table1[अग्निकाण्ड का दिनांक],"&gt;="&amp;DATE(2024,3,1), Table1[अग्निकाण्ड का दिनांक],"&lt;="&amp;EOMONTH(DATE(2024,3,1),0))</f>
        <v>0</v>
      </c>
      <c r="K14" s="202">
        <v>1</v>
      </c>
      <c r="L14" s="208">
        <f>COUNTIFS(Table1[(जिस फायर स्टेशन क्षेत्रार्न्तागत अग्निकाण्ड हुआ हो)],Sheet2!E14,Table1[अग्निकाण्ड का दिनांक],"&gt;="&amp;DATE(2024,4,1), Table1[अग्निकाण्ड का दिनांक],"&lt;="&amp;EOMONTH(DATE(2024,4,1),0))</f>
        <v>0</v>
      </c>
      <c r="M14" s="202">
        <v>9</v>
      </c>
      <c r="N14" s="208">
        <f>COUNTIFS(Table1[(जिस फायर स्टेशन क्षेत्रार्न्तागत अग्निकाण्ड हुआ हो)],Sheet2!E14,Table1[अग्निकाण्ड का दिनांक],"&gt;="&amp;DATE(2024,5,1), Table1[अग्निकाण्ड का दिनांक],"&lt;="&amp;EOMONTH(DATE(2024,5,1),0))</f>
        <v>0</v>
      </c>
      <c r="O14" s="202">
        <v>5</v>
      </c>
      <c r="P14" s="208">
        <f>COUNTIFS(Table1[(जिस फायर स्टेशन क्षेत्रार्न्तागत अग्निकाण्ड हुआ हो)],Sheet2!E14,Table1[अग्निकाण्ड का दिनांक],"&gt;="&amp;DATE(2024,6,1), Table1[अग्निकाण्ड का दिनांक],"&lt;="&amp;EOMONTH(DATE(2024,6,1),0))</f>
        <v>8</v>
      </c>
      <c r="Q14" s="202">
        <v>8</v>
      </c>
      <c r="R14" s="208">
        <f>COUNTIFS(Table1[(जिस फायर स्टेशन क्षेत्रार्न्तागत अग्निकाण्ड हुआ हो)],Sheet2!E14,Table1[अग्निकाण्ड का दिनांक],"&gt;="&amp;DATE(2024,7,1), Table1[अग्निकाण्ड का दिनांक],"&lt;="&amp;EOMONTH(DATE(2024,7,1),0))</f>
        <v>0</v>
      </c>
      <c r="S14" s="202">
        <v>0</v>
      </c>
      <c r="T14" s="208">
        <f>COUNTIFS(Table1[(जिस फायर स्टेशन क्षेत्रार्न्तागत अग्निकाण्ड हुआ हो)],Sheet2!E14,Table1[अग्निकाण्ड का दिनांक],"&gt;="&amp;DATE(2024,8,1), Table1[अग्निकाण्ड का दिनांक],"&lt;="&amp;EOMONTH(DATE(2024,8,1),0))</f>
        <v>0</v>
      </c>
      <c r="U14" s="202">
        <v>0</v>
      </c>
      <c r="V14" s="208">
        <f>COUNTIFS(Table1[(जिस फायर स्टेशन क्षेत्रार्न्तागत अग्निकाण्ड हुआ हो)],Sheet2!E14,Table1[अग्निकाण्ड का दिनांक],"&gt;="&amp;DATE(2024,9,1), Table1[अग्निकाण्ड का दिनांक],"&lt;="&amp;EOMONTH(DATE(2024,9,1),0))</f>
        <v>0</v>
      </c>
      <c r="W14" s="202">
        <v>1</v>
      </c>
      <c r="X14" s="208">
        <f>COUNTIFS(Table1[(जिस फायर स्टेशन क्षेत्रार्न्तागत अग्निकाण्ड हुआ हो)],Sheet2!E14,Table1[अग्निकाण्ड का दिनांक],"&gt;="&amp;DATE(2024,10,1), Table1[अग्निकाण्ड का दिनांक],"&lt;="&amp;EOMONTH(DATE(2024,10,1),0))</f>
        <v>0</v>
      </c>
      <c r="Y14" s="202">
        <v>2</v>
      </c>
      <c r="Z14" s="208">
        <f>COUNTIFS(Table1[(जिस फायर स्टेशन क्षेत्रार्न्तागत अग्निकाण्ड हुआ हो)],Sheet2!E14,Table1[अग्निकाण्ड का दिनांक],"&gt;="&amp;DATE(2024,11,1), Table1[अग्निकाण्ड का दिनांक],"&lt;="&amp;EOMONTH(DATE(2024,11,1),0))</f>
        <v>0</v>
      </c>
      <c r="AA14" s="202">
        <v>1</v>
      </c>
      <c r="AB14" s="208">
        <f>COUNTIFS(Table1[(जिस फायर स्टेशन क्षेत्रार्न्तागत अग्निकाण्ड हुआ हो)],Sheet2!E14,Table1[अग्निकाण्ड का दिनांक],"&gt;="&amp;DATE(2024,12,1), Table1[अग्निकाण्ड का दिनांक],"&lt;="&amp;EOMONTH(DATE(2024,12,1),0))</f>
        <v>0</v>
      </c>
      <c r="AC14" s="202">
        <v>3</v>
      </c>
      <c r="AD14" s="208">
        <f t="shared" si="0"/>
        <v>8</v>
      </c>
      <c r="AE14" s="199">
        <f t="shared" si="1"/>
        <v>31</v>
      </c>
    </row>
    <row r="15" spans="3:31" ht="20.100000000000001" customHeight="1" x14ac:dyDescent="0.25">
      <c r="C15" s="200">
        <v>11</v>
      </c>
      <c r="D15" s="201"/>
      <c r="E15" s="201" t="s">
        <v>1791</v>
      </c>
      <c r="F15" s="208">
        <f>COUNTIFS(Table1[(जिस फायर स्टेशन क्षेत्रार्न्तागत अग्निकाण्ड हुआ हो)],Sheet2!E15,Table1[अग्निकाण्ड का दिनांक],"&gt;="&amp;DATE(2024,1,1), Table1[अग्निकाण्ड का दिनांक],"&lt;="&amp;EOMONTH(DATE(2024,1,1),0))</f>
        <v>0</v>
      </c>
      <c r="G15" s="202">
        <v>2</v>
      </c>
      <c r="H15" s="208">
        <f>COUNTIFS(Table1[(जिस फायर स्टेशन क्षेत्रार्न्तागत अग्निकाण्ड हुआ हो)],Sheet2!E15,Table1[अग्निकाण्ड का दिनांक],"&gt;="&amp;DATE(2024,2,1), Table1[अग्निकाण्ड का दिनांक],"&lt;="&amp;EOMONTH(DATE(2024,2,1),0))</f>
        <v>0</v>
      </c>
      <c r="I15" s="202">
        <v>4</v>
      </c>
      <c r="J15" s="208">
        <f>COUNTIFS(Table1[(जिस फायर स्टेशन क्षेत्रार्न्तागत अग्निकाण्ड हुआ हो)],Sheet2!E15,Table1[अग्निकाण्ड का दिनांक],"&gt;="&amp;DATE(2024,3,1), Table1[अग्निकाण्ड का दिनांक],"&lt;="&amp;EOMONTH(DATE(2024,3,1),0))</f>
        <v>0</v>
      </c>
      <c r="K15" s="202">
        <v>8</v>
      </c>
      <c r="L15" s="208">
        <f>COUNTIFS(Table1[(जिस फायर स्टेशन क्षेत्रार्न्तागत अग्निकाण्ड हुआ हो)],Sheet2!E15,Table1[अग्निकाण्ड का दिनांक],"&gt;="&amp;DATE(2024,4,1), Table1[अग्निकाण्ड का दिनांक],"&lt;="&amp;EOMONTH(DATE(2024,4,1),0))</f>
        <v>0</v>
      </c>
      <c r="M15" s="202">
        <v>4</v>
      </c>
      <c r="N15" s="208">
        <f>COUNTIFS(Table1[(जिस फायर स्टेशन क्षेत्रार्न्तागत अग्निकाण्ड हुआ हो)],Sheet2!E15,Table1[अग्निकाण्ड का दिनांक],"&gt;="&amp;DATE(2024,5,1), Table1[अग्निकाण्ड का दिनांक],"&lt;="&amp;EOMONTH(DATE(2024,5,1),0))</f>
        <v>0</v>
      </c>
      <c r="O15" s="202">
        <v>14</v>
      </c>
      <c r="P15" s="208">
        <f>COUNTIFS(Table1[(जिस फायर स्टेशन क्षेत्रार्न्तागत अग्निकाण्ड हुआ हो)],Sheet2!E15,Table1[अग्निकाण्ड का दिनांक],"&gt;="&amp;DATE(2024,6,1), Table1[अग्निकाण्ड का दिनांक],"&lt;="&amp;EOMONTH(DATE(2024,6,1),0))</f>
        <v>6</v>
      </c>
      <c r="Q15" s="202">
        <v>4</v>
      </c>
      <c r="R15" s="208">
        <f>COUNTIFS(Table1[(जिस फायर स्टेशन क्षेत्रार्न्तागत अग्निकाण्ड हुआ हो)],Sheet2!E15,Table1[अग्निकाण्ड का दिनांक],"&gt;="&amp;DATE(2024,7,1), Table1[अग्निकाण्ड का दिनांक],"&lt;="&amp;EOMONTH(DATE(2024,7,1),0))</f>
        <v>0</v>
      </c>
      <c r="S15" s="202">
        <v>0</v>
      </c>
      <c r="T15" s="208">
        <f>COUNTIFS(Table1[(जिस फायर स्टेशन क्षेत्रार्न्तागत अग्निकाण्ड हुआ हो)],Sheet2!E15,Table1[अग्निकाण्ड का दिनांक],"&gt;="&amp;DATE(2024,8,1), Table1[अग्निकाण्ड का दिनांक],"&lt;="&amp;EOMONTH(DATE(2024,8,1),0))</f>
        <v>0</v>
      </c>
      <c r="U15" s="202">
        <v>4</v>
      </c>
      <c r="V15" s="208">
        <f>COUNTIFS(Table1[(जिस फायर स्टेशन क्षेत्रार्न्तागत अग्निकाण्ड हुआ हो)],Sheet2!E15,Table1[अग्निकाण्ड का दिनांक],"&gt;="&amp;DATE(2024,9,1), Table1[अग्निकाण्ड का दिनांक],"&lt;="&amp;EOMONTH(DATE(2024,9,1),0))</f>
        <v>0</v>
      </c>
      <c r="W15" s="202">
        <v>1</v>
      </c>
      <c r="X15" s="208">
        <f>COUNTIFS(Table1[(जिस फायर स्टेशन क्षेत्रार्न्तागत अग्निकाण्ड हुआ हो)],Sheet2!E15,Table1[अग्निकाण्ड का दिनांक],"&gt;="&amp;DATE(2024,10,1), Table1[अग्निकाण्ड का दिनांक],"&lt;="&amp;EOMONTH(DATE(2024,10,1),0))</f>
        <v>0</v>
      </c>
      <c r="Y15" s="202">
        <v>3</v>
      </c>
      <c r="Z15" s="208">
        <f>COUNTIFS(Table1[(जिस फायर स्टेशन क्षेत्रार्न्तागत अग्निकाण्ड हुआ हो)],Sheet2!E15,Table1[अग्निकाण्ड का दिनांक],"&gt;="&amp;DATE(2024,11,1), Table1[अग्निकाण्ड का दिनांक],"&lt;="&amp;EOMONTH(DATE(2024,11,1),0))</f>
        <v>0</v>
      </c>
      <c r="AA15" s="202">
        <v>3</v>
      </c>
      <c r="AB15" s="208">
        <f>COUNTIFS(Table1[(जिस फायर स्टेशन क्षेत्रार्न्तागत अग्निकाण्ड हुआ हो)],Sheet2!E15,Table1[अग्निकाण्ड का दिनांक],"&gt;="&amp;DATE(2024,12,1), Table1[अग्निकाण्ड का दिनांक],"&lt;="&amp;EOMONTH(DATE(2024,12,1),0))</f>
        <v>0</v>
      </c>
      <c r="AC15" s="202">
        <v>5</v>
      </c>
      <c r="AD15" s="208">
        <f t="shared" si="0"/>
        <v>6</v>
      </c>
      <c r="AE15" s="199">
        <f t="shared" si="1"/>
        <v>52</v>
      </c>
    </row>
    <row r="16" spans="3:31" ht="20.100000000000001" customHeight="1" x14ac:dyDescent="0.25">
      <c r="C16" s="203">
        <v>12</v>
      </c>
      <c r="D16" s="204"/>
      <c r="E16" s="204" t="s">
        <v>587</v>
      </c>
      <c r="F16" s="208">
        <f>COUNTIFS(Table1[(जिस फायर स्टेशन क्षेत्रार्न्तागत अग्निकाण्ड हुआ हो)],Sheet2!E16,Table1[अग्निकाण्ड का दिनांक],"&gt;="&amp;DATE(2024,1,1), Table1[अग्निकाण्ड का दिनांक],"&lt;="&amp;EOMONTH(DATE(2024,1,1),0))</f>
        <v>0</v>
      </c>
      <c r="G16" s="202">
        <v>0</v>
      </c>
      <c r="H16" s="208">
        <f>COUNTIFS(Table1[(जिस फायर स्टेशन क्षेत्रार्न्तागत अग्निकाण्ड हुआ हो)],Sheet2!E16,Table1[अग्निकाण्ड का दिनांक],"&gt;="&amp;DATE(2024,2,1), Table1[अग्निकाण्ड का दिनांक],"&lt;="&amp;EOMONTH(DATE(2024,2,1),0))</f>
        <v>0</v>
      </c>
      <c r="I16" s="202">
        <v>2</v>
      </c>
      <c r="J16" s="208">
        <f>COUNTIFS(Table1[(जिस फायर स्टेशन क्षेत्रार्न्तागत अग्निकाण्ड हुआ हो)],Sheet2!E16,Table1[अग्निकाण्ड का दिनांक],"&gt;="&amp;DATE(2024,3,1), Table1[अग्निकाण्ड का दिनांक],"&lt;="&amp;EOMONTH(DATE(2024,3,1),0))</f>
        <v>0</v>
      </c>
      <c r="K16" s="202">
        <v>1</v>
      </c>
      <c r="L16" s="208">
        <f>COUNTIFS(Table1[(जिस फायर स्टेशन क्षेत्रार्न्तागत अग्निकाण्ड हुआ हो)],Sheet2!E16,Table1[अग्निकाण्ड का दिनांक],"&gt;="&amp;DATE(2024,4,1), Table1[अग्निकाण्ड का दिनांक],"&lt;="&amp;EOMONTH(DATE(2024,4,1),0))</f>
        <v>0</v>
      </c>
      <c r="M16" s="202">
        <v>6</v>
      </c>
      <c r="N16" s="208">
        <f>COUNTIFS(Table1[(जिस फायर स्टेशन क्षेत्रार्न्तागत अग्निकाण्ड हुआ हो)],Sheet2!E16,Table1[अग्निकाण्ड का दिनांक],"&gt;="&amp;DATE(2024,5,1), Table1[अग्निकाण्ड का दिनांक],"&lt;="&amp;EOMONTH(DATE(2024,5,1),0))</f>
        <v>0</v>
      </c>
      <c r="O16" s="202">
        <v>8</v>
      </c>
      <c r="P16" s="208">
        <f>COUNTIFS(Table1[(जिस फायर स्टेशन क्षेत्रार्न्तागत अग्निकाण्ड हुआ हो)],Sheet2!E16,Table1[अग्निकाण्ड का दिनांक],"&gt;="&amp;DATE(2024,6,1), Table1[अग्निकाण्ड का दिनांक],"&lt;="&amp;EOMONTH(DATE(2024,6,1),0))</f>
        <v>5</v>
      </c>
      <c r="Q16" s="202">
        <v>7</v>
      </c>
      <c r="R16" s="208">
        <f>COUNTIFS(Table1[(जिस फायर स्टेशन क्षेत्रार्न्तागत अग्निकाण्ड हुआ हो)],Sheet2!E16,Table1[अग्निकाण्ड का दिनांक],"&gt;="&amp;DATE(2024,7,1), Table1[अग्निकाण्ड का दिनांक],"&lt;="&amp;EOMONTH(DATE(2024,7,1),0))</f>
        <v>0</v>
      </c>
      <c r="S16" s="202">
        <v>1</v>
      </c>
      <c r="T16" s="208">
        <f>COUNTIFS(Table1[(जिस फायर स्टेशन क्षेत्रार्न्तागत अग्निकाण्ड हुआ हो)],Sheet2!E16,Table1[अग्निकाण्ड का दिनांक],"&gt;="&amp;DATE(2024,8,1), Table1[अग्निकाण्ड का दिनांक],"&lt;="&amp;EOMONTH(DATE(2024,8,1),0))</f>
        <v>0</v>
      </c>
      <c r="U16" s="202">
        <v>3</v>
      </c>
      <c r="V16" s="208">
        <f>COUNTIFS(Table1[(जिस फायर स्टेशन क्षेत्रार्न्तागत अग्निकाण्ड हुआ हो)],Sheet2!E16,Table1[अग्निकाण्ड का दिनांक],"&gt;="&amp;DATE(2024,9,1), Table1[अग्निकाण्ड का दिनांक],"&lt;="&amp;EOMONTH(DATE(2024,9,1),0))</f>
        <v>0</v>
      </c>
      <c r="W16" s="202">
        <v>0</v>
      </c>
      <c r="X16" s="208">
        <f>COUNTIFS(Table1[(जिस फायर स्टेशन क्षेत्रार्न्तागत अग्निकाण्ड हुआ हो)],Sheet2!E16,Table1[अग्निकाण्ड का दिनांक],"&gt;="&amp;DATE(2024,10,1), Table1[अग्निकाण्ड का दिनांक],"&lt;="&amp;EOMONTH(DATE(2024,10,1),0))</f>
        <v>0</v>
      </c>
      <c r="Y16" s="202">
        <v>3</v>
      </c>
      <c r="Z16" s="208">
        <f>COUNTIFS(Table1[(जिस फायर स्टेशन क्षेत्रार्न्तागत अग्निकाण्ड हुआ हो)],Sheet2!E16,Table1[अग्निकाण्ड का दिनांक],"&gt;="&amp;DATE(2024,11,1), Table1[अग्निकाण्ड का दिनांक],"&lt;="&amp;EOMONTH(DATE(2024,11,1),0))</f>
        <v>0</v>
      </c>
      <c r="AA16" s="202">
        <v>1</v>
      </c>
      <c r="AB16" s="208">
        <f>COUNTIFS(Table1[(जिस फायर स्टेशन क्षेत्रार्न्तागत अग्निकाण्ड हुआ हो)],Sheet2!E16,Table1[अग्निकाण्ड का दिनांक],"&gt;="&amp;DATE(2024,12,1), Table1[अग्निकाण्ड का दिनांक],"&lt;="&amp;EOMONTH(DATE(2024,12,1),0))</f>
        <v>0</v>
      </c>
      <c r="AC16" s="202">
        <v>2</v>
      </c>
      <c r="AD16" s="208">
        <f t="shared" si="0"/>
        <v>5</v>
      </c>
      <c r="AE16" s="199">
        <f t="shared" si="1"/>
        <v>34</v>
      </c>
    </row>
    <row r="17" spans="3:31" ht="20.100000000000001" customHeight="1" x14ac:dyDescent="0.25">
      <c r="C17" s="200">
        <v>13</v>
      </c>
      <c r="D17" s="201" t="s">
        <v>5703</v>
      </c>
      <c r="E17" s="201" t="s">
        <v>5612</v>
      </c>
      <c r="F17" s="208">
        <f>COUNTIFS(Table1[(जिस फायर स्टेशन क्षेत्रार्न्तागत अग्निकाण्ड हुआ हो)],Sheet2!E17,Table1[अग्निकाण्ड का दिनांक],"&gt;="&amp;DATE(2024,1,1), Table1[अग्निकाण्ड का दिनांक],"&lt;="&amp;EOMONTH(DATE(2024,1,1),0))</f>
        <v>0</v>
      </c>
      <c r="G17" s="202">
        <v>6</v>
      </c>
      <c r="H17" s="208">
        <f>COUNTIFS(Table1[(जिस फायर स्टेशन क्षेत्रार्न्तागत अग्निकाण्ड हुआ हो)],Sheet2!E17,Table1[अग्निकाण्ड का दिनांक],"&gt;="&amp;DATE(2024,2,1), Table1[अग्निकाण्ड का दिनांक],"&lt;="&amp;EOMONTH(DATE(2024,2,1),0))</f>
        <v>0</v>
      </c>
      <c r="I17" s="202">
        <v>1</v>
      </c>
      <c r="J17" s="208">
        <f>COUNTIFS(Table1[(जिस फायर स्टेशन क्षेत्रार्न्तागत अग्निकाण्ड हुआ हो)],Sheet2!E17,Table1[अग्निकाण्ड का दिनांक],"&gt;="&amp;DATE(2024,3,1), Table1[अग्निकाण्ड का दिनांक],"&lt;="&amp;EOMONTH(DATE(2024,3,1),0))</f>
        <v>0</v>
      </c>
      <c r="K17" s="202">
        <v>8</v>
      </c>
      <c r="L17" s="208">
        <f>COUNTIFS(Table1[(जिस फायर स्टेशन क्षेत्रार्न्तागत अग्निकाण्ड हुआ हो)],Sheet2!E17,Table1[अग्निकाण्ड का दिनांक],"&gt;="&amp;DATE(2024,4,1), Table1[अग्निकाण्ड का दिनांक],"&lt;="&amp;EOMONTH(DATE(2024,4,1),0))</f>
        <v>0</v>
      </c>
      <c r="M17" s="202">
        <v>13</v>
      </c>
      <c r="N17" s="208">
        <f>COUNTIFS(Table1[(जिस फायर स्टेशन क्षेत्रार्न्तागत अग्निकाण्ड हुआ हो)],Sheet2!E17,Table1[अग्निकाण्ड का दिनांक],"&gt;="&amp;DATE(2024,5,1), Table1[अग्निकाण्ड का दिनांक],"&lt;="&amp;EOMONTH(DATE(2024,5,1),0))</f>
        <v>0</v>
      </c>
      <c r="O17" s="202">
        <v>56</v>
      </c>
      <c r="P17" s="208">
        <f>COUNTIFS(Table1[(जिस फायर स्टेशन क्षेत्रार्न्तागत अग्निकाण्ड हुआ हो)],Sheet2!E17,Table1[अग्निकाण्ड का दिनांक],"&gt;="&amp;DATE(2024,6,1), Table1[अग्निकाण्ड का दिनांक],"&lt;="&amp;EOMONTH(DATE(2024,6,1),0))</f>
        <v>0</v>
      </c>
      <c r="Q17" s="202">
        <v>17</v>
      </c>
      <c r="R17" s="208">
        <f>COUNTIFS(Table1[(जिस फायर स्टेशन क्षेत्रार्न्तागत अग्निकाण्ड हुआ हो)],Sheet2!E17,Table1[अग्निकाण्ड का दिनांक],"&gt;="&amp;DATE(2024,7,1), Table1[अग्निकाण्ड का दिनांक],"&lt;="&amp;EOMONTH(DATE(2024,7,1),0))</f>
        <v>0</v>
      </c>
      <c r="S17" s="202">
        <v>2</v>
      </c>
      <c r="T17" s="208">
        <f>COUNTIFS(Table1[(जिस फायर स्टेशन क्षेत्रार्न्तागत अग्निकाण्ड हुआ हो)],Sheet2!E17,Table1[अग्निकाण्ड का दिनांक],"&gt;="&amp;DATE(2024,8,1), Table1[अग्निकाण्ड का दिनांक],"&lt;="&amp;EOMONTH(DATE(2024,8,1),0))</f>
        <v>0</v>
      </c>
      <c r="U17" s="202">
        <v>0</v>
      </c>
      <c r="V17" s="208">
        <f>COUNTIFS(Table1[(जिस फायर स्टेशन क्षेत्रार्न्तागत अग्निकाण्ड हुआ हो)],Sheet2!E17,Table1[अग्निकाण्ड का दिनांक],"&gt;="&amp;DATE(2024,9,1), Table1[अग्निकाण्ड का दिनांक],"&lt;="&amp;EOMONTH(DATE(2024,9,1),0))</f>
        <v>0</v>
      </c>
      <c r="W17" s="202">
        <v>1</v>
      </c>
      <c r="X17" s="208">
        <f>COUNTIFS(Table1[(जिस फायर स्टेशन क्षेत्रार्न्तागत अग्निकाण्ड हुआ हो)],Sheet2!E17,Table1[अग्निकाण्ड का दिनांक],"&gt;="&amp;DATE(2024,10,1), Table1[अग्निकाण्ड का दिनांक],"&lt;="&amp;EOMONTH(DATE(2024,10,1),0))</f>
        <v>0</v>
      </c>
      <c r="Y17" s="202">
        <v>0</v>
      </c>
      <c r="Z17" s="208">
        <f>COUNTIFS(Table1[(जिस फायर स्टेशन क्षेत्रार्न्तागत अग्निकाण्ड हुआ हो)],Sheet2!E17,Table1[अग्निकाण्ड का दिनांक],"&gt;="&amp;DATE(2024,11,1), Table1[अग्निकाण्ड का दिनांक],"&lt;="&amp;EOMONTH(DATE(2024,11,1),0))</f>
        <v>0</v>
      </c>
      <c r="AA17" s="202">
        <v>2</v>
      </c>
      <c r="AB17" s="208">
        <f>COUNTIFS(Table1[(जिस फायर स्टेशन क्षेत्रार्न्तागत अग्निकाण्ड हुआ हो)],Sheet2!E17,Table1[अग्निकाण्ड का दिनांक],"&gt;="&amp;DATE(2024,12,1), Table1[अग्निकाण्ड का दिनांक],"&lt;="&amp;EOMONTH(DATE(2024,12,1),0))</f>
        <v>0</v>
      </c>
      <c r="AC17" s="202">
        <v>4</v>
      </c>
      <c r="AD17" s="208">
        <f t="shared" si="0"/>
        <v>0</v>
      </c>
      <c r="AE17" s="199">
        <f t="shared" si="1"/>
        <v>110</v>
      </c>
    </row>
    <row r="18" spans="3:31" ht="20.100000000000001" customHeight="1" x14ac:dyDescent="0.25">
      <c r="C18" s="203">
        <v>14</v>
      </c>
      <c r="D18" s="204"/>
      <c r="E18" s="204" t="s">
        <v>5613</v>
      </c>
      <c r="F18" s="208">
        <f>COUNTIFS(Table1[(जिस फायर स्टेशन क्षेत्रार्न्तागत अग्निकाण्ड हुआ हो)],Sheet2!E18,Table1[अग्निकाण्ड का दिनांक],"&gt;="&amp;DATE(2024,1,1), Table1[अग्निकाण्ड का दिनांक],"&lt;="&amp;EOMONTH(DATE(2024,1,1),0))</f>
        <v>0</v>
      </c>
      <c r="G18" s="202">
        <v>2</v>
      </c>
      <c r="H18" s="208">
        <f>COUNTIFS(Table1[(जिस फायर स्टेशन क्षेत्रार्न्तागत अग्निकाण्ड हुआ हो)],Sheet2!E18,Table1[अग्निकाण्ड का दिनांक],"&gt;="&amp;DATE(2024,2,1), Table1[अग्निकाण्ड का दिनांक],"&lt;="&amp;EOMONTH(DATE(2024,2,1),0))</f>
        <v>0</v>
      </c>
      <c r="I18" s="202">
        <v>1</v>
      </c>
      <c r="J18" s="208">
        <f>COUNTIFS(Table1[(जिस फायर स्टेशन क्षेत्रार्न्तागत अग्निकाण्ड हुआ हो)],Sheet2!E18,Table1[अग्निकाण्ड का दिनांक],"&gt;="&amp;DATE(2024,3,1), Table1[अग्निकाण्ड का दिनांक],"&lt;="&amp;EOMONTH(DATE(2024,3,1),0))</f>
        <v>0</v>
      </c>
      <c r="K18" s="202">
        <v>1</v>
      </c>
      <c r="L18" s="208">
        <f>COUNTIFS(Table1[(जिस फायर स्टेशन क्षेत्रार्न्तागत अग्निकाण्ड हुआ हो)],Sheet2!E18,Table1[अग्निकाण्ड का दिनांक],"&gt;="&amp;DATE(2024,4,1), Table1[अग्निकाण्ड का दिनांक],"&lt;="&amp;EOMONTH(DATE(2024,4,1),0))</f>
        <v>0</v>
      </c>
      <c r="M18" s="202">
        <v>12</v>
      </c>
      <c r="N18" s="208">
        <f>COUNTIFS(Table1[(जिस फायर स्टेशन क्षेत्रार्न्तागत अग्निकाण्ड हुआ हो)],Sheet2!E18,Table1[अग्निकाण्ड का दिनांक],"&gt;="&amp;DATE(2024,5,1), Table1[अग्निकाण्ड का दिनांक],"&lt;="&amp;EOMONTH(DATE(2024,5,1),0))</f>
        <v>0</v>
      </c>
      <c r="O18" s="202">
        <v>13</v>
      </c>
      <c r="P18" s="208">
        <f>COUNTIFS(Table1[(जिस फायर स्टेशन क्षेत्रार्न्तागत अग्निकाण्ड हुआ हो)],Sheet2!E18,Table1[अग्निकाण्ड का दिनांक],"&gt;="&amp;DATE(2024,6,1), Table1[अग्निकाण्ड का दिनांक],"&lt;="&amp;EOMONTH(DATE(2024,6,1),0))</f>
        <v>0</v>
      </c>
      <c r="Q18" s="202">
        <v>7</v>
      </c>
      <c r="R18" s="208">
        <f>COUNTIFS(Table1[(जिस फायर स्टेशन क्षेत्रार्न्तागत अग्निकाण्ड हुआ हो)],Sheet2!E18,Table1[अग्निकाण्ड का दिनांक],"&gt;="&amp;DATE(2024,7,1), Table1[अग्निकाण्ड का दिनांक],"&lt;="&amp;EOMONTH(DATE(2024,7,1),0))</f>
        <v>0</v>
      </c>
      <c r="S18" s="202">
        <v>2</v>
      </c>
      <c r="T18" s="208">
        <f>COUNTIFS(Table1[(जिस फायर स्टेशन क्षेत्रार्न्तागत अग्निकाण्ड हुआ हो)],Sheet2!E18,Table1[अग्निकाण्ड का दिनांक],"&gt;="&amp;DATE(2024,8,1), Table1[अग्निकाण्ड का दिनांक],"&lt;="&amp;EOMONTH(DATE(2024,8,1),0))</f>
        <v>0</v>
      </c>
      <c r="U18" s="202">
        <v>0</v>
      </c>
      <c r="V18" s="208">
        <f>COUNTIFS(Table1[(जिस फायर स्टेशन क्षेत्रार्न्तागत अग्निकाण्ड हुआ हो)],Sheet2!E18,Table1[अग्निकाण्ड का दिनांक],"&gt;="&amp;DATE(2024,9,1), Table1[अग्निकाण्ड का दिनांक],"&lt;="&amp;EOMONTH(DATE(2024,9,1),0))</f>
        <v>0</v>
      </c>
      <c r="W18" s="202">
        <v>0</v>
      </c>
      <c r="X18" s="208">
        <f>COUNTIFS(Table1[(जिस फायर स्टेशन क्षेत्रार्न्तागत अग्निकाण्ड हुआ हो)],Sheet2!E18,Table1[अग्निकाण्ड का दिनांक],"&gt;="&amp;DATE(2024,10,1), Table1[अग्निकाण्ड का दिनांक],"&lt;="&amp;EOMONTH(DATE(2024,10,1),0))</f>
        <v>0</v>
      </c>
      <c r="Y18" s="202">
        <v>0</v>
      </c>
      <c r="Z18" s="208">
        <f>COUNTIFS(Table1[(जिस फायर स्टेशन क्षेत्रार्न्तागत अग्निकाण्ड हुआ हो)],Sheet2!E18,Table1[अग्निकाण्ड का दिनांक],"&gt;="&amp;DATE(2024,11,1), Table1[अग्निकाण्ड का दिनांक],"&lt;="&amp;EOMONTH(DATE(2024,11,1),0))</f>
        <v>0</v>
      </c>
      <c r="AA18" s="202">
        <v>0</v>
      </c>
      <c r="AB18" s="208">
        <f>COUNTIFS(Table1[(जिस फायर स्टेशन क्षेत्रार्न्तागत अग्निकाण्ड हुआ हो)],Sheet2!E18,Table1[अग्निकाण्ड का दिनांक],"&gt;="&amp;DATE(2024,12,1), Table1[अग्निकाण्ड का दिनांक],"&lt;="&amp;EOMONTH(DATE(2024,12,1),0))</f>
        <v>0</v>
      </c>
      <c r="AC18" s="202">
        <v>0</v>
      </c>
      <c r="AD18" s="208">
        <f t="shared" si="0"/>
        <v>0</v>
      </c>
      <c r="AE18" s="199">
        <f t="shared" si="1"/>
        <v>38</v>
      </c>
    </row>
    <row r="19" spans="3:31" ht="20.100000000000001" customHeight="1" x14ac:dyDescent="0.25">
      <c r="C19" s="200">
        <v>15</v>
      </c>
      <c r="D19" s="201"/>
      <c r="E19" s="201" t="s">
        <v>5729</v>
      </c>
      <c r="F19" s="208">
        <f>COUNTIFS(Table1[(जिस फायर स्टेशन क्षेत्रार्न्तागत अग्निकाण्ड हुआ हो)],Sheet2!E19,Table1[अग्निकाण्ड का दिनांक],"&gt;="&amp;DATE(2024,1,1), Table1[अग्निकाण्ड का दिनांक],"&lt;="&amp;EOMONTH(DATE(2024,1,1),0))</f>
        <v>0</v>
      </c>
      <c r="G19" s="202"/>
      <c r="H19" s="208">
        <f>COUNTIFS(Table1[(जिस फायर स्टेशन क्षेत्रार्न्तागत अग्निकाण्ड हुआ हो)],Sheet2!E19,Table1[अग्निकाण्ड का दिनांक],"&gt;="&amp;DATE(2024,2,1), Table1[अग्निकाण्ड का दिनांक],"&lt;="&amp;EOMONTH(DATE(2024,2,1),0))</f>
        <v>0</v>
      </c>
      <c r="I19" s="202"/>
      <c r="J19" s="208">
        <f>COUNTIFS(Table1[(जिस फायर स्टेशन क्षेत्रार्न्तागत अग्निकाण्ड हुआ हो)],Sheet2!E19,Table1[अग्निकाण्ड का दिनांक],"&gt;="&amp;DATE(2024,3,1), Table1[अग्निकाण्ड का दिनांक],"&lt;="&amp;EOMONTH(DATE(2024,3,1),0))</f>
        <v>0</v>
      </c>
      <c r="K19" s="202"/>
      <c r="L19" s="208">
        <f>COUNTIFS(Table1[(जिस फायर स्टेशन क्षेत्रार्न्तागत अग्निकाण्ड हुआ हो)],Sheet2!E19,Table1[अग्निकाण्ड का दिनांक],"&gt;="&amp;DATE(2024,4,1), Table1[अग्निकाण्ड का दिनांक],"&lt;="&amp;EOMONTH(DATE(2024,4,1),0))</f>
        <v>0</v>
      </c>
      <c r="M19" s="202"/>
      <c r="N19" s="208">
        <f>COUNTIFS(Table1[(जिस फायर स्टेशन क्षेत्रार्न्तागत अग्निकाण्ड हुआ हो)],Sheet2!E19,Table1[अग्निकाण्ड का दिनांक],"&gt;="&amp;DATE(2024,5,1), Table1[अग्निकाण्ड का दिनांक],"&lt;="&amp;EOMONTH(DATE(2024,5,1),0))</f>
        <v>0</v>
      </c>
      <c r="O19" s="202"/>
      <c r="P19" s="208">
        <f>COUNTIFS(Table1[(जिस फायर स्टेशन क्षेत्रार्न्तागत अग्निकाण्ड हुआ हो)],Sheet2!E19,Table1[अग्निकाण्ड का दिनांक],"&gt;="&amp;DATE(2024,6,1), Table1[अग्निकाण्ड का दिनांक],"&lt;="&amp;EOMONTH(DATE(2024,6,1),0))</f>
        <v>0</v>
      </c>
      <c r="Q19" s="202"/>
      <c r="R19" s="208">
        <f>COUNTIFS(Table1[(जिस फायर स्टेशन क्षेत्रार्न्तागत अग्निकाण्ड हुआ हो)],Sheet2!E19,Table1[अग्निकाण्ड का दिनांक],"&gt;="&amp;DATE(2024,7,1), Table1[अग्निकाण्ड का दिनांक],"&lt;="&amp;EOMONTH(DATE(2024,7,1),0))</f>
        <v>0</v>
      </c>
      <c r="S19" s="202"/>
      <c r="T19" s="208">
        <f>COUNTIFS(Table1[(जिस फायर स्टेशन क्षेत्रार्न्तागत अग्निकाण्ड हुआ हो)],Sheet2!E19,Table1[अग्निकाण्ड का दिनांक],"&gt;="&amp;DATE(2024,8,1), Table1[अग्निकाण्ड का दिनांक],"&lt;="&amp;EOMONTH(DATE(2024,8,1),0))</f>
        <v>0</v>
      </c>
      <c r="U19" s="202"/>
      <c r="V19" s="208">
        <f>COUNTIFS(Table1[(जिस फायर स्टेशन क्षेत्रार्न्तागत अग्निकाण्ड हुआ हो)],Sheet2!E19,Table1[अग्निकाण्ड का दिनांक],"&gt;="&amp;DATE(2024,9,1), Table1[अग्निकाण्ड का दिनांक],"&lt;="&amp;EOMONTH(DATE(2024,9,1),0))</f>
        <v>0</v>
      </c>
      <c r="W19" s="202"/>
      <c r="X19" s="208">
        <f>COUNTIFS(Table1[(जिस फायर स्टेशन क्षेत्रार्न्तागत अग्निकाण्ड हुआ हो)],Sheet2!E19,Table1[अग्निकाण्ड का दिनांक],"&gt;="&amp;DATE(2024,10,1), Table1[अग्निकाण्ड का दिनांक],"&lt;="&amp;EOMONTH(DATE(2024,10,1),0))</f>
        <v>0</v>
      </c>
      <c r="Y19" s="202"/>
      <c r="Z19" s="208">
        <f>COUNTIFS(Table1[(जिस फायर स्टेशन क्षेत्रार्न्तागत अग्निकाण्ड हुआ हो)],Sheet2!E19,Table1[अग्निकाण्ड का दिनांक],"&gt;="&amp;DATE(2024,11,1), Table1[अग्निकाण्ड का दिनांक],"&lt;="&amp;EOMONTH(DATE(2024,11,1),0))</f>
        <v>0</v>
      </c>
      <c r="AA19" s="202"/>
      <c r="AB19" s="208">
        <f>COUNTIFS(Table1[(जिस फायर स्टेशन क्षेत्रार्न्तागत अग्निकाण्ड हुआ हो)],Sheet2!E19,Table1[अग्निकाण्ड का दिनांक],"&gt;="&amp;DATE(2024,12,1), Table1[अग्निकाण्ड का दिनांक],"&lt;="&amp;EOMONTH(DATE(2024,12,1),0))</f>
        <v>0</v>
      </c>
      <c r="AC19" s="202"/>
      <c r="AD19" s="208">
        <f t="shared" si="0"/>
        <v>0</v>
      </c>
      <c r="AE19" s="199">
        <f t="shared" si="1"/>
        <v>0</v>
      </c>
    </row>
    <row r="20" spans="3:31" ht="20.100000000000001" customHeight="1" x14ac:dyDescent="0.25">
      <c r="C20" s="203">
        <v>16</v>
      </c>
      <c r="D20" s="204" t="s">
        <v>5704</v>
      </c>
      <c r="E20" s="204" t="s">
        <v>4832</v>
      </c>
      <c r="F20" s="208">
        <f>COUNTIFS(Table1[(जिस फायर स्टेशन क्षेत्रार्न्तागत अग्निकाण्ड हुआ हो)],Sheet2!E20,Table1[अग्निकाण्ड का दिनांक],"&gt;="&amp;DATE(2024,1,1), Table1[अग्निकाण्ड का दिनांक],"&lt;="&amp;EOMONTH(DATE(2024,1,1),0))</f>
        <v>0</v>
      </c>
      <c r="G20" s="202">
        <v>1</v>
      </c>
      <c r="H20" s="208">
        <f>COUNTIFS(Table1[(जिस फायर स्टेशन क्षेत्रार्न्तागत अग्निकाण्ड हुआ हो)],Sheet2!E20,Table1[अग्निकाण्ड का दिनांक],"&gt;="&amp;DATE(2024,2,1), Table1[अग्निकाण्ड का दिनांक],"&lt;="&amp;EOMONTH(DATE(2024,2,1),0))</f>
        <v>0</v>
      </c>
      <c r="I20" s="202">
        <v>2</v>
      </c>
      <c r="J20" s="208">
        <f>COUNTIFS(Table1[(जिस फायर स्टेशन क्षेत्रार्न्तागत अग्निकाण्ड हुआ हो)],Sheet2!E20,Table1[अग्निकाण्ड का दिनांक],"&gt;="&amp;DATE(2024,3,1), Table1[अग्निकाण्ड का दिनांक],"&lt;="&amp;EOMONTH(DATE(2024,3,1),0))</f>
        <v>0</v>
      </c>
      <c r="K20" s="202">
        <v>3</v>
      </c>
      <c r="L20" s="208">
        <f>COUNTIFS(Table1[(जिस फायर स्टेशन क्षेत्रार्न्तागत अग्निकाण्ड हुआ हो)],Sheet2!E20,Table1[अग्निकाण्ड का दिनांक],"&gt;="&amp;DATE(2024,4,1), Table1[अग्निकाण्ड का दिनांक],"&lt;="&amp;EOMONTH(DATE(2024,4,1),0))</f>
        <v>0</v>
      </c>
      <c r="M20" s="202">
        <v>6</v>
      </c>
      <c r="N20" s="208">
        <f>COUNTIFS(Table1[(जिस फायर स्टेशन क्षेत्रार्न्तागत अग्निकाण्ड हुआ हो)],Sheet2!E20,Table1[अग्निकाण्ड का दिनांक],"&gt;="&amp;DATE(2024,5,1), Table1[अग्निकाण्ड का दिनांक],"&lt;="&amp;EOMONTH(DATE(2024,5,1),0))</f>
        <v>0</v>
      </c>
      <c r="O20" s="202">
        <v>25</v>
      </c>
      <c r="P20" s="208">
        <f>COUNTIFS(Table1[(जिस फायर स्टेशन क्षेत्रार्न्तागत अग्निकाण्ड हुआ हो)],Sheet2!E20,Table1[अग्निकाण्ड का दिनांक],"&gt;="&amp;DATE(2024,6,1), Table1[अग्निकाण्ड का दिनांक],"&lt;="&amp;EOMONTH(DATE(2024,6,1),0))</f>
        <v>14</v>
      </c>
      <c r="Q20" s="202">
        <v>14</v>
      </c>
      <c r="R20" s="208">
        <f>COUNTIFS(Table1[(जिस फायर स्टेशन क्षेत्रार्न्तागत अग्निकाण्ड हुआ हो)],Sheet2!E20,Table1[अग्निकाण्ड का दिनांक],"&gt;="&amp;DATE(2024,7,1), Table1[अग्निकाण्ड का दिनांक],"&lt;="&amp;EOMONTH(DATE(2024,7,1),0))</f>
        <v>0</v>
      </c>
      <c r="S20" s="202">
        <v>0</v>
      </c>
      <c r="T20" s="208">
        <f>COUNTIFS(Table1[(जिस फायर स्टेशन क्षेत्रार्न्तागत अग्निकाण्ड हुआ हो)],Sheet2!E20,Table1[अग्निकाण्ड का दिनांक],"&gt;="&amp;DATE(2024,8,1), Table1[अग्निकाण्ड का दिनांक],"&lt;="&amp;EOMONTH(DATE(2024,8,1),0))</f>
        <v>0</v>
      </c>
      <c r="U20" s="202">
        <v>0</v>
      </c>
      <c r="V20" s="208">
        <f>COUNTIFS(Table1[(जिस फायर स्टेशन क्षेत्रार्न्तागत अग्निकाण्ड हुआ हो)],Sheet2!E20,Table1[अग्निकाण्ड का दिनांक],"&gt;="&amp;DATE(2024,9,1), Table1[अग्निकाण्ड का दिनांक],"&lt;="&amp;EOMONTH(DATE(2024,9,1),0))</f>
        <v>0</v>
      </c>
      <c r="W20" s="202">
        <v>1</v>
      </c>
      <c r="X20" s="208">
        <f>COUNTIFS(Table1[(जिस फायर स्टेशन क्षेत्रार्न्तागत अग्निकाण्ड हुआ हो)],Sheet2!E20,Table1[अग्निकाण्ड का दिनांक],"&gt;="&amp;DATE(2024,10,1), Table1[अग्निकाण्ड का दिनांक],"&lt;="&amp;EOMONTH(DATE(2024,10,1),0))</f>
        <v>0</v>
      </c>
      <c r="Y20" s="202">
        <v>2</v>
      </c>
      <c r="Z20" s="208">
        <f>COUNTIFS(Table1[(जिस फायर स्टेशन क्षेत्रार्न्तागत अग्निकाण्ड हुआ हो)],Sheet2!E20,Table1[अग्निकाण्ड का दिनांक],"&gt;="&amp;DATE(2024,11,1), Table1[अग्निकाण्ड का दिनांक],"&lt;="&amp;EOMONTH(DATE(2024,11,1),0))</f>
        <v>0</v>
      </c>
      <c r="AA20" s="202">
        <v>0</v>
      </c>
      <c r="AB20" s="208">
        <f>COUNTIFS(Table1[(जिस फायर स्टेशन क्षेत्रार्न्तागत अग्निकाण्ड हुआ हो)],Sheet2!E20,Table1[अग्निकाण्ड का दिनांक],"&gt;="&amp;DATE(2024,12,1), Table1[अग्निकाण्ड का दिनांक],"&lt;="&amp;EOMONTH(DATE(2024,12,1),0))</f>
        <v>0</v>
      </c>
      <c r="AC20" s="202">
        <v>6</v>
      </c>
      <c r="AD20" s="208">
        <f t="shared" si="0"/>
        <v>14</v>
      </c>
      <c r="AE20" s="199">
        <f t="shared" si="1"/>
        <v>60</v>
      </c>
    </row>
    <row r="21" spans="3:31" ht="20.100000000000001" customHeight="1" x14ac:dyDescent="0.25">
      <c r="C21" s="200">
        <v>17</v>
      </c>
      <c r="D21" s="201"/>
      <c r="E21" s="201" t="s">
        <v>5727</v>
      </c>
      <c r="F21" s="208">
        <f>COUNTIFS(Table1[(जिस फायर स्टेशन क्षेत्रार्न्तागत अग्निकाण्ड हुआ हो)],Sheet2!E21,Table1[अग्निकाण्ड का दिनांक],"&gt;="&amp;DATE(2024,1,1), Table1[अग्निकाण्ड का दिनांक],"&lt;="&amp;EOMONTH(DATE(2024,1,1),0))</f>
        <v>0</v>
      </c>
      <c r="G21" s="202">
        <v>2</v>
      </c>
      <c r="H21" s="208">
        <f>COUNTIFS(Table1[(जिस फायर स्टेशन क्षेत्रार्न्तागत अग्निकाण्ड हुआ हो)],Sheet2!E21,Table1[अग्निकाण्ड का दिनांक],"&gt;="&amp;DATE(2024,2,1), Table1[अग्निकाण्ड का दिनांक],"&lt;="&amp;EOMONTH(DATE(2024,2,1),0))</f>
        <v>0</v>
      </c>
      <c r="I21" s="202">
        <v>3</v>
      </c>
      <c r="J21" s="208">
        <f>COUNTIFS(Table1[(जिस फायर स्टेशन क्षेत्रार्न्तागत अग्निकाण्ड हुआ हो)],Sheet2!E21,Table1[अग्निकाण्ड का दिनांक],"&gt;="&amp;DATE(2024,3,1), Table1[अग्निकाण्ड का दिनांक],"&lt;="&amp;EOMONTH(DATE(2024,3,1),0))</f>
        <v>0</v>
      </c>
      <c r="K21" s="202">
        <v>1</v>
      </c>
      <c r="L21" s="208">
        <f>COUNTIFS(Table1[(जिस फायर स्टेशन क्षेत्रार्न्तागत अग्निकाण्ड हुआ हो)],Sheet2!E21,Table1[अग्निकाण्ड का दिनांक],"&gt;="&amp;DATE(2024,4,1), Table1[अग्निकाण्ड का दिनांक],"&lt;="&amp;EOMONTH(DATE(2024,4,1),0))</f>
        <v>0</v>
      </c>
      <c r="M21" s="202">
        <v>5</v>
      </c>
      <c r="N21" s="208">
        <f>COUNTIFS(Table1[(जिस फायर स्टेशन क्षेत्रार्न्तागत अग्निकाण्ड हुआ हो)],Sheet2!E21,Table1[अग्निकाण्ड का दिनांक],"&gt;="&amp;DATE(2024,5,1), Table1[अग्निकाण्ड का दिनांक],"&lt;="&amp;EOMONTH(DATE(2024,5,1),0))</f>
        <v>0</v>
      </c>
      <c r="O21" s="202">
        <v>14</v>
      </c>
      <c r="P21" s="208">
        <f>COUNTIFS(Table1[(जिस फायर स्टेशन क्षेत्रार्न्तागत अग्निकाण्ड हुआ हो)],Sheet2!E21,Table1[अग्निकाण्ड का दिनांक],"&gt;="&amp;DATE(2024,6,1), Table1[अग्निकाण्ड का दिनांक],"&lt;="&amp;EOMONTH(DATE(2024,6,1),0))</f>
        <v>0</v>
      </c>
      <c r="Q21" s="202">
        <v>22</v>
      </c>
      <c r="R21" s="208">
        <f>COUNTIFS(Table1[(जिस फायर स्टेशन क्षेत्रार्न्तागत अग्निकाण्ड हुआ हो)],Sheet2!E21,Table1[अग्निकाण्ड का दिनांक],"&gt;="&amp;DATE(2024,7,1), Table1[अग्निकाण्ड का दिनांक],"&lt;="&amp;EOMONTH(DATE(2024,7,1),0))</f>
        <v>0</v>
      </c>
      <c r="S21" s="202">
        <v>0</v>
      </c>
      <c r="T21" s="208">
        <f>COUNTIFS(Table1[(जिस फायर स्टेशन क्षेत्रार्न्तागत अग्निकाण्ड हुआ हो)],Sheet2!E21,Table1[अग्निकाण्ड का दिनांक],"&gt;="&amp;DATE(2024,8,1), Table1[अग्निकाण्ड का दिनांक],"&lt;="&amp;EOMONTH(DATE(2024,8,1),0))</f>
        <v>0</v>
      </c>
      <c r="U21" s="202">
        <v>1</v>
      </c>
      <c r="V21" s="208">
        <f>COUNTIFS(Table1[(जिस फायर स्टेशन क्षेत्रार्न्तागत अग्निकाण्ड हुआ हो)],Sheet2!E21,Table1[अग्निकाण्ड का दिनांक],"&gt;="&amp;DATE(2024,9,1), Table1[अग्निकाण्ड का दिनांक],"&lt;="&amp;EOMONTH(DATE(2024,9,1),0))</f>
        <v>0</v>
      </c>
      <c r="W21" s="202">
        <v>1</v>
      </c>
      <c r="X21" s="208">
        <f>COUNTIFS(Table1[(जिस फायर स्टेशन क्षेत्रार्न्तागत अग्निकाण्ड हुआ हो)],Sheet2!E21,Table1[अग्निकाण्ड का दिनांक],"&gt;="&amp;DATE(2024,10,1), Table1[अग्निकाण्ड का दिनांक],"&lt;="&amp;EOMONTH(DATE(2024,10,1),0))</f>
        <v>0</v>
      </c>
      <c r="Y21" s="202">
        <v>2</v>
      </c>
      <c r="Z21" s="208">
        <f>COUNTIFS(Table1[(जिस फायर स्टेशन क्षेत्रार्न्तागत अग्निकाण्ड हुआ हो)],Sheet2!E21,Table1[अग्निकाण्ड का दिनांक],"&gt;="&amp;DATE(2024,11,1), Table1[अग्निकाण्ड का दिनांक],"&lt;="&amp;EOMONTH(DATE(2024,11,1),0))</f>
        <v>0</v>
      </c>
      <c r="AA21" s="202">
        <v>1</v>
      </c>
      <c r="AB21" s="208">
        <f>COUNTIFS(Table1[(जिस फायर स्टेशन क्षेत्रार्न्तागत अग्निकाण्ड हुआ हो)],Sheet2!E21,Table1[अग्निकाण्ड का दिनांक],"&gt;="&amp;DATE(2024,12,1), Table1[अग्निकाण्ड का दिनांक],"&lt;="&amp;EOMONTH(DATE(2024,12,1),0))</f>
        <v>0</v>
      </c>
      <c r="AC21" s="202">
        <v>1</v>
      </c>
      <c r="AD21" s="208">
        <f t="shared" si="0"/>
        <v>0</v>
      </c>
      <c r="AE21" s="199">
        <f t="shared" si="1"/>
        <v>53</v>
      </c>
    </row>
    <row r="22" spans="3:31" ht="20.100000000000001" customHeight="1" x14ac:dyDescent="0.25">
      <c r="C22" s="203">
        <v>18</v>
      </c>
      <c r="D22" s="204"/>
      <c r="E22" s="204" t="s">
        <v>5728</v>
      </c>
      <c r="F22" s="208">
        <f>COUNTIFS(Table1[(जिस फायर स्टेशन क्षेत्रार्न्तागत अग्निकाण्ड हुआ हो)],Sheet2!E22,Table1[अग्निकाण्ड का दिनांक],"&gt;="&amp;DATE(2024,1,1), Table1[अग्निकाण्ड का दिनांक],"&lt;="&amp;EOMONTH(DATE(2024,1,1),0))</f>
        <v>0</v>
      </c>
      <c r="G22" s="202"/>
      <c r="H22" s="208">
        <f>COUNTIFS(Table1[(जिस फायर स्टेशन क्षेत्रार्न्तागत अग्निकाण्ड हुआ हो)],Sheet2!E22,Table1[अग्निकाण्ड का दिनांक],"&gt;="&amp;DATE(2024,2,1), Table1[अग्निकाण्ड का दिनांक],"&lt;="&amp;EOMONTH(DATE(2024,2,1),0))</f>
        <v>0</v>
      </c>
      <c r="I22" s="202"/>
      <c r="J22" s="208">
        <f>COUNTIFS(Table1[(जिस फायर स्टेशन क्षेत्रार्न्तागत अग्निकाण्ड हुआ हो)],Sheet2!E22,Table1[अग्निकाण्ड का दिनांक],"&gt;="&amp;DATE(2024,3,1), Table1[अग्निकाण्ड का दिनांक],"&lt;="&amp;EOMONTH(DATE(2024,3,1),0))</f>
        <v>0</v>
      </c>
      <c r="K22" s="202"/>
      <c r="L22" s="208">
        <f>COUNTIFS(Table1[(जिस फायर स्टेशन क्षेत्रार्न्तागत अग्निकाण्ड हुआ हो)],Sheet2!E22,Table1[अग्निकाण्ड का दिनांक],"&gt;="&amp;DATE(2024,4,1), Table1[अग्निकाण्ड का दिनांक],"&lt;="&amp;EOMONTH(DATE(2024,4,1),0))</f>
        <v>0</v>
      </c>
      <c r="M22" s="202"/>
      <c r="N22" s="208">
        <f>COUNTIFS(Table1[(जिस फायर स्टेशन क्षेत्रार्न्तागत अग्निकाण्ड हुआ हो)],Sheet2!E22,Table1[अग्निकाण्ड का दिनांक],"&gt;="&amp;DATE(2024,5,1), Table1[अग्निकाण्ड का दिनांक],"&lt;="&amp;EOMONTH(DATE(2024,5,1),0))</f>
        <v>0</v>
      </c>
      <c r="O22" s="202"/>
      <c r="P22" s="208">
        <f>COUNTIFS(Table1[(जिस फायर स्टेशन क्षेत्रार्न्तागत अग्निकाण्ड हुआ हो)],Sheet2!E22,Table1[अग्निकाण्ड का दिनांक],"&gt;="&amp;DATE(2024,6,1), Table1[अग्निकाण्ड का दिनांक],"&lt;="&amp;EOMONTH(DATE(2024,6,1),0))</f>
        <v>0</v>
      </c>
      <c r="Q22" s="202"/>
      <c r="R22" s="208">
        <f>COUNTIFS(Table1[(जिस फायर स्टेशन क्षेत्रार्न्तागत अग्निकाण्ड हुआ हो)],Sheet2!E22,Table1[अग्निकाण्ड का दिनांक],"&gt;="&amp;DATE(2024,7,1), Table1[अग्निकाण्ड का दिनांक],"&lt;="&amp;EOMONTH(DATE(2024,7,1),0))</f>
        <v>0</v>
      </c>
      <c r="S22" s="202"/>
      <c r="T22" s="208">
        <f>COUNTIFS(Table1[(जिस फायर स्टेशन क्षेत्रार्न्तागत अग्निकाण्ड हुआ हो)],Sheet2!E22,Table1[अग्निकाण्ड का दिनांक],"&gt;="&amp;DATE(2024,8,1), Table1[अग्निकाण्ड का दिनांक],"&lt;="&amp;EOMONTH(DATE(2024,8,1),0))</f>
        <v>0</v>
      </c>
      <c r="U22" s="202"/>
      <c r="V22" s="208">
        <f>COUNTIFS(Table1[(जिस फायर स्टेशन क्षेत्रार्न्तागत अग्निकाण्ड हुआ हो)],Sheet2!E22,Table1[अग्निकाण्ड का दिनांक],"&gt;="&amp;DATE(2024,9,1), Table1[अग्निकाण्ड का दिनांक],"&lt;="&amp;EOMONTH(DATE(2024,9,1),0))</f>
        <v>0</v>
      </c>
      <c r="W22" s="202"/>
      <c r="X22" s="208">
        <f>COUNTIFS(Table1[(जिस फायर स्टेशन क्षेत्रार्न्तागत अग्निकाण्ड हुआ हो)],Sheet2!E22,Table1[अग्निकाण्ड का दिनांक],"&gt;="&amp;DATE(2024,10,1), Table1[अग्निकाण्ड का दिनांक],"&lt;="&amp;EOMONTH(DATE(2024,10,1),0))</f>
        <v>0</v>
      </c>
      <c r="Y22" s="202"/>
      <c r="Z22" s="208">
        <f>COUNTIFS(Table1[(जिस फायर स्टेशन क्षेत्रार्न्तागत अग्निकाण्ड हुआ हो)],Sheet2!E22,Table1[अग्निकाण्ड का दिनांक],"&gt;="&amp;DATE(2024,11,1), Table1[अग्निकाण्ड का दिनांक],"&lt;="&amp;EOMONTH(DATE(2024,11,1),0))</f>
        <v>0</v>
      </c>
      <c r="AA22" s="202"/>
      <c r="AB22" s="208">
        <f>COUNTIFS(Table1[(जिस फायर स्टेशन क्षेत्रार्न्तागत अग्निकाण्ड हुआ हो)],Sheet2!E22,Table1[अग्निकाण्ड का दिनांक],"&gt;="&amp;DATE(2024,12,1), Table1[अग्निकाण्ड का दिनांक],"&lt;="&amp;EOMONTH(DATE(2024,12,1),0))</f>
        <v>0</v>
      </c>
      <c r="AC22" s="202"/>
      <c r="AD22" s="208">
        <f t="shared" si="0"/>
        <v>0</v>
      </c>
      <c r="AE22" s="199">
        <f t="shared" si="1"/>
        <v>0</v>
      </c>
    </row>
    <row r="23" spans="3:31" ht="20.100000000000001" customHeight="1" x14ac:dyDescent="0.25">
      <c r="C23" s="200">
        <v>19</v>
      </c>
      <c r="D23" s="201" t="s">
        <v>5705</v>
      </c>
      <c r="E23" s="201" t="s">
        <v>4828</v>
      </c>
      <c r="F23" s="208">
        <f>COUNTIFS(Table1[(जिस फायर स्टेशन क्षेत्रार्न्तागत अग्निकाण्ड हुआ हो)],Sheet2!E23,Table1[अग्निकाण्ड का दिनांक],"&gt;="&amp;DATE(2024,1,1), Table1[अग्निकाण्ड का दिनांक],"&lt;="&amp;EOMONTH(DATE(2024,1,1),0))</f>
        <v>0</v>
      </c>
      <c r="G23" s="202">
        <v>3</v>
      </c>
      <c r="H23" s="208">
        <f>COUNTIFS(Table1[(जिस फायर स्टेशन क्षेत्रार्न्तागत अग्निकाण्ड हुआ हो)],Sheet2!E23,Table1[अग्निकाण्ड का दिनांक],"&gt;="&amp;DATE(2024,2,1), Table1[अग्निकाण्ड का दिनांक],"&lt;="&amp;EOMONTH(DATE(2024,2,1),0))</f>
        <v>0</v>
      </c>
      <c r="I23" s="202">
        <v>0</v>
      </c>
      <c r="J23" s="208">
        <f>COUNTIFS(Table1[(जिस फायर स्टेशन क्षेत्रार्न्तागत अग्निकाण्ड हुआ हो)],Sheet2!E23,Table1[अग्निकाण्ड का दिनांक],"&gt;="&amp;DATE(2024,3,1), Table1[अग्निकाण्ड का दिनांक],"&lt;="&amp;EOMONTH(DATE(2024,3,1),0))</f>
        <v>0</v>
      </c>
      <c r="K23" s="202">
        <v>2</v>
      </c>
      <c r="L23" s="208">
        <f>COUNTIFS(Table1[(जिस फायर स्टेशन क्षेत्रार्न्तागत अग्निकाण्ड हुआ हो)],Sheet2!E23,Table1[अग्निकाण्ड का दिनांक],"&gt;="&amp;DATE(2024,4,1), Table1[अग्निकाण्ड का दिनांक],"&lt;="&amp;EOMONTH(DATE(2024,4,1),0))</f>
        <v>0</v>
      </c>
      <c r="M23" s="202">
        <v>35</v>
      </c>
      <c r="N23" s="208">
        <f>COUNTIFS(Table1[(जिस फायर स्टेशन क्षेत्रार्न्तागत अग्निकाण्ड हुआ हो)],Sheet2!E23,Table1[अग्निकाण्ड का दिनांक],"&gt;="&amp;DATE(2024,5,1), Table1[अग्निकाण्ड का दिनांक],"&lt;="&amp;EOMONTH(DATE(2024,5,1),0))</f>
        <v>0</v>
      </c>
      <c r="O23" s="202">
        <v>69</v>
      </c>
      <c r="P23" s="208">
        <f>COUNTIFS(Table1[(जिस फायर स्टेशन क्षेत्रार्न्तागत अग्निकाण्ड हुआ हो)],Sheet2!E23,Table1[अग्निकाण्ड का दिनांक],"&gt;="&amp;DATE(2024,6,1), Table1[अग्निकाण्ड का दिनांक],"&lt;="&amp;EOMONTH(DATE(2024,6,1),0))</f>
        <v>56</v>
      </c>
      <c r="Q23" s="202">
        <v>48</v>
      </c>
      <c r="R23" s="208">
        <f>COUNTIFS(Table1[(जिस फायर स्टेशन क्षेत्रार्न्तागत अग्निकाण्ड हुआ हो)],Sheet2!E23,Table1[अग्निकाण्ड का दिनांक],"&gt;="&amp;DATE(2024,7,1), Table1[अग्निकाण्ड का दिनांक],"&lt;="&amp;EOMONTH(DATE(2024,7,1),0))</f>
        <v>0</v>
      </c>
      <c r="S23" s="202">
        <v>1</v>
      </c>
      <c r="T23" s="208">
        <f>COUNTIFS(Table1[(जिस फायर स्टेशन क्षेत्रार्न्तागत अग्निकाण्ड हुआ हो)],Sheet2!E23,Table1[अग्निकाण्ड का दिनांक],"&gt;="&amp;DATE(2024,8,1), Table1[अग्निकाण्ड का दिनांक],"&lt;="&amp;EOMONTH(DATE(2024,8,1),0))</f>
        <v>0</v>
      </c>
      <c r="U23" s="202">
        <v>0</v>
      </c>
      <c r="V23" s="208">
        <f>COUNTIFS(Table1[(जिस फायर स्टेशन क्षेत्रार्न्तागत अग्निकाण्ड हुआ हो)],Sheet2!E23,Table1[अग्निकाण्ड का दिनांक],"&gt;="&amp;DATE(2024,9,1), Table1[अग्निकाण्ड का दिनांक],"&lt;="&amp;EOMONTH(DATE(2024,9,1),0))</f>
        <v>0</v>
      </c>
      <c r="W23" s="202">
        <v>0</v>
      </c>
      <c r="X23" s="208">
        <f>COUNTIFS(Table1[(जिस फायर स्टेशन क्षेत्रार्न्तागत अग्निकाण्ड हुआ हो)],Sheet2!E23,Table1[अग्निकाण्ड का दिनांक],"&gt;="&amp;DATE(2024,10,1), Table1[अग्निकाण्ड का दिनांक],"&lt;="&amp;EOMONTH(DATE(2024,10,1),0))</f>
        <v>0</v>
      </c>
      <c r="Y23" s="202">
        <v>2</v>
      </c>
      <c r="Z23" s="208">
        <f>COUNTIFS(Table1[(जिस फायर स्टेशन क्षेत्रार्न्तागत अग्निकाण्ड हुआ हो)],Sheet2!E23,Table1[अग्निकाण्ड का दिनांक],"&gt;="&amp;DATE(2024,11,1), Table1[अग्निकाण्ड का दिनांक],"&lt;="&amp;EOMONTH(DATE(2024,11,1),0))</f>
        <v>0</v>
      </c>
      <c r="AA23" s="202">
        <v>0</v>
      </c>
      <c r="AB23" s="208">
        <f>COUNTIFS(Table1[(जिस फायर स्टेशन क्षेत्रार्न्तागत अग्निकाण्ड हुआ हो)],Sheet2!E23,Table1[अग्निकाण्ड का दिनांक],"&gt;="&amp;DATE(2024,12,1), Table1[अग्निकाण्ड का दिनांक],"&lt;="&amp;EOMONTH(DATE(2024,12,1),0))</f>
        <v>0</v>
      </c>
      <c r="AC23" s="202">
        <v>1</v>
      </c>
      <c r="AD23" s="208">
        <f t="shared" si="0"/>
        <v>56</v>
      </c>
      <c r="AE23" s="199">
        <f t="shared" si="1"/>
        <v>161</v>
      </c>
    </row>
    <row r="24" spans="3:31" ht="20.100000000000001" customHeight="1" x14ac:dyDescent="0.25">
      <c r="C24" s="203">
        <v>20</v>
      </c>
      <c r="D24" s="204"/>
      <c r="E24" s="204" t="s">
        <v>5474</v>
      </c>
      <c r="F24" s="208">
        <f>COUNTIFS(Table1[(जिस फायर स्टेशन क्षेत्रार्न्तागत अग्निकाण्ड हुआ हो)],Sheet2!E24,Table1[अग्निकाण्ड का दिनांक],"&gt;="&amp;DATE(2024,1,1), Table1[अग्निकाण्ड का दिनांक],"&lt;="&amp;EOMONTH(DATE(2024,1,1),0))</f>
        <v>0</v>
      </c>
      <c r="G24" s="202">
        <v>1</v>
      </c>
      <c r="H24" s="208">
        <f>COUNTIFS(Table1[(जिस फायर स्टेशन क्षेत्रार्न्तागत अग्निकाण्ड हुआ हो)],Sheet2!E24,Table1[अग्निकाण्ड का दिनांक],"&gt;="&amp;DATE(2024,2,1), Table1[अग्निकाण्ड का दिनांक],"&lt;="&amp;EOMONTH(DATE(2024,2,1),0))</f>
        <v>0</v>
      </c>
      <c r="I24" s="202">
        <v>1</v>
      </c>
      <c r="J24" s="208">
        <f>COUNTIFS(Table1[(जिस फायर स्टेशन क्षेत्रार्न्तागत अग्निकाण्ड हुआ हो)],Sheet2!E24,Table1[अग्निकाण्ड का दिनांक],"&gt;="&amp;DATE(2024,3,1), Table1[अग्निकाण्ड का दिनांक],"&lt;="&amp;EOMONTH(DATE(2024,3,1),0))</f>
        <v>0</v>
      </c>
      <c r="K24" s="202">
        <v>4</v>
      </c>
      <c r="L24" s="208">
        <f>COUNTIFS(Table1[(जिस फायर स्टेशन क्षेत्रार्न्तागत अग्निकाण्ड हुआ हो)],Sheet2!E24,Table1[अग्निकाण्ड का दिनांक],"&gt;="&amp;DATE(2024,4,1), Table1[अग्निकाण्ड का दिनांक],"&lt;="&amp;EOMONTH(DATE(2024,4,1),0))</f>
        <v>0</v>
      </c>
      <c r="M24" s="202">
        <v>14</v>
      </c>
      <c r="N24" s="208">
        <f>COUNTIFS(Table1[(जिस फायर स्टेशन क्षेत्रार्न्तागत अग्निकाण्ड हुआ हो)],Sheet2!E24,Table1[अग्निकाण्ड का दिनांक],"&gt;="&amp;DATE(2024,5,1), Table1[अग्निकाण्ड का दिनांक],"&lt;="&amp;EOMONTH(DATE(2024,5,1),0))</f>
        <v>0</v>
      </c>
      <c r="O24" s="202">
        <v>25</v>
      </c>
      <c r="P24" s="208">
        <f>COUNTIFS(Table1[(जिस फायर स्टेशन क्षेत्रार्न्तागत अग्निकाण्ड हुआ हो)],Sheet2!E24,Table1[अग्निकाण्ड का दिनांक],"&gt;="&amp;DATE(2024,6,1), Table1[अग्निकाण्ड का दिनांक],"&lt;="&amp;EOMONTH(DATE(2024,6,1),0))</f>
        <v>10</v>
      </c>
      <c r="Q24" s="202">
        <v>17</v>
      </c>
      <c r="R24" s="208">
        <f>COUNTIFS(Table1[(जिस फायर स्टेशन क्षेत्रार्न्तागत अग्निकाण्ड हुआ हो)],Sheet2!E24,Table1[अग्निकाण्ड का दिनांक],"&gt;="&amp;DATE(2024,7,1), Table1[अग्निकाण्ड का दिनांक],"&lt;="&amp;EOMONTH(DATE(2024,7,1),0))</f>
        <v>0</v>
      </c>
      <c r="S24" s="202">
        <v>1</v>
      </c>
      <c r="T24" s="208">
        <f>COUNTIFS(Table1[(जिस फायर स्टेशन क्षेत्रार्न्तागत अग्निकाण्ड हुआ हो)],Sheet2!E24,Table1[अग्निकाण्ड का दिनांक],"&gt;="&amp;DATE(2024,8,1), Table1[अग्निकाण्ड का दिनांक],"&lt;="&amp;EOMONTH(DATE(2024,8,1),0))</f>
        <v>0</v>
      </c>
      <c r="U24" s="202">
        <v>0</v>
      </c>
      <c r="V24" s="208">
        <f>COUNTIFS(Table1[(जिस फायर स्टेशन क्षेत्रार्न्तागत अग्निकाण्ड हुआ हो)],Sheet2!E24,Table1[अग्निकाण्ड का दिनांक],"&gt;="&amp;DATE(2024,9,1), Table1[अग्निकाण्ड का दिनांक],"&lt;="&amp;EOMONTH(DATE(2024,9,1),0))</f>
        <v>0</v>
      </c>
      <c r="W24" s="202">
        <v>0</v>
      </c>
      <c r="X24" s="208">
        <f>COUNTIFS(Table1[(जिस फायर स्टेशन क्षेत्रार्न्तागत अग्निकाण्ड हुआ हो)],Sheet2!E24,Table1[अग्निकाण्ड का दिनांक],"&gt;="&amp;DATE(2024,10,1), Table1[अग्निकाण्ड का दिनांक],"&lt;="&amp;EOMONTH(DATE(2024,10,1),0))</f>
        <v>0</v>
      </c>
      <c r="Y24" s="202">
        <v>3</v>
      </c>
      <c r="Z24" s="208">
        <f>COUNTIFS(Table1[(जिस फायर स्टेशन क्षेत्रार्न्तागत अग्निकाण्ड हुआ हो)],Sheet2!E24,Table1[अग्निकाण्ड का दिनांक],"&gt;="&amp;DATE(2024,11,1), Table1[अग्निकाण्ड का दिनांक],"&lt;="&amp;EOMONTH(DATE(2024,11,1),0))</f>
        <v>0</v>
      </c>
      <c r="AA24" s="202">
        <v>4</v>
      </c>
      <c r="AB24" s="208">
        <f>COUNTIFS(Table1[(जिस फायर स्टेशन क्षेत्रार्न्तागत अग्निकाण्ड हुआ हो)],Sheet2!E24,Table1[अग्निकाण्ड का दिनांक],"&gt;="&amp;DATE(2024,12,1), Table1[अग्निकाण्ड का दिनांक],"&lt;="&amp;EOMONTH(DATE(2024,12,1),0))</f>
        <v>0</v>
      </c>
      <c r="AC24" s="202">
        <v>2</v>
      </c>
      <c r="AD24" s="208">
        <f t="shared" si="0"/>
        <v>10</v>
      </c>
      <c r="AE24" s="199">
        <f t="shared" si="1"/>
        <v>72</v>
      </c>
    </row>
    <row r="25" spans="3:31" ht="20.100000000000001" customHeight="1" x14ac:dyDescent="0.25">
      <c r="C25" s="200">
        <v>21</v>
      </c>
      <c r="D25" s="201"/>
      <c r="E25" s="201" t="s">
        <v>5469</v>
      </c>
      <c r="F25" s="208">
        <f>COUNTIFS(Table1[(जिस फायर स्टेशन क्षेत्रार्न्तागत अग्निकाण्ड हुआ हो)],Sheet2!E25,Table1[अग्निकाण्ड का दिनांक],"&gt;="&amp;DATE(2024,1,1), Table1[अग्निकाण्ड का दिनांक],"&lt;="&amp;EOMONTH(DATE(2024,1,1),0))</f>
        <v>0</v>
      </c>
      <c r="G25" s="202">
        <v>0</v>
      </c>
      <c r="H25" s="208">
        <f>COUNTIFS(Table1[(जिस फायर स्टेशन क्षेत्रार्न्तागत अग्निकाण्ड हुआ हो)],Sheet2!E25,Table1[अग्निकाण्ड का दिनांक],"&gt;="&amp;DATE(2024,2,1), Table1[अग्निकाण्ड का दिनांक],"&lt;="&amp;EOMONTH(DATE(2024,2,1),0))</f>
        <v>0</v>
      </c>
      <c r="I25" s="202">
        <v>2</v>
      </c>
      <c r="J25" s="208">
        <f>COUNTIFS(Table1[(जिस फायर स्टेशन क्षेत्रार्न्तागत अग्निकाण्ड हुआ हो)],Sheet2!E25,Table1[अग्निकाण्ड का दिनांक],"&gt;="&amp;DATE(2024,3,1), Table1[अग्निकाण्ड का दिनांक],"&lt;="&amp;EOMONTH(DATE(2024,3,1),0))</f>
        <v>0</v>
      </c>
      <c r="K25" s="202">
        <v>2</v>
      </c>
      <c r="L25" s="208">
        <f>COUNTIFS(Table1[(जिस फायर स्टेशन क्षेत्रार्न्तागत अग्निकाण्ड हुआ हो)],Sheet2!E25,Table1[अग्निकाण्ड का दिनांक],"&gt;="&amp;DATE(2024,4,1), Table1[अग्निकाण्ड का दिनांक],"&lt;="&amp;EOMONTH(DATE(2024,4,1),0))</f>
        <v>0</v>
      </c>
      <c r="M25" s="202">
        <v>23</v>
      </c>
      <c r="N25" s="208">
        <f>COUNTIFS(Table1[(जिस फायर स्टेशन क्षेत्रार्न्तागत अग्निकाण्ड हुआ हो)],Sheet2!E25,Table1[अग्निकाण्ड का दिनांक],"&gt;="&amp;DATE(2024,5,1), Table1[अग्निकाण्ड का दिनांक],"&lt;="&amp;EOMONTH(DATE(2024,5,1),0))</f>
        <v>0</v>
      </c>
      <c r="O25" s="202">
        <v>33</v>
      </c>
      <c r="P25" s="208">
        <f>COUNTIFS(Table1[(जिस फायर स्टेशन क्षेत्रार्न्तागत अग्निकाण्ड हुआ हो)],Sheet2!E25,Table1[अग्निकाण्ड का दिनांक],"&gt;="&amp;DATE(2024,6,1), Table1[अग्निकाण्ड का दिनांक],"&lt;="&amp;EOMONTH(DATE(2024,6,1),0))</f>
        <v>7</v>
      </c>
      <c r="Q25" s="202">
        <v>7</v>
      </c>
      <c r="R25" s="208">
        <f>COUNTIFS(Table1[(जिस फायर स्टेशन क्षेत्रार्न्तागत अग्निकाण्ड हुआ हो)],Sheet2!E25,Table1[अग्निकाण्ड का दिनांक],"&gt;="&amp;DATE(2024,7,1), Table1[अग्निकाण्ड का दिनांक],"&lt;="&amp;EOMONTH(DATE(2024,7,1),0))</f>
        <v>0</v>
      </c>
      <c r="S25" s="202">
        <v>1</v>
      </c>
      <c r="T25" s="208">
        <f>COUNTIFS(Table1[(जिस फायर स्टेशन क्षेत्रार्न्तागत अग्निकाण्ड हुआ हो)],Sheet2!E25,Table1[अग्निकाण्ड का दिनांक],"&gt;="&amp;DATE(2024,8,1), Table1[अग्निकाण्ड का दिनांक],"&lt;="&amp;EOMONTH(DATE(2024,8,1),0))</f>
        <v>0</v>
      </c>
      <c r="U25" s="202">
        <v>1</v>
      </c>
      <c r="V25" s="208">
        <f>COUNTIFS(Table1[(जिस फायर स्टेशन क्षेत्रार्न्तागत अग्निकाण्ड हुआ हो)],Sheet2!E25,Table1[अग्निकाण्ड का दिनांक],"&gt;="&amp;DATE(2024,9,1), Table1[अग्निकाण्ड का दिनांक],"&lt;="&amp;EOMONTH(DATE(2024,9,1),0))</f>
        <v>0</v>
      </c>
      <c r="W25" s="202">
        <v>0</v>
      </c>
      <c r="X25" s="208">
        <f>COUNTIFS(Table1[(जिस फायर स्टेशन क्षेत्रार्न्तागत अग्निकाण्ड हुआ हो)],Sheet2!E25,Table1[अग्निकाण्ड का दिनांक],"&gt;="&amp;DATE(2024,10,1), Table1[अग्निकाण्ड का दिनांक],"&lt;="&amp;EOMONTH(DATE(2024,10,1),0))</f>
        <v>0</v>
      </c>
      <c r="Y25" s="202">
        <v>0</v>
      </c>
      <c r="Z25" s="208">
        <f>COUNTIFS(Table1[(जिस फायर स्टेशन क्षेत्रार्न्तागत अग्निकाण्ड हुआ हो)],Sheet2!E25,Table1[अग्निकाण्ड का दिनांक],"&gt;="&amp;DATE(2024,11,1), Table1[अग्निकाण्ड का दिनांक],"&lt;="&amp;EOMONTH(DATE(2024,11,1),0))</f>
        <v>0</v>
      </c>
      <c r="AA25" s="202">
        <v>2</v>
      </c>
      <c r="AB25" s="208">
        <f>COUNTIFS(Table1[(जिस फायर स्टेशन क्षेत्रार्न्तागत अग्निकाण्ड हुआ हो)],Sheet2!E25,Table1[अग्निकाण्ड का दिनांक],"&gt;="&amp;DATE(2024,12,1), Table1[अग्निकाण्ड का दिनांक],"&lt;="&amp;EOMONTH(DATE(2024,12,1),0))</f>
        <v>0</v>
      </c>
      <c r="AC25" s="202">
        <v>1</v>
      </c>
      <c r="AD25" s="208">
        <f t="shared" si="0"/>
        <v>7</v>
      </c>
      <c r="AE25" s="199">
        <f t="shared" si="1"/>
        <v>72</v>
      </c>
    </row>
    <row r="26" spans="3:31" ht="20.100000000000001" customHeight="1" x14ac:dyDescent="0.25">
      <c r="C26" s="203">
        <v>22</v>
      </c>
      <c r="D26" s="204"/>
      <c r="E26" s="204" t="s">
        <v>5726</v>
      </c>
      <c r="F26" s="208">
        <f>COUNTIFS(Table1[(जिस फायर स्टेशन क्षेत्रार्न्तागत अग्निकाण्ड हुआ हो)],Sheet2!E26,Table1[अग्निकाण्ड का दिनांक],"&gt;="&amp;DATE(2024,1,1), Table1[अग्निकाण्ड का दिनांक],"&lt;="&amp;EOMONTH(DATE(2024,1,1),0))</f>
        <v>0</v>
      </c>
      <c r="G26" s="202">
        <v>0</v>
      </c>
      <c r="H26" s="208">
        <f>COUNTIFS(Table1[(जिस फायर स्टेशन क्षेत्रार्न्तागत अग्निकाण्ड हुआ हो)],Sheet2!E26,Table1[अग्निकाण्ड का दिनांक],"&gt;="&amp;DATE(2024,2,1), Table1[अग्निकाण्ड का दिनांक],"&lt;="&amp;EOMONTH(DATE(2024,2,1),0))</f>
        <v>0</v>
      </c>
      <c r="I26" s="202">
        <v>0</v>
      </c>
      <c r="J26" s="208">
        <f>COUNTIFS(Table1[(जिस फायर स्टेशन क्षेत्रार्न्तागत अग्निकाण्ड हुआ हो)],Sheet2!E26,Table1[अग्निकाण्ड का दिनांक],"&gt;="&amp;DATE(2024,3,1), Table1[अग्निकाण्ड का दिनांक],"&lt;="&amp;EOMONTH(DATE(2024,3,1),0))</f>
        <v>0</v>
      </c>
      <c r="K26" s="202">
        <v>0</v>
      </c>
      <c r="L26" s="208">
        <f>COUNTIFS(Table1[(जिस फायर स्टेशन क्षेत्रार्न्तागत अग्निकाण्ड हुआ हो)],Sheet2!E26,Table1[अग्निकाण्ड का दिनांक],"&gt;="&amp;DATE(2024,4,1), Table1[अग्निकाण्ड का दिनांक],"&lt;="&amp;EOMONTH(DATE(2024,4,1),0))</f>
        <v>0</v>
      </c>
      <c r="M26" s="202">
        <v>0</v>
      </c>
      <c r="N26" s="208">
        <f>COUNTIFS(Table1[(जिस फायर स्टेशन क्षेत्रार्न्तागत अग्निकाण्ड हुआ हो)],Sheet2!E26,Table1[अग्निकाण्ड का दिनांक],"&gt;="&amp;DATE(2024,5,1), Table1[अग्निकाण्ड का दिनांक],"&lt;="&amp;EOMONTH(DATE(2024,5,1),0))</f>
        <v>0</v>
      </c>
      <c r="O26" s="202">
        <v>3</v>
      </c>
      <c r="P26" s="208">
        <f>COUNTIFS(Table1[(जिस फायर स्टेशन क्षेत्रार्न्तागत अग्निकाण्ड हुआ हो)],Sheet2!E26,Table1[अग्निकाण्ड का दिनांक],"&gt;="&amp;DATE(2024,6,1), Table1[अग्निकाण्ड का दिनांक],"&lt;="&amp;EOMONTH(DATE(2024,6,1),0))</f>
        <v>0</v>
      </c>
      <c r="Q26" s="202">
        <v>3</v>
      </c>
      <c r="R26" s="208">
        <f>COUNTIFS(Table1[(जिस फायर स्टेशन क्षेत्रार्न्तागत अग्निकाण्ड हुआ हो)],Sheet2!E26,Table1[अग्निकाण्ड का दिनांक],"&gt;="&amp;DATE(2024,7,1), Table1[अग्निकाण्ड का दिनांक],"&lt;="&amp;EOMONTH(DATE(2024,7,1),0))</f>
        <v>0</v>
      </c>
      <c r="S26" s="202">
        <v>0</v>
      </c>
      <c r="T26" s="208">
        <f>COUNTIFS(Table1[(जिस फायर स्टेशन क्षेत्रार्न्तागत अग्निकाण्ड हुआ हो)],Sheet2!E26,Table1[अग्निकाण्ड का दिनांक],"&gt;="&amp;DATE(2024,8,1), Table1[अग्निकाण्ड का दिनांक],"&lt;="&amp;EOMONTH(DATE(2024,8,1),0))</f>
        <v>0</v>
      </c>
      <c r="U26" s="202">
        <v>1</v>
      </c>
      <c r="V26" s="208">
        <f>COUNTIFS(Table1[(जिस फायर स्टेशन क्षेत्रार्न्तागत अग्निकाण्ड हुआ हो)],Sheet2!E26,Table1[अग्निकाण्ड का दिनांक],"&gt;="&amp;DATE(2024,9,1), Table1[अग्निकाण्ड का दिनांक],"&lt;="&amp;EOMONTH(DATE(2024,9,1),0))</f>
        <v>0</v>
      </c>
      <c r="W26" s="202">
        <v>0</v>
      </c>
      <c r="X26" s="208">
        <f>COUNTIFS(Table1[(जिस फायर स्टेशन क्षेत्रार्न्तागत अग्निकाण्ड हुआ हो)],Sheet2!E26,Table1[अग्निकाण्ड का दिनांक],"&gt;="&amp;DATE(2024,10,1), Table1[अग्निकाण्ड का दिनांक],"&lt;="&amp;EOMONTH(DATE(2024,10,1),0))</f>
        <v>0</v>
      </c>
      <c r="Y26" s="202">
        <v>0</v>
      </c>
      <c r="Z26" s="208">
        <f>COUNTIFS(Table1[(जिस फायर स्टेशन क्षेत्रार्न्तागत अग्निकाण्ड हुआ हो)],Sheet2!E26,Table1[अग्निकाण्ड का दिनांक],"&gt;="&amp;DATE(2024,11,1), Table1[अग्निकाण्ड का दिनांक],"&lt;="&amp;EOMONTH(DATE(2024,11,1),0))</f>
        <v>0</v>
      </c>
      <c r="AA26" s="202">
        <v>0</v>
      </c>
      <c r="AB26" s="208">
        <f>COUNTIFS(Table1[(जिस फायर स्टेशन क्षेत्रार्न्तागत अग्निकाण्ड हुआ हो)],Sheet2!E26,Table1[अग्निकाण्ड का दिनांक],"&gt;="&amp;DATE(2024,12,1), Table1[अग्निकाण्ड का दिनांक],"&lt;="&amp;EOMONTH(DATE(2024,12,1),0))</f>
        <v>0</v>
      </c>
      <c r="AC26" s="202">
        <v>0</v>
      </c>
      <c r="AD26" s="208">
        <f t="shared" si="0"/>
        <v>0</v>
      </c>
      <c r="AE26" s="199">
        <f t="shared" si="1"/>
        <v>7</v>
      </c>
    </row>
    <row r="27" spans="3:31" ht="20.100000000000001" customHeight="1" x14ac:dyDescent="0.25">
      <c r="C27" s="200">
        <v>23</v>
      </c>
      <c r="D27" s="201" t="s">
        <v>5706</v>
      </c>
      <c r="E27" s="201" t="s">
        <v>4778</v>
      </c>
      <c r="F27" s="208">
        <f>COUNTIFS(Table1[(जिस फायर स्टेशन क्षेत्रार्न्तागत अग्निकाण्ड हुआ हो)],Sheet2!E27,Table1[अग्निकाण्ड का दिनांक],"&gt;="&amp;DATE(2024,1,1), Table1[अग्निकाण्ड का दिनांक],"&lt;="&amp;EOMONTH(DATE(2024,1,1),0))</f>
        <v>0</v>
      </c>
      <c r="G27" s="202">
        <v>2</v>
      </c>
      <c r="H27" s="208">
        <f>COUNTIFS(Table1[(जिस फायर स्टेशन क्षेत्रार्न्तागत अग्निकाण्ड हुआ हो)],Sheet2!E27,Table1[अग्निकाण्ड का दिनांक],"&gt;="&amp;DATE(2024,2,1), Table1[अग्निकाण्ड का दिनांक],"&lt;="&amp;EOMONTH(DATE(2024,2,1),0))</f>
        <v>0</v>
      </c>
      <c r="I27" s="202">
        <v>1</v>
      </c>
      <c r="J27" s="208">
        <f>COUNTIFS(Table1[(जिस फायर स्टेशन क्षेत्रार्न्तागत अग्निकाण्ड हुआ हो)],Sheet2!E27,Table1[अग्निकाण्ड का दिनांक],"&gt;="&amp;DATE(2024,3,1), Table1[अग्निकाण्ड का दिनांक],"&lt;="&amp;EOMONTH(DATE(2024,3,1),0))</f>
        <v>0</v>
      </c>
      <c r="K27" s="202">
        <v>4</v>
      </c>
      <c r="L27" s="208">
        <f>COUNTIFS(Table1[(जिस फायर स्टेशन क्षेत्रार्न्तागत अग्निकाण्ड हुआ हो)],Sheet2!E27,Table1[अग्निकाण्ड का दिनांक],"&gt;="&amp;DATE(2024,4,1), Table1[अग्निकाण्ड का दिनांक],"&lt;="&amp;EOMONTH(DATE(2024,4,1),0))</f>
        <v>0</v>
      </c>
      <c r="M27" s="202">
        <v>19</v>
      </c>
      <c r="N27" s="208">
        <f>COUNTIFS(Table1[(जिस फायर स्टेशन क्षेत्रार्न्तागत अग्निकाण्ड हुआ हो)],Sheet2!E27,Table1[अग्निकाण्ड का दिनांक],"&gt;="&amp;DATE(2024,5,1), Table1[अग्निकाण्ड का दिनांक],"&lt;="&amp;EOMONTH(DATE(2024,5,1),0))</f>
        <v>0</v>
      </c>
      <c r="O27" s="202">
        <v>23</v>
      </c>
      <c r="P27" s="208">
        <f>COUNTIFS(Table1[(जिस फायर स्टेशन क्षेत्रार्न्तागत अग्निकाण्ड हुआ हो)],Sheet2!E27,Table1[अग्निकाण्ड का दिनांक],"&gt;="&amp;DATE(2024,6,1), Table1[अग्निकाण्ड का दिनांक],"&lt;="&amp;EOMONTH(DATE(2024,6,1),0))</f>
        <v>3</v>
      </c>
      <c r="Q27" s="202">
        <v>3</v>
      </c>
      <c r="R27" s="208">
        <f>COUNTIFS(Table1[(जिस फायर स्टेशन क्षेत्रार्न्तागत अग्निकाण्ड हुआ हो)],Sheet2!E27,Table1[अग्निकाण्ड का दिनांक],"&gt;="&amp;DATE(2024,7,1), Table1[अग्निकाण्ड का दिनांक],"&lt;="&amp;EOMONTH(DATE(2024,7,1),0))</f>
        <v>0</v>
      </c>
      <c r="S27" s="202">
        <v>1</v>
      </c>
      <c r="T27" s="208">
        <f>COUNTIFS(Table1[(जिस फायर स्टेशन क्षेत्रार्न्तागत अग्निकाण्ड हुआ हो)],Sheet2!E27,Table1[अग्निकाण्ड का दिनांक],"&gt;="&amp;DATE(2024,8,1), Table1[अग्निकाण्ड का दिनांक],"&lt;="&amp;EOMONTH(DATE(2024,8,1),0))</f>
        <v>0</v>
      </c>
      <c r="U27" s="202">
        <v>1</v>
      </c>
      <c r="V27" s="208">
        <f>COUNTIFS(Table1[(जिस फायर स्टेशन क्षेत्रार्न्तागत अग्निकाण्ड हुआ हो)],Sheet2!E27,Table1[अग्निकाण्ड का दिनांक],"&gt;="&amp;DATE(2024,9,1), Table1[अग्निकाण्ड का दिनांक],"&lt;="&amp;EOMONTH(DATE(2024,9,1),0))</f>
        <v>0</v>
      </c>
      <c r="W27" s="202">
        <v>2</v>
      </c>
      <c r="X27" s="208">
        <f>COUNTIFS(Table1[(जिस फायर स्टेशन क्षेत्रार्न्तागत अग्निकाण्ड हुआ हो)],Sheet2!E27,Table1[अग्निकाण्ड का दिनांक],"&gt;="&amp;DATE(2024,10,1), Table1[अग्निकाण्ड का दिनांक],"&lt;="&amp;EOMONTH(DATE(2024,10,1),0))</f>
        <v>0</v>
      </c>
      <c r="Y27" s="202">
        <v>0</v>
      </c>
      <c r="Z27" s="208">
        <f>COUNTIFS(Table1[(जिस फायर स्टेशन क्षेत्रार्न्तागत अग्निकाण्ड हुआ हो)],Sheet2!E27,Table1[अग्निकाण्ड का दिनांक],"&gt;="&amp;DATE(2024,11,1), Table1[अग्निकाण्ड का दिनांक],"&lt;="&amp;EOMONTH(DATE(2024,11,1),0))</f>
        <v>0</v>
      </c>
      <c r="AA27" s="202">
        <v>0</v>
      </c>
      <c r="AB27" s="208">
        <f>COUNTIFS(Table1[(जिस फायर स्टेशन क्षेत्रार्न्तागत अग्निकाण्ड हुआ हो)],Sheet2!E27,Table1[अग्निकाण्ड का दिनांक],"&gt;="&amp;DATE(2024,12,1), Table1[अग्निकाण्ड का दिनांक],"&lt;="&amp;EOMONTH(DATE(2024,12,1),0))</f>
        <v>0</v>
      </c>
      <c r="AC27" s="202">
        <v>0</v>
      </c>
      <c r="AD27" s="208">
        <f t="shared" si="0"/>
        <v>3</v>
      </c>
      <c r="AE27" s="199">
        <f t="shared" si="1"/>
        <v>56</v>
      </c>
    </row>
    <row r="28" spans="3:31" ht="20.100000000000001" customHeight="1" x14ac:dyDescent="0.25">
      <c r="C28" s="203">
        <v>24</v>
      </c>
      <c r="D28" s="204"/>
      <c r="E28" s="204" t="s">
        <v>5719</v>
      </c>
      <c r="F28" s="208">
        <f>COUNTIFS(Table1[(जिस फायर स्टेशन क्षेत्रार्न्तागत अग्निकाण्ड हुआ हो)],Sheet2!E28,Table1[अग्निकाण्ड का दिनांक],"&gt;="&amp;DATE(2024,1,1), Table1[अग्निकाण्ड का दिनांक],"&lt;="&amp;EOMONTH(DATE(2024,1,1),0))</f>
        <v>0</v>
      </c>
      <c r="G28" s="202">
        <v>1</v>
      </c>
      <c r="H28" s="208">
        <f>COUNTIFS(Table1[(जिस फायर स्टेशन क्षेत्रार्न्तागत अग्निकाण्ड हुआ हो)],Sheet2!E28,Table1[अग्निकाण्ड का दिनांक],"&gt;="&amp;DATE(2024,2,1), Table1[अग्निकाण्ड का दिनांक],"&lt;="&amp;EOMONTH(DATE(2024,2,1),0))</f>
        <v>0</v>
      </c>
      <c r="I28" s="202">
        <v>0</v>
      </c>
      <c r="J28" s="208">
        <f>COUNTIFS(Table1[(जिस फायर स्टेशन क्षेत्रार्न्तागत अग्निकाण्ड हुआ हो)],Sheet2!E28,Table1[अग्निकाण्ड का दिनांक],"&gt;="&amp;DATE(2024,3,1), Table1[अग्निकाण्ड का दिनांक],"&lt;="&amp;EOMONTH(DATE(2024,3,1),0))</f>
        <v>0</v>
      </c>
      <c r="K28" s="202">
        <v>1</v>
      </c>
      <c r="L28" s="208">
        <f>COUNTIFS(Table1[(जिस फायर स्टेशन क्षेत्रार्न्तागत अग्निकाण्ड हुआ हो)],Sheet2!E28,Table1[अग्निकाण्ड का दिनांक],"&gt;="&amp;DATE(2024,4,1), Table1[अग्निकाण्ड का दिनांक],"&lt;="&amp;EOMONTH(DATE(2024,4,1),0))</f>
        <v>0</v>
      </c>
      <c r="M28" s="202">
        <v>1</v>
      </c>
      <c r="N28" s="208">
        <f>COUNTIFS(Table1[(जिस फायर स्टेशन क्षेत्रार्न्तागत अग्निकाण्ड हुआ हो)],Sheet2!E28,Table1[अग्निकाण्ड का दिनांक],"&gt;="&amp;DATE(2024,5,1), Table1[अग्निकाण्ड का दिनांक],"&lt;="&amp;EOMONTH(DATE(2024,5,1),0))</f>
        <v>0</v>
      </c>
      <c r="O28" s="202">
        <v>1</v>
      </c>
      <c r="P28" s="208">
        <f>COUNTIFS(Table1[(जिस फायर स्टेशन क्षेत्रार्न्तागत अग्निकाण्ड हुआ हो)],Sheet2!E28,Table1[अग्निकाण्ड का दिनांक],"&gt;="&amp;DATE(2024,6,1), Table1[अग्निकाण्ड का दिनांक],"&lt;="&amp;EOMONTH(DATE(2024,6,1),0))</f>
        <v>0</v>
      </c>
      <c r="Q28" s="202">
        <v>10</v>
      </c>
      <c r="R28" s="208">
        <f>COUNTIFS(Table1[(जिस फायर स्टेशन क्षेत्रार्न्तागत अग्निकाण्ड हुआ हो)],Sheet2!E28,Table1[अग्निकाण्ड का दिनांक],"&gt;="&amp;DATE(2024,7,1), Table1[अग्निकाण्ड का दिनांक],"&lt;="&amp;EOMONTH(DATE(2024,7,1),0))</f>
        <v>0</v>
      </c>
      <c r="S28" s="202">
        <v>0</v>
      </c>
      <c r="T28" s="208">
        <f>COUNTIFS(Table1[(जिस फायर स्टेशन क्षेत्रार्न्तागत अग्निकाण्ड हुआ हो)],Sheet2!E28,Table1[अग्निकाण्ड का दिनांक],"&gt;="&amp;DATE(2024,8,1), Table1[अग्निकाण्ड का दिनांक],"&lt;="&amp;EOMONTH(DATE(2024,8,1),0))</f>
        <v>0</v>
      </c>
      <c r="U28" s="202">
        <v>0</v>
      </c>
      <c r="V28" s="208">
        <f>COUNTIFS(Table1[(जिस फायर स्टेशन क्षेत्रार्न्तागत अग्निकाण्ड हुआ हो)],Sheet2!E28,Table1[अग्निकाण्ड का दिनांक],"&gt;="&amp;DATE(2024,9,1), Table1[अग्निकाण्ड का दिनांक],"&lt;="&amp;EOMONTH(DATE(2024,9,1),0))</f>
        <v>0</v>
      </c>
      <c r="W28" s="202">
        <v>0</v>
      </c>
      <c r="X28" s="208">
        <f>COUNTIFS(Table1[(जिस फायर स्टेशन क्षेत्रार्न्तागत अग्निकाण्ड हुआ हो)],Sheet2!E28,Table1[अग्निकाण्ड का दिनांक],"&gt;="&amp;DATE(2024,10,1), Table1[अग्निकाण्ड का दिनांक],"&lt;="&amp;EOMONTH(DATE(2024,10,1),0))</f>
        <v>0</v>
      </c>
      <c r="Y28" s="202">
        <v>1</v>
      </c>
      <c r="Z28" s="208">
        <f>COUNTIFS(Table1[(जिस फायर स्टेशन क्षेत्रार्न्तागत अग्निकाण्ड हुआ हो)],Sheet2!E28,Table1[अग्निकाण्ड का दिनांक],"&gt;="&amp;DATE(2024,11,1), Table1[अग्निकाण्ड का दिनांक],"&lt;="&amp;EOMONTH(DATE(2024,11,1),0))</f>
        <v>0</v>
      </c>
      <c r="AA28" s="202">
        <v>0</v>
      </c>
      <c r="AB28" s="208">
        <f>COUNTIFS(Table1[(जिस फायर स्टेशन क्षेत्रार्न्तागत अग्निकाण्ड हुआ हो)],Sheet2!E28,Table1[अग्निकाण्ड का दिनांक],"&gt;="&amp;DATE(2024,12,1), Table1[अग्निकाण्ड का दिनांक],"&lt;="&amp;EOMONTH(DATE(2024,12,1),0))</f>
        <v>0</v>
      </c>
      <c r="AC28" s="202">
        <v>0</v>
      </c>
      <c r="AD28" s="208">
        <f t="shared" si="0"/>
        <v>0</v>
      </c>
      <c r="AE28" s="199">
        <f t="shared" si="1"/>
        <v>15</v>
      </c>
    </row>
    <row r="29" spans="3:31" ht="20.100000000000001" customHeight="1" x14ac:dyDescent="0.25">
      <c r="C29" s="200">
        <v>25</v>
      </c>
      <c r="D29" s="201"/>
      <c r="E29" s="201" t="s">
        <v>5720</v>
      </c>
      <c r="F29" s="208">
        <f>COUNTIFS(Table1[(जिस फायर स्टेशन क्षेत्रार्न्तागत अग्निकाण्ड हुआ हो)],Sheet2!E29,Table1[अग्निकाण्ड का दिनांक],"&gt;="&amp;DATE(2024,1,1), Table1[अग्निकाण्ड का दिनांक],"&lt;="&amp;EOMONTH(DATE(2024,1,1),0))</f>
        <v>0</v>
      </c>
      <c r="G29" s="202"/>
      <c r="H29" s="208">
        <f>COUNTIFS(Table1[(जिस फायर स्टेशन क्षेत्रार्न्तागत अग्निकाण्ड हुआ हो)],Sheet2!E29,Table1[अग्निकाण्ड का दिनांक],"&gt;="&amp;DATE(2024,2,1), Table1[अग्निकाण्ड का दिनांक],"&lt;="&amp;EOMONTH(DATE(2024,2,1),0))</f>
        <v>0</v>
      </c>
      <c r="I29" s="202"/>
      <c r="J29" s="208">
        <f>COUNTIFS(Table1[(जिस फायर स्टेशन क्षेत्रार्न्तागत अग्निकाण्ड हुआ हो)],Sheet2!E29,Table1[अग्निकाण्ड का दिनांक],"&gt;="&amp;DATE(2024,3,1), Table1[अग्निकाण्ड का दिनांक],"&lt;="&amp;EOMONTH(DATE(2024,3,1),0))</f>
        <v>0</v>
      </c>
      <c r="K29" s="202"/>
      <c r="L29" s="208">
        <f>COUNTIFS(Table1[(जिस फायर स्टेशन क्षेत्रार्न्तागत अग्निकाण्ड हुआ हो)],Sheet2!E29,Table1[अग्निकाण्ड का दिनांक],"&gt;="&amp;DATE(2024,4,1), Table1[अग्निकाण्ड का दिनांक],"&lt;="&amp;EOMONTH(DATE(2024,4,1),0))</f>
        <v>0</v>
      </c>
      <c r="M29" s="202"/>
      <c r="N29" s="208">
        <f>COUNTIFS(Table1[(जिस फायर स्टेशन क्षेत्रार्न्तागत अग्निकाण्ड हुआ हो)],Sheet2!E29,Table1[अग्निकाण्ड का दिनांक],"&gt;="&amp;DATE(2024,5,1), Table1[अग्निकाण्ड का दिनांक],"&lt;="&amp;EOMONTH(DATE(2024,5,1),0))</f>
        <v>0</v>
      </c>
      <c r="O29" s="202"/>
      <c r="P29" s="208">
        <f>COUNTIFS(Table1[(जिस फायर स्टेशन क्षेत्रार्न्तागत अग्निकाण्ड हुआ हो)],Sheet2!E29,Table1[अग्निकाण्ड का दिनांक],"&gt;="&amp;DATE(2024,6,1), Table1[अग्निकाण्ड का दिनांक],"&lt;="&amp;EOMONTH(DATE(2024,6,1),0))</f>
        <v>0</v>
      </c>
      <c r="Q29" s="202"/>
      <c r="R29" s="208">
        <f>COUNTIFS(Table1[(जिस फायर स्टेशन क्षेत्रार्न्तागत अग्निकाण्ड हुआ हो)],Sheet2!E29,Table1[अग्निकाण्ड का दिनांक],"&gt;="&amp;DATE(2024,7,1), Table1[अग्निकाण्ड का दिनांक],"&lt;="&amp;EOMONTH(DATE(2024,7,1),0))</f>
        <v>0</v>
      </c>
      <c r="S29" s="202"/>
      <c r="T29" s="208">
        <f>COUNTIFS(Table1[(जिस फायर स्टेशन क्षेत्रार्न्तागत अग्निकाण्ड हुआ हो)],Sheet2!E29,Table1[अग्निकाण्ड का दिनांक],"&gt;="&amp;DATE(2024,8,1), Table1[अग्निकाण्ड का दिनांक],"&lt;="&amp;EOMONTH(DATE(2024,8,1),0))</f>
        <v>0</v>
      </c>
      <c r="U29" s="202"/>
      <c r="V29" s="208">
        <f>COUNTIFS(Table1[(जिस फायर स्टेशन क्षेत्रार्न्तागत अग्निकाण्ड हुआ हो)],Sheet2!E29,Table1[अग्निकाण्ड का दिनांक],"&gt;="&amp;DATE(2024,9,1), Table1[अग्निकाण्ड का दिनांक],"&lt;="&amp;EOMONTH(DATE(2024,9,1),0))</f>
        <v>0</v>
      </c>
      <c r="W29" s="202"/>
      <c r="X29" s="208">
        <f>COUNTIFS(Table1[(जिस फायर स्टेशन क्षेत्रार्न्तागत अग्निकाण्ड हुआ हो)],Sheet2!E29,Table1[अग्निकाण्ड का दिनांक],"&gt;="&amp;DATE(2024,10,1), Table1[अग्निकाण्ड का दिनांक],"&lt;="&amp;EOMONTH(DATE(2024,10,1),0))</f>
        <v>0</v>
      </c>
      <c r="Y29" s="202"/>
      <c r="Z29" s="208">
        <f>COUNTIFS(Table1[(जिस फायर स्टेशन क्षेत्रार्न्तागत अग्निकाण्ड हुआ हो)],Sheet2!E29,Table1[अग्निकाण्ड का दिनांक],"&gt;="&amp;DATE(2024,11,1), Table1[अग्निकाण्ड का दिनांक],"&lt;="&amp;EOMONTH(DATE(2024,11,1),0))</f>
        <v>0</v>
      </c>
      <c r="AA29" s="202"/>
      <c r="AB29" s="208">
        <f>COUNTIFS(Table1[(जिस फायर स्टेशन क्षेत्रार्न्तागत अग्निकाण्ड हुआ हो)],Sheet2!E29,Table1[अग्निकाण्ड का दिनांक],"&gt;="&amp;DATE(2024,12,1), Table1[अग्निकाण्ड का दिनांक],"&lt;="&amp;EOMONTH(DATE(2024,12,1),0))</f>
        <v>0</v>
      </c>
      <c r="AC29" s="202"/>
      <c r="AD29" s="208">
        <f t="shared" si="0"/>
        <v>0</v>
      </c>
      <c r="AE29" s="199">
        <f t="shared" si="1"/>
        <v>0</v>
      </c>
    </row>
    <row r="30" spans="3:31" ht="20.100000000000001" customHeight="1" x14ac:dyDescent="0.25">
      <c r="C30" s="203">
        <v>26</v>
      </c>
      <c r="D30" s="204"/>
      <c r="E30" s="204" t="s">
        <v>5721</v>
      </c>
      <c r="F30" s="208">
        <f>COUNTIFS(Table1[(जिस फायर स्टेशन क्षेत्रार्न्तागत अग्निकाण्ड हुआ हो)],Sheet2!E30,Table1[अग्निकाण्ड का दिनांक],"&gt;="&amp;DATE(2024,1,1), Table1[अग्निकाण्ड का दिनांक],"&lt;="&amp;EOMONTH(DATE(2024,1,1),0))</f>
        <v>0</v>
      </c>
      <c r="G30" s="202"/>
      <c r="H30" s="208">
        <f>COUNTIFS(Table1[(जिस फायर स्टेशन क्षेत्रार्न्तागत अग्निकाण्ड हुआ हो)],Sheet2!E30,Table1[अग्निकाण्ड का दिनांक],"&gt;="&amp;DATE(2024,2,1), Table1[अग्निकाण्ड का दिनांक],"&lt;="&amp;EOMONTH(DATE(2024,2,1),0))</f>
        <v>0</v>
      </c>
      <c r="I30" s="202"/>
      <c r="J30" s="208">
        <f>COUNTIFS(Table1[(जिस फायर स्टेशन क्षेत्रार्न्तागत अग्निकाण्ड हुआ हो)],Sheet2!E30,Table1[अग्निकाण्ड का दिनांक],"&gt;="&amp;DATE(2024,3,1), Table1[अग्निकाण्ड का दिनांक],"&lt;="&amp;EOMONTH(DATE(2024,3,1),0))</f>
        <v>0</v>
      </c>
      <c r="K30" s="202"/>
      <c r="L30" s="208">
        <f>COUNTIFS(Table1[(जिस फायर स्टेशन क्षेत्रार्न्तागत अग्निकाण्ड हुआ हो)],Sheet2!E30,Table1[अग्निकाण्ड का दिनांक],"&gt;="&amp;DATE(2024,4,1), Table1[अग्निकाण्ड का दिनांक],"&lt;="&amp;EOMONTH(DATE(2024,4,1),0))</f>
        <v>0</v>
      </c>
      <c r="M30" s="202"/>
      <c r="N30" s="208">
        <f>COUNTIFS(Table1[(जिस फायर स्टेशन क्षेत्रार्न्तागत अग्निकाण्ड हुआ हो)],Sheet2!E30,Table1[अग्निकाण्ड का दिनांक],"&gt;="&amp;DATE(2024,5,1), Table1[अग्निकाण्ड का दिनांक],"&lt;="&amp;EOMONTH(DATE(2024,5,1),0))</f>
        <v>0</v>
      </c>
      <c r="O30" s="202"/>
      <c r="P30" s="208">
        <f>COUNTIFS(Table1[(जिस फायर स्टेशन क्षेत्रार्न्तागत अग्निकाण्ड हुआ हो)],Sheet2!E30,Table1[अग्निकाण्ड का दिनांक],"&gt;="&amp;DATE(2024,6,1), Table1[अग्निकाण्ड का दिनांक],"&lt;="&amp;EOMONTH(DATE(2024,6,1),0))</f>
        <v>0</v>
      </c>
      <c r="Q30" s="202"/>
      <c r="R30" s="208">
        <f>COUNTIFS(Table1[(जिस फायर स्टेशन क्षेत्रार्न्तागत अग्निकाण्ड हुआ हो)],Sheet2!E30,Table1[अग्निकाण्ड का दिनांक],"&gt;="&amp;DATE(2024,7,1), Table1[अग्निकाण्ड का दिनांक],"&lt;="&amp;EOMONTH(DATE(2024,7,1),0))</f>
        <v>0</v>
      </c>
      <c r="S30" s="202"/>
      <c r="T30" s="208">
        <f>COUNTIFS(Table1[(जिस फायर स्टेशन क्षेत्रार्न्तागत अग्निकाण्ड हुआ हो)],Sheet2!E30,Table1[अग्निकाण्ड का दिनांक],"&gt;="&amp;DATE(2024,8,1), Table1[अग्निकाण्ड का दिनांक],"&lt;="&amp;EOMONTH(DATE(2024,8,1),0))</f>
        <v>0</v>
      </c>
      <c r="U30" s="202"/>
      <c r="V30" s="208">
        <f>COUNTIFS(Table1[(जिस फायर स्टेशन क्षेत्रार्न्तागत अग्निकाण्ड हुआ हो)],Sheet2!E30,Table1[अग्निकाण्ड का दिनांक],"&gt;="&amp;DATE(2024,9,1), Table1[अग्निकाण्ड का दिनांक],"&lt;="&amp;EOMONTH(DATE(2024,9,1),0))</f>
        <v>0</v>
      </c>
      <c r="W30" s="202"/>
      <c r="X30" s="208">
        <f>COUNTIFS(Table1[(जिस फायर स्टेशन क्षेत्रार्न्तागत अग्निकाण्ड हुआ हो)],Sheet2!E30,Table1[अग्निकाण्ड का दिनांक],"&gt;="&amp;DATE(2024,10,1), Table1[अग्निकाण्ड का दिनांक],"&lt;="&amp;EOMONTH(DATE(2024,10,1),0))</f>
        <v>0</v>
      </c>
      <c r="Y30" s="202"/>
      <c r="Z30" s="208">
        <f>COUNTIFS(Table1[(जिस फायर स्टेशन क्षेत्रार्न्तागत अग्निकाण्ड हुआ हो)],Sheet2!E30,Table1[अग्निकाण्ड का दिनांक],"&gt;="&amp;DATE(2024,11,1), Table1[अग्निकाण्ड का दिनांक],"&lt;="&amp;EOMONTH(DATE(2024,11,1),0))</f>
        <v>0</v>
      </c>
      <c r="AA30" s="202"/>
      <c r="AB30" s="208">
        <f>COUNTIFS(Table1[(जिस फायर स्टेशन क्षेत्रार्न्तागत अग्निकाण्ड हुआ हो)],Sheet2!E30,Table1[अग्निकाण्ड का दिनांक],"&gt;="&amp;DATE(2024,12,1), Table1[अग्निकाण्ड का दिनांक],"&lt;="&amp;EOMONTH(DATE(2024,12,1),0))</f>
        <v>0</v>
      </c>
      <c r="AC30" s="202"/>
      <c r="AD30" s="208">
        <f t="shared" si="0"/>
        <v>0</v>
      </c>
      <c r="AE30" s="199">
        <f t="shared" si="1"/>
        <v>0</v>
      </c>
    </row>
    <row r="31" spans="3:31" ht="20.100000000000001" customHeight="1" x14ac:dyDescent="0.25">
      <c r="C31" s="200">
        <v>27</v>
      </c>
      <c r="D31" s="201" t="s">
        <v>5707</v>
      </c>
      <c r="E31" s="201" t="s">
        <v>5725</v>
      </c>
      <c r="F31" s="208">
        <f>COUNTIFS(Table1[(जिस फायर स्टेशन क्षेत्रार्न्तागत अग्निकाण्ड हुआ हो)],Sheet2!E31,Table1[अग्निकाण्ड का दिनांक],"&gt;="&amp;DATE(2024,1,1), Table1[अग्निकाण्ड का दिनांक],"&lt;="&amp;EOMONTH(DATE(2024,1,1),0))</f>
        <v>0</v>
      </c>
      <c r="G31" s="202">
        <v>2</v>
      </c>
      <c r="H31" s="208">
        <f>COUNTIFS(Table1[(जिस फायर स्टेशन क्षेत्रार्न्तागत अग्निकाण्ड हुआ हो)],Sheet2!E31,Table1[अग्निकाण्ड का दिनांक],"&gt;="&amp;DATE(2024,2,1), Table1[अग्निकाण्ड का दिनांक],"&lt;="&amp;EOMONTH(DATE(2024,2,1),0))</f>
        <v>0</v>
      </c>
      <c r="I31" s="202">
        <v>4</v>
      </c>
      <c r="J31" s="208">
        <f>COUNTIFS(Table1[(जिस फायर स्टेशन क्षेत्रार्न्तागत अग्निकाण्ड हुआ हो)],Sheet2!E31,Table1[अग्निकाण्ड का दिनांक],"&gt;="&amp;DATE(2024,3,1), Table1[अग्निकाण्ड का दिनांक],"&lt;="&amp;EOMONTH(DATE(2024,3,1),0))</f>
        <v>0</v>
      </c>
      <c r="K31" s="202">
        <v>4</v>
      </c>
      <c r="L31" s="208">
        <f>COUNTIFS(Table1[(जिस फायर स्टेशन क्षेत्रार्न्तागत अग्निकाण्ड हुआ हो)],Sheet2!E31,Table1[अग्निकाण्ड का दिनांक],"&gt;="&amp;DATE(2024,4,1), Table1[अग्निकाण्ड का दिनांक],"&lt;="&amp;EOMONTH(DATE(2024,4,1),0))</f>
        <v>0</v>
      </c>
      <c r="M31" s="202">
        <v>18</v>
      </c>
      <c r="N31" s="208">
        <f>COUNTIFS(Table1[(जिस फायर स्टेशन क्षेत्रार्न्तागत अग्निकाण्ड हुआ हो)],Sheet2!E31,Table1[अग्निकाण्ड का दिनांक],"&gt;="&amp;DATE(2024,5,1), Table1[अग्निकाण्ड का दिनांक],"&lt;="&amp;EOMONTH(DATE(2024,5,1),0))</f>
        <v>0</v>
      </c>
      <c r="O31" s="202">
        <v>10</v>
      </c>
      <c r="P31" s="208">
        <f>COUNTIFS(Table1[(जिस फायर स्टेशन क्षेत्रार्न्तागत अग्निकाण्ड हुआ हो)],Sheet2!E31,Table1[अग्निकाण्ड का दिनांक],"&gt;="&amp;DATE(2024,6,1), Table1[अग्निकाण्ड का दिनांक],"&lt;="&amp;EOMONTH(DATE(2024,6,1),0))</f>
        <v>3</v>
      </c>
      <c r="Q31" s="202">
        <v>3</v>
      </c>
      <c r="R31" s="208">
        <f>COUNTIFS(Table1[(जिस फायर स्टेशन क्षेत्रार्न्तागत अग्निकाण्ड हुआ हो)],Sheet2!E31,Table1[अग्निकाण्ड का दिनांक],"&gt;="&amp;DATE(2024,7,1), Table1[अग्निकाण्ड का दिनांक],"&lt;="&amp;EOMONTH(DATE(2024,7,1),0))</f>
        <v>0</v>
      </c>
      <c r="S31" s="202">
        <v>0</v>
      </c>
      <c r="T31" s="208">
        <f>COUNTIFS(Table1[(जिस फायर स्टेशन क्षेत्रार्न्तागत अग्निकाण्ड हुआ हो)],Sheet2!E31,Table1[अग्निकाण्ड का दिनांक],"&gt;="&amp;DATE(2024,8,1), Table1[अग्निकाण्ड का दिनांक],"&lt;="&amp;EOMONTH(DATE(2024,8,1),0))</f>
        <v>0</v>
      </c>
      <c r="U31" s="202">
        <v>0</v>
      </c>
      <c r="V31" s="208">
        <f>COUNTIFS(Table1[(जिस फायर स्टेशन क्षेत्रार्न्तागत अग्निकाण्ड हुआ हो)],Sheet2!E31,Table1[अग्निकाण्ड का दिनांक],"&gt;="&amp;DATE(2024,9,1), Table1[अग्निकाण्ड का दिनांक],"&lt;="&amp;EOMONTH(DATE(2024,9,1),0))</f>
        <v>0</v>
      </c>
      <c r="W31" s="202">
        <v>0</v>
      </c>
      <c r="X31" s="208">
        <f>COUNTIFS(Table1[(जिस फायर स्टेशन क्षेत्रार्न्तागत अग्निकाण्ड हुआ हो)],Sheet2!E31,Table1[अग्निकाण्ड का दिनांक],"&gt;="&amp;DATE(2024,10,1), Table1[अग्निकाण्ड का दिनांक],"&lt;="&amp;EOMONTH(DATE(2024,10,1),0))</f>
        <v>0</v>
      </c>
      <c r="Y31" s="202">
        <v>3</v>
      </c>
      <c r="Z31" s="208">
        <f>COUNTIFS(Table1[(जिस फायर स्टेशन क्षेत्रार्न्तागत अग्निकाण्ड हुआ हो)],Sheet2!E31,Table1[अग्निकाण्ड का दिनांक],"&gt;="&amp;DATE(2024,11,1), Table1[अग्निकाण्ड का दिनांक],"&lt;="&amp;EOMONTH(DATE(2024,11,1),0))</f>
        <v>0</v>
      </c>
      <c r="AA31" s="202">
        <v>0</v>
      </c>
      <c r="AB31" s="208">
        <f>COUNTIFS(Table1[(जिस फायर स्टेशन क्षेत्रार्न्तागत अग्निकाण्ड हुआ हो)],Sheet2!E31,Table1[अग्निकाण्ड का दिनांक],"&gt;="&amp;DATE(2024,12,1), Table1[अग्निकाण्ड का दिनांक],"&lt;="&amp;EOMONTH(DATE(2024,12,1),0))</f>
        <v>0</v>
      </c>
      <c r="AC31" s="202">
        <v>1</v>
      </c>
      <c r="AD31" s="208">
        <f t="shared" si="0"/>
        <v>3</v>
      </c>
      <c r="AE31" s="199">
        <f t="shared" si="1"/>
        <v>45</v>
      </c>
    </row>
    <row r="32" spans="3:31" ht="20.100000000000001" customHeight="1" x14ac:dyDescent="0.25">
      <c r="C32" s="203">
        <v>28</v>
      </c>
      <c r="D32" s="204" t="s">
        <v>5708</v>
      </c>
      <c r="E32" s="204" t="s">
        <v>3685</v>
      </c>
      <c r="F32" s="208">
        <f>COUNTIFS(Table1[(जिस फायर स्टेशन क्षेत्रार्न्तागत अग्निकाण्ड हुआ हो)],Sheet2!E32,Table1[अग्निकाण्ड का दिनांक],"&gt;="&amp;DATE(2024,1,1), Table1[अग्निकाण्ड का दिनांक],"&lt;="&amp;EOMONTH(DATE(2024,1,1),0))</f>
        <v>0</v>
      </c>
      <c r="G32" s="202">
        <v>11</v>
      </c>
      <c r="H32" s="208">
        <f>COUNTIFS(Table1[(जिस फायर स्टेशन क्षेत्रार्न्तागत अग्निकाण्ड हुआ हो)],Sheet2!E32,Table1[अग्निकाण्ड का दिनांक],"&gt;="&amp;DATE(2024,2,1), Table1[अग्निकाण्ड का दिनांक],"&lt;="&amp;EOMONTH(DATE(2024,2,1),0))</f>
        <v>0</v>
      </c>
      <c r="I32" s="202">
        <v>13</v>
      </c>
      <c r="J32" s="208">
        <f>COUNTIFS(Table1[(जिस फायर स्टेशन क्षेत्रार्न्तागत अग्निकाण्ड हुआ हो)],Sheet2!E32,Table1[अग्निकाण्ड का दिनांक],"&gt;="&amp;DATE(2024,3,1), Table1[अग्निकाण्ड का दिनांक],"&lt;="&amp;EOMONTH(DATE(2024,3,1),0))</f>
        <v>0</v>
      </c>
      <c r="K32" s="202">
        <v>10</v>
      </c>
      <c r="L32" s="208">
        <f>COUNTIFS(Table1[(जिस फायर स्टेशन क्षेत्रार्न्तागत अग्निकाण्ड हुआ हो)],Sheet2!E32,Table1[अग्निकाण्ड का दिनांक],"&gt;="&amp;DATE(2024,4,1), Table1[अग्निकाण्ड का दिनांक],"&lt;="&amp;EOMONTH(DATE(2024,4,1),0))</f>
        <v>0</v>
      </c>
      <c r="M32" s="202">
        <v>55</v>
      </c>
      <c r="N32" s="208">
        <f>COUNTIFS(Table1[(जिस फायर स्टेशन क्षेत्रार्न्तागत अग्निकाण्ड हुआ हो)],Sheet2!E32,Table1[अग्निकाण्ड का दिनांक],"&gt;="&amp;DATE(2024,5,1), Table1[अग्निकाण्ड का दिनांक],"&lt;="&amp;EOMONTH(DATE(2024,5,1),0))</f>
        <v>0</v>
      </c>
      <c r="O32" s="202">
        <v>17</v>
      </c>
      <c r="P32" s="208">
        <f>COUNTIFS(Table1[(जिस फायर स्टेशन क्षेत्रार्न्तागत अग्निकाण्ड हुआ हो)],Sheet2!E32,Table1[अग्निकाण्ड का दिनांक],"&gt;="&amp;DATE(2024,6,1), Table1[अग्निकाण्ड का दिनांक],"&lt;="&amp;EOMONTH(DATE(2024,6,1),0))</f>
        <v>21</v>
      </c>
      <c r="Q32" s="202">
        <v>20</v>
      </c>
      <c r="R32" s="208">
        <f>COUNTIFS(Table1[(जिस फायर स्टेशन क्षेत्रार्न्तागत अग्निकाण्ड हुआ हो)],Sheet2!E32,Table1[अग्निकाण्ड का दिनांक],"&gt;="&amp;DATE(2024,7,1), Table1[अग्निकाण्ड का दिनांक],"&lt;="&amp;EOMONTH(DATE(2024,7,1),0))</f>
        <v>0</v>
      </c>
      <c r="S32" s="202">
        <v>8</v>
      </c>
      <c r="T32" s="208">
        <f>COUNTIFS(Table1[(जिस फायर स्टेशन क्षेत्रार्न्तागत अग्निकाण्ड हुआ हो)],Sheet2!E32,Table1[अग्निकाण्ड का दिनांक],"&gt;="&amp;DATE(2024,8,1), Table1[अग्निकाण्ड का दिनांक],"&lt;="&amp;EOMONTH(DATE(2024,8,1),0))</f>
        <v>0</v>
      </c>
      <c r="U32" s="202">
        <v>3</v>
      </c>
      <c r="V32" s="208">
        <f>COUNTIFS(Table1[(जिस फायर स्टेशन क्षेत्रार्न्तागत अग्निकाण्ड हुआ हो)],Sheet2!E32,Table1[अग्निकाण्ड का दिनांक],"&gt;="&amp;DATE(2024,9,1), Table1[अग्निकाण्ड का दिनांक],"&lt;="&amp;EOMONTH(DATE(2024,9,1),0))</f>
        <v>0</v>
      </c>
      <c r="W32" s="202">
        <v>2</v>
      </c>
      <c r="X32" s="208">
        <f>COUNTIFS(Table1[(जिस फायर स्टेशन क्षेत्रार्न्तागत अग्निकाण्ड हुआ हो)],Sheet2!E32,Table1[अग्निकाण्ड का दिनांक],"&gt;="&amp;DATE(2024,10,1), Table1[अग्निकाण्ड का दिनांक],"&lt;="&amp;EOMONTH(DATE(2024,10,1),0))</f>
        <v>0</v>
      </c>
      <c r="Y32" s="202">
        <v>17</v>
      </c>
      <c r="Z32" s="208">
        <f>COUNTIFS(Table1[(जिस फायर स्टेशन क्षेत्रार्न्तागत अग्निकाण्ड हुआ हो)],Sheet2!E32,Table1[अग्निकाण्ड का दिनांक],"&gt;="&amp;DATE(2024,11,1), Table1[अग्निकाण्ड का दिनांक],"&lt;="&amp;EOMONTH(DATE(2024,11,1),0))</f>
        <v>0</v>
      </c>
      <c r="AA32" s="202">
        <v>8</v>
      </c>
      <c r="AB32" s="208">
        <f>COUNTIFS(Table1[(जिस फायर स्टेशन क्षेत्रार्न्तागत अग्निकाण्ड हुआ हो)],Sheet2!E32,Table1[अग्निकाण्ड का दिनांक],"&gt;="&amp;DATE(2024,12,1), Table1[अग्निकाण्ड का दिनांक],"&lt;="&amp;EOMONTH(DATE(2024,12,1),0))</f>
        <v>0</v>
      </c>
      <c r="AC32" s="202">
        <v>6</v>
      </c>
      <c r="AD32" s="208">
        <f t="shared" si="0"/>
        <v>21</v>
      </c>
      <c r="AE32" s="199">
        <f t="shared" si="1"/>
        <v>170</v>
      </c>
    </row>
    <row r="33" spans="3:31" ht="20.100000000000001" customHeight="1" x14ac:dyDescent="0.25">
      <c r="C33" s="200">
        <v>29</v>
      </c>
      <c r="D33" s="201"/>
      <c r="E33" s="201" t="s">
        <v>3776</v>
      </c>
      <c r="F33" s="208">
        <f>COUNTIFS(Table1[(जिस फायर स्टेशन क्षेत्रार्न्तागत अग्निकाण्ड हुआ हो)],Sheet2!E33,Table1[अग्निकाण्ड का दिनांक],"&gt;="&amp;DATE(2024,1,1), Table1[अग्निकाण्ड का दिनांक],"&lt;="&amp;EOMONTH(DATE(2024,1,1),0))</f>
        <v>0</v>
      </c>
      <c r="G33" s="202">
        <v>5</v>
      </c>
      <c r="H33" s="208">
        <f>COUNTIFS(Table1[(जिस फायर स्टेशन क्षेत्रार्न्तागत अग्निकाण्ड हुआ हो)],Sheet2!E33,Table1[अग्निकाण्ड का दिनांक],"&gt;="&amp;DATE(2024,2,1), Table1[अग्निकाण्ड का दिनांक],"&lt;="&amp;EOMONTH(DATE(2024,2,1),0))</f>
        <v>0</v>
      </c>
      <c r="I33" s="202">
        <v>10</v>
      </c>
      <c r="J33" s="208">
        <f>COUNTIFS(Table1[(जिस फायर स्टेशन क्षेत्रार्न्तागत अग्निकाण्ड हुआ हो)],Sheet2!E33,Table1[अग्निकाण्ड का दिनांक],"&gt;="&amp;DATE(2024,3,1), Table1[अग्निकाण्ड का दिनांक],"&lt;="&amp;EOMONTH(DATE(2024,3,1),0))</f>
        <v>0</v>
      </c>
      <c r="K33" s="202">
        <v>3</v>
      </c>
      <c r="L33" s="208">
        <f>COUNTIFS(Table1[(जिस फायर स्टेशन क्षेत्रार्न्तागत अग्निकाण्ड हुआ हो)],Sheet2!E33,Table1[अग्निकाण्ड का दिनांक],"&gt;="&amp;DATE(2024,4,1), Table1[अग्निकाण्ड का दिनांक],"&lt;="&amp;EOMONTH(DATE(2024,4,1),0))</f>
        <v>0</v>
      </c>
      <c r="M33" s="202">
        <v>44</v>
      </c>
      <c r="N33" s="208">
        <f>COUNTIFS(Table1[(जिस फायर स्टेशन क्षेत्रार्न्तागत अग्निकाण्ड हुआ हो)],Sheet2!E33,Table1[अग्निकाण्ड का दिनांक],"&gt;="&amp;DATE(2024,5,1), Table1[अग्निकाण्ड का दिनांक],"&lt;="&amp;EOMONTH(DATE(2024,5,1),0))</f>
        <v>0</v>
      </c>
      <c r="O33" s="202">
        <v>21</v>
      </c>
      <c r="P33" s="208">
        <f>COUNTIFS(Table1[(जिस फायर स्टेशन क्षेत्रार्न्तागत अग्निकाण्ड हुआ हो)],Sheet2!E33,Table1[अग्निकाण्ड का दिनांक],"&gt;="&amp;DATE(2024,6,1), Table1[अग्निकाण्ड का दिनांक],"&lt;="&amp;EOMONTH(DATE(2024,6,1),0))</f>
        <v>12</v>
      </c>
      <c r="Q33" s="202">
        <v>14</v>
      </c>
      <c r="R33" s="208">
        <f>COUNTIFS(Table1[(जिस फायर स्टेशन क्षेत्रार्न्तागत अग्निकाण्ड हुआ हो)],Sheet2!E33,Table1[अग्निकाण्ड का दिनांक],"&gt;="&amp;DATE(2024,7,1), Table1[अग्निकाण्ड का दिनांक],"&lt;="&amp;EOMONTH(DATE(2024,7,1),0))</f>
        <v>0</v>
      </c>
      <c r="S33" s="202">
        <v>6</v>
      </c>
      <c r="T33" s="208">
        <f>COUNTIFS(Table1[(जिस फायर स्टेशन क्षेत्रार्न्तागत अग्निकाण्ड हुआ हो)],Sheet2!E33,Table1[अग्निकाण्ड का दिनांक],"&gt;="&amp;DATE(2024,8,1), Table1[अग्निकाण्ड का दिनांक],"&lt;="&amp;EOMONTH(DATE(2024,8,1),0))</f>
        <v>0</v>
      </c>
      <c r="U33" s="202">
        <v>7</v>
      </c>
      <c r="V33" s="208">
        <f>COUNTIFS(Table1[(जिस फायर स्टेशन क्षेत्रार्न्तागत अग्निकाण्ड हुआ हो)],Sheet2!E33,Table1[अग्निकाण्ड का दिनांक],"&gt;="&amp;DATE(2024,9,1), Table1[अग्निकाण्ड का दिनांक],"&lt;="&amp;EOMONTH(DATE(2024,9,1),0))</f>
        <v>0</v>
      </c>
      <c r="W33" s="202">
        <v>1</v>
      </c>
      <c r="X33" s="208">
        <f>COUNTIFS(Table1[(जिस फायर स्टेशन क्षेत्रार्न्तागत अग्निकाण्ड हुआ हो)],Sheet2!E33,Table1[अग्निकाण्ड का दिनांक],"&gt;="&amp;DATE(2024,10,1), Table1[अग्निकाण्ड का दिनांक],"&lt;="&amp;EOMONTH(DATE(2024,10,1),0))</f>
        <v>0</v>
      </c>
      <c r="Y33" s="202">
        <v>7</v>
      </c>
      <c r="Z33" s="208">
        <f>COUNTIFS(Table1[(जिस फायर स्टेशन क्षेत्रार्न्तागत अग्निकाण्ड हुआ हो)],Sheet2!E33,Table1[अग्निकाण्ड का दिनांक],"&gt;="&amp;DATE(2024,11,1), Table1[अग्निकाण्ड का दिनांक],"&lt;="&amp;EOMONTH(DATE(2024,11,1),0))</f>
        <v>0</v>
      </c>
      <c r="AA33" s="202">
        <v>9</v>
      </c>
      <c r="AB33" s="208">
        <f>COUNTIFS(Table1[(जिस फायर स्टेशन क्षेत्रार्न्तागत अग्निकाण्ड हुआ हो)],Sheet2!E33,Table1[अग्निकाण्ड का दिनांक],"&gt;="&amp;DATE(2024,12,1), Table1[अग्निकाण्ड का दिनांक],"&lt;="&amp;EOMONTH(DATE(2024,12,1),0))</f>
        <v>0</v>
      </c>
      <c r="AC33" s="202">
        <v>6</v>
      </c>
      <c r="AD33" s="208">
        <f t="shared" si="0"/>
        <v>12</v>
      </c>
      <c r="AE33" s="199">
        <f t="shared" si="1"/>
        <v>133</v>
      </c>
    </row>
    <row r="34" spans="3:31" ht="20.100000000000001" customHeight="1" x14ac:dyDescent="0.25">
      <c r="C34" s="203">
        <v>30</v>
      </c>
      <c r="D34" s="204"/>
      <c r="E34" s="204" t="s">
        <v>307</v>
      </c>
      <c r="F34" s="208">
        <f>COUNTIFS(Table1[(जिस फायर स्टेशन क्षेत्रार्न्तागत अग्निकाण्ड हुआ हो)],Sheet2!E34,Table1[अग्निकाण्ड का दिनांक],"&gt;="&amp;DATE(2024,1,1), Table1[अग्निकाण्ड का दिनांक],"&lt;="&amp;EOMONTH(DATE(2024,1,1),0))</f>
        <v>0</v>
      </c>
      <c r="G34" s="202">
        <v>3</v>
      </c>
      <c r="H34" s="208">
        <f>COUNTIFS(Table1[(जिस फायर स्टेशन क्षेत्रार्न्तागत अग्निकाण्ड हुआ हो)],Sheet2!E34,Table1[अग्निकाण्ड का दिनांक],"&gt;="&amp;DATE(2024,2,1), Table1[अग्निकाण्ड का दिनांक],"&lt;="&amp;EOMONTH(DATE(2024,2,1),0))</f>
        <v>0</v>
      </c>
      <c r="I34" s="202">
        <v>1</v>
      </c>
      <c r="J34" s="208">
        <f>COUNTIFS(Table1[(जिस फायर स्टेशन क्षेत्रार्न्तागत अग्निकाण्ड हुआ हो)],Sheet2!E34,Table1[अग्निकाण्ड का दिनांक],"&gt;="&amp;DATE(2024,3,1), Table1[अग्निकाण्ड का दिनांक],"&lt;="&amp;EOMONTH(DATE(2024,3,1),0))</f>
        <v>0</v>
      </c>
      <c r="K34" s="202">
        <v>0</v>
      </c>
      <c r="L34" s="208">
        <f>COUNTIFS(Table1[(जिस फायर स्टेशन क्षेत्रार्न्तागत अग्निकाण्ड हुआ हो)],Sheet2!E34,Table1[अग्निकाण्ड का दिनांक],"&gt;="&amp;DATE(2024,4,1), Table1[अग्निकाण्ड का दिनांक],"&lt;="&amp;EOMONTH(DATE(2024,4,1),0))</f>
        <v>0</v>
      </c>
      <c r="M34" s="202">
        <v>61</v>
      </c>
      <c r="N34" s="208">
        <f>COUNTIFS(Table1[(जिस फायर स्टेशन क्षेत्रार्न्तागत अग्निकाण्ड हुआ हो)],Sheet2!E34,Table1[अग्निकाण्ड का दिनांक],"&gt;="&amp;DATE(2024,5,1), Table1[अग्निकाण्ड का दिनांक],"&lt;="&amp;EOMONTH(DATE(2024,5,1),0))</f>
        <v>0</v>
      </c>
      <c r="O34" s="202">
        <v>11</v>
      </c>
      <c r="P34" s="208">
        <f>COUNTIFS(Table1[(जिस फायर स्टेशन क्षेत्रार्न्तागत अग्निकाण्ड हुआ हो)],Sheet2!E34,Table1[अग्निकाण्ड का दिनांक],"&gt;="&amp;DATE(2024,6,1), Table1[अग्निकाण्ड का दिनांक],"&lt;="&amp;EOMONTH(DATE(2024,6,1),0))</f>
        <v>9</v>
      </c>
      <c r="Q34" s="202">
        <v>9</v>
      </c>
      <c r="R34" s="208">
        <f>COUNTIFS(Table1[(जिस फायर स्टेशन क्षेत्रार्न्तागत अग्निकाण्ड हुआ हो)],Sheet2!E34,Table1[अग्निकाण्ड का दिनांक],"&gt;="&amp;DATE(2024,7,1), Table1[अग्निकाण्ड का दिनांक],"&lt;="&amp;EOMONTH(DATE(2024,7,1),0))</f>
        <v>0</v>
      </c>
      <c r="S34" s="202">
        <v>2</v>
      </c>
      <c r="T34" s="208">
        <f>COUNTIFS(Table1[(जिस फायर स्टेशन क्षेत्रार्न्तागत अग्निकाण्ड हुआ हो)],Sheet2!E34,Table1[अग्निकाण्ड का दिनांक],"&gt;="&amp;DATE(2024,8,1), Table1[अग्निकाण्ड का दिनांक],"&lt;="&amp;EOMONTH(DATE(2024,8,1),0))</f>
        <v>0</v>
      </c>
      <c r="U34" s="202">
        <v>0</v>
      </c>
      <c r="V34" s="208">
        <f>COUNTIFS(Table1[(जिस फायर स्टेशन क्षेत्रार्न्तागत अग्निकाण्ड हुआ हो)],Sheet2!E34,Table1[अग्निकाण्ड का दिनांक],"&gt;="&amp;DATE(2024,9,1), Table1[अग्निकाण्ड का दिनांक],"&lt;="&amp;EOMONTH(DATE(2024,9,1),0))</f>
        <v>0</v>
      </c>
      <c r="W34" s="202">
        <v>1</v>
      </c>
      <c r="X34" s="208">
        <f>COUNTIFS(Table1[(जिस फायर स्टेशन क्षेत्रार्न्तागत अग्निकाण्ड हुआ हो)],Sheet2!E34,Table1[अग्निकाण्ड का दिनांक],"&gt;="&amp;DATE(2024,10,1), Table1[अग्निकाण्ड का दिनांक],"&lt;="&amp;EOMONTH(DATE(2024,10,1),0))</f>
        <v>0</v>
      </c>
      <c r="Y34" s="202">
        <v>9</v>
      </c>
      <c r="Z34" s="208">
        <f>COUNTIFS(Table1[(जिस फायर स्टेशन क्षेत्रार्न्तागत अग्निकाण्ड हुआ हो)],Sheet2!E34,Table1[अग्निकाण्ड का दिनांक],"&gt;="&amp;DATE(2024,11,1), Table1[अग्निकाण्ड का दिनांक],"&lt;="&amp;EOMONTH(DATE(2024,11,1),0))</f>
        <v>0</v>
      </c>
      <c r="AA34" s="202">
        <v>2</v>
      </c>
      <c r="AB34" s="208">
        <f>COUNTIFS(Table1[(जिस फायर स्टेशन क्षेत्रार्न्तागत अग्निकाण्ड हुआ हो)],Sheet2!E34,Table1[अग्निकाण्ड का दिनांक],"&gt;="&amp;DATE(2024,12,1), Table1[अग्निकाण्ड का दिनांक],"&lt;="&amp;EOMONTH(DATE(2024,12,1),0))</f>
        <v>0</v>
      </c>
      <c r="AC34" s="202">
        <v>9</v>
      </c>
      <c r="AD34" s="208">
        <f t="shared" si="0"/>
        <v>9</v>
      </c>
      <c r="AE34" s="199">
        <f t="shared" si="1"/>
        <v>108</v>
      </c>
    </row>
    <row r="35" spans="3:31" ht="20.100000000000001" customHeight="1" x14ac:dyDescent="0.25">
      <c r="C35" s="200">
        <v>31</v>
      </c>
      <c r="D35" s="201"/>
      <c r="E35" s="201" t="s">
        <v>334</v>
      </c>
      <c r="F35" s="208">
        <f>COUNTIFS(Table1[(जिस फायर स्टेशन क्षेत्रार्न्तागत अग्निकाण्ड हुआ हो)],Sheet2!E35,Table1[अग्निकाण्ड का दिनांक],"&gt;="&amp;DATE(2024,1,1), Table1[अग्निकाण्ड का दिनांक],"&lt;="&amp;EOMONTH(DATE(2024,1,1),0))</f>
        <v>0</v>
      </c>
      <c r="G35" s="202">
        <v>1</v>
      </c>
      <c r="H35" s="208">
        <f>COUNTIFS(Table1[(जिस फायर स्टेशन क्षेत्रार्न्तागत अग्निकाण्ड हुआ हो)],Sheet2!E35,Table1[अग्निकाण्ड का दिनांक],"&gt;="&amp;DATE(2024,2,1), Table1[अग्निकाण्ड का दिनांक],"&lt;="&amp;EOMONTH(DATE(2024,2,1),0))</f>
        <v>0</v>
      </c>
      <c r="I35" s="202">
        <v>4</v>
      </c>
      <c r="J35" s="208">
        <f>COUNTIFS(Table1[(जिस फायर स्टेशन क्षेत्रार्न्तागत अग्निकाण्ड हुआ हो)],Sheet2!E35,Table1[अग्निकाण्ड का दिनांक],"&gt;="&amp;DATE(2024,3,1), Table1[अग्निकाण्ड का दिनांक],"&lt;="&amp;EOMONTH(DATE(2024,3,1),0))</f>
        <v>0</v>
      </c>
      <c r="K35" s="202">
        <v>5</v>
      </c>
      <c r="L35" s="208">
        <f>COUNTIFS(Table1[(जिस फायर स्टेशन क्षेत्रार्न्तागत अग्निकाण्ड हुआ हो)],Sheet2!E35,Table1[अग्निकाण्ड का दिनांक],"&gt;="&amp;DATE(2024,4,1), Table1[अग्निकाण्ड का दिनांक],"&lt;="&amp;EOMONTH(DATE(2024,4,1),0))</f>
        <v>0</v>
      </c>
      <c r="M35" s="202">
        <v>30</v>
      </c>
      <c r="N35" s="208">
        <f>COUNTIFS(Table1[(जिस फायर स्टेशन क्षेत्रार्न्तागत अग्निकाण्ड हुआ हो)],Sheet2!E35,Table1[अग्निकाण्ड का दिनांक],"&gt;="&amp;DATE(2024,5,1), Table1[अग्निकाण्ड का दिनांक],"&lt;="&amp;EOMONTH(DATE(2024,5,1),0))</f>
        <v>0</v>
      </c>
      <c r="O35" s="202">
        <v>9</v>
      </c>
      <c r="P35" s="208">
        <f>COUNTIFS(Table1[(जिस फायर स्टेशन क्षेत्रार्न्तागत अग्निकाण्ड हुआ हो)],Sheet2!E35,Table1[अग्निकाण्ड का दिनांक],"&gt;="&amp;DATE(2024,6,1), Table1[अग्निकाण्ड का दिनांक],"&lt;="&amp;EOMONTH(DATE(2024,6,1),0))</f>
        <v>6</v>
      </c>
      <c r="Q35" s="202">
        <v>6</v>
      </c>
      <c r="R35" s="208">
        <f>COUNTIFS(Table1[(जिस फायर स्टेशन क्षेत्रार्न्तागत अग्निकाण्ड हुआ हो)],Sheet2!E35,Table1[अग्निकाण्ड का दिनांक],"&gt;="&amp;DATE(2024,7,1), Table1[अग्निकाण्ड का दिनांक],"&lt;="&amp;EOMONTH(DATE(2024,7,1),0))</f>
        <v>0</v>
      </c>
      <c r="S35" s="202">
        <v>5</v>
      </c>
      <c r="T35" s="208">
        <f>COUNTIFS(Table1[(जिस फायर स्टेशन क्षेत्रार्न्तागत अग्निकाण्ड हुआ हो)],Sheet2!E35,Table1[अग्निकाण्ड का दिनांक],"&gt;="&amp;DATE(2024,8,1), Table1[अग्निकाण्ड का दिनांक],"&lt;="&amp;EOMONTH(DATE(2024,8,1),0))</f>
        <v>0</v>
      </c>
      <c r="U35" s="202">
        <v>2</v>
      </c>
      <c r="V35" s="208">
        <f>COUNTIFS(Table1[(जिस फायर स्टेशन क्षेत्रार्न्तागत अग्निकाण्ड हुआ हो)],Sheet2!E35,Table1[अग्निकाण्ड का दिनांक],"&gt;="&amp;DATE(2024,9,1), Table1[अग्निकाण्ड का दिनांक],"&lt;="&amp;EOMONTH(DATE(2024,9,1),0))</f>
        <v>0</v>
      </c>
      <c r="W35" s="202">
        <v>0</v>
      </c>
      <c r="X35" s="208">
        <f>COUNTIFS(Table1[(जिस फायर स्टेशन क्षेत्रार्न्तागत अग्निकाण्ड हुआ हो)],Sheet2!E35,Table1[अग्निकाण्ड का दिनांक],"&gt;="&amp;DATE(2024,10,1), Table1[अग्निकाण्ड का दिनांक],"&lt;="&amp;EOMONTH(DATE(2024,10,1),0))</f>
        <v>0</v>
      </c>
      <c r="Y35" s="202">
        <v>4</v>
      </c>
      <c r="Z35" s="208">
        <f>COUNTIFS(Table1[(जिस फायर स्टेशन क्षेत्रार्न्तागत अग्निकाण्ड हुआ हो)],Sheet2!E35,Table1[अग्निकाण्ड का दिनांक],"&gt;="&amp;DATE(2024,11,1), Table1[अग्निकाण्ड का दिनांक],"&lt;="&amp;EOMONTH(DATE(2024,11,1),0))</f>
        <v>0</v>
      </c>
      <c r="AA35" s="202">
        <v>5</v>
      </c>
      <c r="AB35" s="208">
        <f>COUNTIFS(Table1[(जिस फायर स्टेशन क्षेत्रार्न्तागत अग्निकाण्ड हुआ हो)],Sheet2!E35,Table1[अग्निकाण्ड का दिनांक],"&gt;="&amp;DATE(2024,12,1), Table1[अग्निकाण्ड का दिनांक],"&lt;="&amp;EOMONTH(DATE(2024,12,1),0))</f>
        <v>0</v>
      </c>
      <c r="AC35" s="202">
        <v>5</v>
      </c>
      <c r="AD35" s="208">
        <f t="shared" si="0"/>
        <v>6</v>
      </c>
      <c r="AE35" s="199">
        <f t="shared" si="1"/>
        <v>76</v>
      </c>
    </row>
    <row r="36" spans="3:31" ht="20.100000000000001" customHeight="1" x14ac:dyDescent="0.25">
      <c r="C36" s="203">
        <v>32</v>
      </c>
      <c r="D36" s="204"/>
      <c r="E36" s="204" t="s">
        <v>306</v>
      </c>
      <c r="F36" s="208">
        <f>COUNTIFS(Table1[(जिस फायर स्टेशन क्षेत्रार्न्तागत अग्निकाण्ड हुआ हो)],Sheet2!E36,Table1[अग्निकाण्ड का दिनांक],"&gt;="&amp;DATE(2024,1,1), Table1[अग्निकाण्ड का दिनांक],"&lt;="&amp;EOMONTH(DATE(2024,1,1),0))</f>
        <v>0</v>
      </c>
      <c r="G36" s="202">
        <v>1</v>
      </c>
      <c r="H36" s="208">
        <f>COUNTIFS(Table1[(जिस फायर स्टेशन क्षेत्रार्न्तागत अग्निकाण्ड हुआ हो)],Sheet2!E36,Table1[अग्निकाण्ड का दिनांक],"&gt;="&amp;DATE(2024,2,1), Table1[अग्निकाण्ड का दिनांक],"&lt;="&amp;EOMONTH(DATE(2024,2,1),0))</f>
        <v>0</v>
      </c>
      <c r="I36" s="202">
        <v>10</v>
      </c>
      <c r="J36" s="208">
        <f>COUNTIFS(Table1[(जिस फायर स्टेशन क्षेत्रार्न्तागत अग्निकाण्ड हुआ हो)],Sheet2!E36,Table1[अग्निकाण्ड का दिनांक],"&gt;="&amp;DATE(2024,3,1), Table1[अग्निकाण्ड का दिनांक],"&lt;="&amp;EOMONTH(DATE(2024,3,1),0))</f>
        <v>0</v>
      </c>
      <c r="K36" s="202">
        <v>7</v>
      </c>
      <c r="L36" s="208">
        <f>COUNTIFS(Table1[(जिस फायर स्टेशन क्षेत्रार्न्तागत अग्निकाण्ड हुआ हो)],Sheet2!E36,Table1[अग्निकाण्ड का दिनांक],"&gt;="&amp;DATE(2024,4,1), Table1[अग्निकाण्ड का दिनांक],"&lt;="&amp;EOMONTH(DATE(2024,4,1),0))</f>
        <v>0</v>
      </c>
      <c r="M36" s="202">
        <v>44</v>
      </c>
      <c r="N36" s="208">
        <f>COUNTIFS(Table1[(जिस फायर स्टेशन क्षेत्रार्न्तागत अग्निकाण्ड हुआ हो)],Sheet2!E36,Table1[अग्निकाण्ड का दिनांक],"&gt;="&amp;DATE(2024,5,1), Table1[अग्निकाण्ड का दिनांक],"&lt;="&amp;EOMONTH(DATE(2024,5,1),0))</f>
        <v>0</v>
      </c>
      <c r="O36" s="202">
        <v>11</v>
      </c>
      <c r="P36" s="208">
        <f>COUNTIFS(Table1[(जिस फायर स्टेशन क्षेत्रार्न्तागत अग्निकाण्ड हुआ हो)],Sheet2!E36,Table1[अग्निकाण्ड का दिनांक],"&gt;="&amp;DATE(2024,6,1), Table1[अग्निकाण्ड का दिनांक],"&lt;="&amp;EOMONTH(DATE(2024,6,1),0))</f>
        <v>12</v>
      </c>
      <c r="Q36" s="202">
        <v>12</v>
      </c>
      <c r="R36" s="208">
        <f>COUNTIFS(Table1[(जिस फायर स्टेशन क्षेत्रार्न्तागत अग्निकाण्ड हुआ हो)],Sheet2!E36,Table1[अग्निकाण्ड का दिनांक],"&gt;="&amp;DATE(2024,7,1), Table1[अग्निकाण्ड का दिनांक],"&lt;="&amp;EOMONTH(DATE(2024,7,1),0))</f>
        <v>0</v>
      </c>
      <c r="S36" s="202">
        <v>1</v>
      </c>
      <c r="T36" s="208">
        <f>COUNTIFS(Table1[(जिस फायर स्टेशन क्षेत्रार्न्तागत अग्निकाण्ड हुआ हो)],Sheet2!E36,Table1[अग्निकाण्ड का दिनांक],"&gt;="&amp;DATE(2024,8,1), Table1[अग्निकाण्ड का दिनांक],"&lt;="&amp;EOMONTH(DATE(2024,8,1),0))</f>
        <v>0</v>
      </c>
      <c r="U36" s="202">
        <v>2</v>
      </c>
      <c r="V36" s="208">
        <f>COUNTIFS(Table1[(जिस फायर स्टेशन क्षेत्रार्न्तागत अग्निकाण्ड हुआ हो)],Sheet2!E36,Table1[अग्निकाण्ड का दिनांक],"&gt;="&amp;DATE(2024,9,1), Table1[अग्निकाण्ड का दिनांक],"&lt;="&amp;EOMONTH(DATE(2024,9,1),0))</f>
        <v>0</v>
      </c>
      <c r="W36" s="202">
        <v>1</v>
      </c>
      <c r="X36" s="208">
        <f>COUNTIFS(Table1[(जिस फायर स्टेशन क्षेत्रार्न्तागत अग्निकाण्ड हुआ हो)],Sheet2!E36,Table1[अग्निकाण्ड का दिनांक],"&gt;="&amp;DATE(2024,10,1), Table1[अग्निकाण्ड का दिनांक],"&lt;="&amp;EOMONTH(DATE(2024,10,1),0))</f>
        <v>0</v>
      </c>
      <c r="Y36" s="202">
        <v>8</v>
      </c>
      <c r="Z36" s="208">
        <f>COUNTIFS(Table1[(जिस फायर स्टेशन क्षेत्रार्न्तागत अग्निकाण्ड हुआ हो)],Sheet2!E36,Table1[अग्निकाण्ड का दिनांक],"&gt;="&amp;DATE(2024,11,1), Table1[अग्निकाण्ड का दिनांक],"&lt;="&amp;EOMONTH(DATE(2024,11,1),0))</f>
        <v>0</v>
      </c>
      <c r="AA36" s="202">
        <v>4</v>
      </c>
      <c r="AB36" s="208">
        <f>COUNTIFS(Table1[(जिस फायर स्टेशन क्षेत्रार्न्तागत अग्निकाण्ड हुआ हो)],Sheet2!E36,Table1[अग्निकाण्ड का दिनांक],"&gt;="&amp;DATE(2024,12,1), Table1[अग्निकाण्ड का दिनांक],"&lt;="&amp;EOMONTH(DATE(2024,12,1),0))</f>
        <v>0</v>
      </c>
      <c r="AC36" s="202">
        <v>2</v>
      </c>
      <c r="AD36" s="208">
        <f t="shared" si="0"/>
        <v>12</v>
      </c>
      <c r="AE36" s="199">
        <f t="shared" si="1"/>
        <v>103</v>
      </c>
    </row>
    <row r="37" spans="3:31" ht="20.100000000000001" customHeight="1" x14ac:dyDescent="0.25">
      <c r="C37" s="200">
        <v>33</v>
      </c>
      <c r="D37" s="201"/>
      <c r="E37" s="201" t="s">
        <v>580</v>
      </c>
      <c r="F37" s="208">
        <f>COUNTIFS(Table1[(जिस फायर स्टेशन क्षेत्रार्न्तागत अग्निकाण्ड हुआ हो)],Sheet2!E37,Table1[अग्निकाण्ड का दिनांक],"&gt;="&amp;DATE(2024,1,1), Table1[अग्निकाण्ड का दिनांक],"&lt;="&amp;EOMONTH(DATE(2024,1,1),0))</f>
        <v>0</v>
      </c>
      <c r="G37" s="202">
        <v>0</v>
      </c>
      <c r="H37" s="208">
        <f>COUNTIFS(Table1[(जिस फायर स्टेशन क्षेत्रार्न्तागत अग्निकाण्ड हुआ हो)],Sheet2!E37,Table1[अग्निकाण्ड का दिनांक],"&gt;="&amp;DATE(2024,2,1), Table1[अग्निकाण्ड का दिनांक],"&lt;="&amp;EOMONTH(DATE(2024,2,1),0))</f>
        <v>0</v>
      </c>
      <c r="I37" s="202">
        <v>4</v>
      </c>
      <c r="J37" s="208">
        <f>COUNTIFS(Table1[(जिस फायर स्टेशन क्षेत्रार्न्तागत अग्निकाण्ड हुआ हो)],Sheet2!E37,Table1[अग्निकाण्ड का दिनांक],"&gt;="&amp;DATE(2024,3,1), Table1[अग्निकाण्ड का दिनांक],"&lt;="&amp;EOMONTH(DATE(2024,3,1),0))</f>
        <v>0</v>
      </c>
      <c r="K37" s="202">
        <v>4</v>
      </c>
      <c r="L37" s="208">
        <f>COUNTIFS(Table1[(जिस फायर स्टेशन क्षेत्रार्न्तागत अग्निकाण्ड हुआ हो)],Sheet2!E37,Table1[अग्निकाण्ड का दिनांक],"&gt;="&amp;DATE(2024,4,1), Table1[अग्निकाण्ड का दिनांक],"&lt;="&amp;EOMONTH(DATE(2024,4,1),0))</f>
        <v>0</v>
      </c>
      <c r="M37" s="202">
        <v>3</v>
      </c>
      <c r="N37" s="208">
        <f>COUNTIFS(Table1[(जिस फायर स्टेशन क्षेत्रार्न्तागत अग्निकाण्ड हुआ हो)],Sheet2!E37,Table1[अग्निकाण्ड का दिनांक],"&gt;="&amp;DATE(2024,5,1), Table1[अग्निकाण्ड का दिनांक],"&lt;="&amp;EOMONTH(DATE(2024,5,1),0))</f>
        <v>0</v>
      </c>
      <c r="O37" s="202">
        <v>10</v>
      </c>
      <c r="P37" s="208">
        <f>COUNTIFS(Table1[(जिस फायर स्टेशन क्षेत्रार्न्तागत अग्निकाण्ड हुआ हो)],Sheet2!E37,Table1[अग्निकाण्ड का दिनांक],"&gt;="&amp;DATE(2024,6,1), Table1[अग्निकाण्ड का दिनांक],"&lt;="&amp;EOMONTH(DATE(2024,6,1),0))</f>
        <v>7</v>
      </c>
      <c r="Q37" s="202">
        <v>9</v>
      </c>
      <c r="R37" s="208">
        <f>COUNTIFS(Table1[(जिस फायर स्टेशन क्षेत्रार्न्तागत अग्निकाण्ड हुआ हो)],Sheet2!E37,Table1[अग्निकाण्ड का दिनांक],"&gt;="&amp;DATE(2024,7,1), Table1[अग्निकाण्ड का दिनांक],"&lt;="&amp;EOMONTH(DATE(2024,7,1),0))</f>
        <v>0</v>
      </c>
      <c r="S37" s="202">
        <v>0</v>
      </c>
      <c r="T37" s="208">
        <f>COUNTIFS(Table1[(जिस फायर स्टेशन क्षेत्रार्न्तागत अग्निकाण्ड हुआ हो)],Sheet2!E37,Table1[अग्निकाण्ड का दिनांक],"&gt;="&amp;DATE(2024,8,1), Table1[अग्निकाण्ड का दिनांक],"&lt;="&amp;EOMONTH(DATE(2024,8,1),0))</f>
        <v>0</v>
      </c>
      <c r="U37" s="202">
        <v>2</v>
      </c>
      <c r="V37" s="208">
        <f>COUNTIFS(Table1[(जिस फायर स्टेशन क्षेत्रार्न्तागत अग्निकाण्ड हुआ हो)],Sheet2!E37,Table1[अग्निकाण्ड का दिनांक],"&gt;="&amp;DATE(2024,9,1), Table1[अग्निकाण्ड का दिनांक],"&lt;="&amp;EOMONTH(DATE(2024,9,1),0))</f>
        <v>0</v>
      </c>
      <c r="W37" s="202">
        <v>0</v>
      </c>
      <c r="X37" s="208">
        <f>COUNTIFS(Table1[(जिस फायर स्टेशन क्षेत्रार्न्तागत अग्निकाण्ड हुआ हो)],Sheet2!E37,Table1[अग्निकाण्ड का दिनांक],"&gt;="&amp;DATE(2024,10,1), Table1[अग्निकाण्ड का दिनांक],"&lt;="&amp;EOMONTH(DATE(2024,10,1),0))</f>
        <v>0</v>
      </c>
      <c r="Y37" s="202">
        <v>1</v>
      </c>
      <c r="Z37" s="208">
        <f>COUNTIFS(Table1[(जिस फायर स्टेशन क्षेत्रार्न्तागत अग्निकाण्ड हुआ हो)],Sheet2!E37,Table1[अग्निकाण्ड का दिनांक],"&gt;="&amp;DATE(2024,11,1), Table1[अग्निकाण्ड का दिनांक],"&lt;="&amp;EOMONTH(DATE(2024,11,1),0))</f>
        <v>0</v>
      </c>
      <c r="AA37" s="202">
        <v>0</v>
      </c>
      <c r="AB37" s="208">
        <f>COUNTIFS(Table1[(जिस फायर स्टेशन क्षेत्रार्न्तागत अग्निकाण्ड हुआ हो)],Sheet2!E37,Table1[अग्निकाण्ड का दिनांक],"&gt;="&amp;DATE(2024,12,1), Table1[अग्निकाण्ड का दिनांक],"&lt;="&amp;EOMONTH(DATE(2024,12,1),0))</f>
        <v>0</v>
      </c>
      <c r="AC37" s="202">
        <v>9</v>
      </c>
      <c r="AD37" s="208">
        <f t="shared" si="0"/>
        <v>7</v>
      </c>
      <c r="AE37" s="199">
        <f t="shared" si="1"/>
        <v>42</v>
      </c>
    </row>
    <row r="38" spans="3:31" ht="20.100000000000001" customHeight="1" x14ac:dyDescent="0.25">
      <c r="C38" s="203">
        <v>34</v>
      </c>
      <c r="D38" s="204"/>
      <c r="E38" s="204" t="s">
        <v>3721</v>
      </c>
      <c r="F38" s="208">
        <f>COUNTIFS(Table1[(जिस फायर स्टेशन क्षेत्रार्न्तागत अग्निकाण्ड हुआ हो)],Sheet2!E38,Table1[अग्निकाण्ड का दिनांक],"&gt;="&amp;DATE(2024,1,1), Table1[अग्निकाण्ड का दिनांक],"&lt;="&amp;EOMONTH(DATE(2024,1,1),0))</f>
        <v>0</v>
      </c>
      <c r="G38" s="202">
        <v>0</v>
      </c>
      <c r="H38" s="208">
        <f>COUNTIFS(Table1[(जिस फायर स्टेशन क्षेत्रार्न्तागत अग्निकाण्ड हुआ हो)],Sheet2!E38,Table1[अग्निकाण्ड का दिनांक],"&gt;="&amp;DATE(2024,2,1), Table1[अग्निकाण्ड का दिनांक],"&lt;="&amp;EOMONTH(DATE(2024,2,1),0))</f>
        <v>0</v>
      </c>
      <c r="I38" s="202">
        <v>1</v>
      </c>
      <c r="J38" s="208">
        <f>COUNTIFS(Table1[(जिस फायर स्टेशन क्षेत्रार्न्तागत अग्निकाण्ड हुआ हो)],Sheet2!E38,Table1[अग्निकाण्ड का दिनांक],"&gt;="&amp;DATE(2024,3,1), Table1[अग्निकाण्ड का दिनांक],"&lt;="&amp;EOMONTH(DATE(2024,3,1),0))</f>
        <v>0</v>
      </c>
      <c r="K38" s="202">
        <v>6</v>
      </c>
      <c r="L38" s="208">
        <f>COUNTIFS(Table1[(जिस फायर स्टेशन क्षेत्रार्न्तागत अग्निकाण्ड हुआ हो)],Sheet2!E38,Table1[अग्निकाण्ड का दिनांक],"&gt;="&amp;DATE(2024,4,1), Table1[अग्निकाण्ड का दिनांक],"&lt;="&amp;EOMONTH(DATE(2024,4,1),0))</f>
        <v>0</v>
      </c>
      <c r="M38" s="202">
        <v>14</v>
      </c>
      <c r="N38" s="208">
        <f>COUNTIFS(Table1[(जिस फायर स्टेशन क्षेत्रार्न्तागत अग्निकाण्ड हुआ हो)],Sheet2!E38,Table1[अग्निकाण्ड का दिनांक],"&gt;="&amp;DATE(2024,5,1), Table1[अग्निकाण्ड का दिनांक],"&lt;="&amp;EOMONTH(DATE(2024,5,1),0))</f>
        <v>0</v>
      </c>
      <c r="O38" s="202">
        <v>15</v>
      </c>
      <c r="P38" s="208">
        <f>COUNTIFS(Table1[(जिस फायर स्टेशन क्षेत्रार्न्तागत अग्निकाण्ड हुआ हो)],Sheet2!E38,Table1[अग्निकाण्ड का दिनांक],"&gt;="&amp;DATE(2024,6,1), Table1[अग्निकाण्ड का दिनांक],"&lt;="&amp;EOMONTH(DATE(2024,6,1),0))</f>
        <v>1</v>
      </c>
      <c r="Q38" s="202">
        <v>7</v>
      </c>
      <c r="R38" s="208">
        <f>COUNTIFS(Table1[(जिस फायर स्टेशन क्षेत्रार्न्तागत अग्निकाण्ड हुआ हो)],Sheet2!E38,Table1[अग्निकाण्ड का दिनांक],"&gt;="&amp;DATE(2024,7,1), Table1[अग्निकाण्ड का दिनांक],"&lt;="&amp;EOMONTH(DATE(2024,7,1),0))</f>
        <v>0</v>
      </c>
      <c r="S38" s="202">
        <v>1</v>
      </c>
      <c r="T38" s="208">
        <f>COUNTIFS(Table1[(जिस फायर स्टेशन क्षेत्रार्न्तागत अग्निकाण्ड हुआ हो)],Sheet2!E38,Table1[अग्निकाण्ड का दिनांक],"&gt;="&amp;DATE(2024,8,1), Table1[अग्निकाण्ड का दिनांक],"&lt;="&amp;EOMONTH(DATE(2024,8,1),0))</f>
        <v>0</v>
      </c>
      <c r="U38" s="202">
        <v>0</v>
      </c>
      <c r="V38" s="208">
        <f>COUNTIFS(Table1[(जिस फायर स्टेशन क्षेत्रार्न्तागत अग्निकाण्ड हुआ हो)],Sheet2!E38,Table1[अग्निकाण्ड का दिनांक],"&gt;="&amp;DATE(2024,9,1), Table1[अग्निकाण्ड का दिनांक],"&lt;="&amp;EOMONTH(DATE(2024,9,1),0))</f>
        <v>0</v>
      </c>
      <c r="W38" s="202">
        <v>0</v>
      </c>
      <c r="X38" s="208">
        <f>COUNTIFS(Table1[(जिस फायर स्टेशन क्षेत्रार्न्तागत अग्निकाण्ड हुआ हो)],Sheet2!E38,Table1[अग्निकाण्ड का दिनांक],"&gt;="&amp;DATE(2024,10,1), Table1[अग्निकाण्ड का दिनांक],"&lt;="&amp;EOMONTH(DATE(2024,10,1),0))</f>
        <v>0</v>
      </c>
      <c r="Y38" s="202">
        <v>2</v>
      </c>
      <c r="Z38" s="208">
        <f>COUNTIFS(Table1[(जिस फायर स्टेशन क्षेत्रार्न्तागत अग्निकाण्ड हुआ हो)],Sheet2!E38,Table1[अग्निकाण्ड का दिनांक],"&gt;="&amp;DATE(2024,11,1), Table1[अग्निकाण्ड का दिनांक],"&lt;="&amp;EOMONTH(DATE(2024,11,1),0))</f>
        <v>0</v>
      </c>
      <c r="AA38" s="202">
        <v>2</v>
      </c>
      <c r="AB38" s="208">
        <f>COUNTIFS(Table1[(जिस फायर स्टेशन क्षेत्रार्न्तागत अग्निकाण्ड हुआ हो)],Sheet2!E38,Table1[अग्निकाण्ड का दिनांक],"&gt;="&amp;DATE(2024,12,1), Table1[अग्निकाण्ड का दिनांक],"&lt;="&amp;EOMONTH(DATE(2024,12,1),0))</f>
        <v>0</v>
      </c>
      <c r="AC38" s="202">
        <v>2</v>
      </c>
      <c r="AD38" s="208">
        <f t="shared" si="0"/>
        <v>1</v>
      </c>
      <c r="AE38" s="199">
        <f t="shared" si="1"/>
        <v>50</v>
      </c>
    </row>
    <row r="39" spans="3:31" ht="20.100000000000001" customHeight="1" x14ac:dyDescent="0.25">
      <c r="C39" s="200">
        <v>35</v>
      </c>
      <c r="D39" s="201"/>
      <c r="E39" s="201" t="s">
        <v>4111</v>
      </c>
      <c r="F39" s="208">
        <f>COUNTIFS(Table1[(जिस फायर स्टेशन क्षेत्रार्न्तागत अग्निकाण्ड हुआ हो)],Sheet2!E39,Table1[अग्निकाण्ड का दिनांक],"&gt;="&amp;DATE(2024,1,1), Table1[अग्निकाण्ड का दिनांक],"&lt;="&amp;EOMONTH(DATE(2024,1,1),0))</f>
        <v>0</v>
      </c>
      <c r="G39" s="202">
        <v>0</v>
      </c>
      <c r="H39" s="208">
        <f>COUNTIFS(Table1[(जिस फायर स्टेशन क्षेत्रार्न्तागत अग्निकाण्ड हुआ हो)],Sheet2!E39,Table1[अग्निकाण्ड का दिनांक],"&gt;="&amp;DATE(2024,2,1), Table1[अग्निकाण्ड का दिनांक],"&lt;="&amp;EOMONTH(DATE(2024,2,1),0))</f>
        <v>0</v>
      </c>
      <c r="I39" s="202">
        <v>4</v>
      </c>
      <c r="J39" s="208">
        <f>COUNTIFS(Table1[(जिस फायर स्टेशन क्षेत्रार्न्तागत अग्निकाण्ड हुआ हो)],Sheet2!E39,Table1[अग्निकाण्ड का दिनांक],"&gt;="&amp;DATE(2024,3,1), Table1[अग्निकाण्ड का दिनांक],"&lt;="&amp;EOMONTH(DATE(2024,3,1),0))</f>
        <v>0</v>
      </c>
      <c r="K39" s="202">
        <v>2</v>
      </c>
      <c r="L39" s="208">
        <f>COUNTIFS(Table1[(जिस फायर स्टेशन क्षेत्रार्न्तागत अग्निकाण्ड हुआ हो)],Sheet2!E39,Table1[अग्निकाण्ड का दिनांक],"&gt;="&amp;DATE(2024,4,1), Table1[अग्निकाण्ड का दिनांक],"&lt;="&amp;EOMONTH(DATE(2024,4,1),0))</f>
        <v>0</v>
      </c>
      <c r="M39" s="202">
        <v>9</v>
      </c>
      <c r="N39" s="208">
        <f>COUNTIFS(Table1[(जिस फायर स्टेशन क्षेत्रार्न्तागत अग्निकाण्ड हुआ हो)],Sheet2!E39,Table1[अग्निकाण्ड का दिनांक],"&gt;="&amp;DATE(2024,5,1), Table1[अग्निकाण्ड का दिनांक],"&lt;="&amp;EOMONTH(DATE(2024,5,1),0))</f>
        <v>0</v>
      </c>
      <c r="O39" s="202">
        <v>12</v>
      </c>
      <c r="P39" s="208">
        <f>COUNTIFS(Table1[(जिस फायर स्टेशन क्षेत्रार्न्तागत अग्निकाण्ड हुआ हो)],Sheet2!E39,Table1[अग्निकाण्ड का दिनांक],"&gt;="&amp;DATE(2024,6,1), Table1[अग्निकाण्ड का दिनांक],"&lt;="&amp;EOMONTH(DATE(2024,6,1),0))</f>
        <v>4</v>
      </c>
      <c r="Q39" s="202">
        <v>6</v>
      </c>
      <c r="R39" s="208">
        <f>COUNTIFS(Table1[(जिस फायर स्टेशन क्षेत्रार्न्तागत अग्निकाण्ड हुआ हो)],Sheet2!E39,Table1[अग्निकाण्ड का दिनांक],"&gt;="&amp;DATE(2024,7,1), Table1[अग्निकाण्ड का दिनांक],"&lt;="&amp;EOMONTH(DATE(2024,7,1),0))</f>
        <v>0</v>
      </c>
      <c r="S39" s="202">
        <v>0</v>
      </c>
      <c r="T39" s="208">
        <f>COUNTIFS(Table1[(जिस फायर स्टेशन क्षेत्रार्न्तागत अग्निकाण्ड हुआ हो)],Sheet2!E39,Table1[अग्निकाण्ड का दिनांक],"&gt;="&amp;DATE(2024,8,1), Table1[अग्निकाण्ड का दिनांक],"&lt;="&amp;EOMONTH(DATE(2024,8,1),0))</f>
        <v>0</v>
      </c>
      <c r="U39" s="202">
        <v>1</v>
      </c>
      <c r="V39" s="208">
        <f>COUNTIFS(Table1[(जिस फायर स्टेशन क्षेत्रार्न्तागत अग्निकाण्ड हुआ हो)],Sheet2!E39,Table1[अग्निकाण्ड का दिनांक],"&gt;="&amp;DATE(2024,9,1), Table1[अग्निकाण्ड का दिनांक],"&lt;="&amp;EOMONTH(DATE(2024,9,1),0))</f>
        <v>0</v>
      </c>
      <c r="W39" s="202">
        <v>1</v>
      </c>
      <c r="X39" s="208">
        <f>COUNTIFS(Table1[(जिस फायर स्टेशन क्षेत्रार्न्तागत अग्निकाण्ड हुआ हो)],Sheet2!E39,Table1[अग्निकाण्ड का दिनांक],"&gt;="&amp;DATE(2024,10,1), Table1[अग्निकाण्ड का दिनांक],"&lt;="&amp;EOMONTH(DATE(2024,10,1),0))</f>
        <v>0</v>
      </c>
      <c r="Y39" s="202">
        <v>1</v>
      </c>
      <c r="Z39" s="208">
        <f>COUNTIFS(Table1[(जिस फायर स्टेशन क्षेत्रार्न्तागत अग्निकाण्ड हुआ हो)],Sheet2!E39,Table1[अग्निकाण्ड का दिनांक],"&gt;="&amp;DATE(2024,11,1), Table1[अग्निकाण्ड का दिनांक],"&lt;="&amp;EOMONTH(DATE(2024,11,1),0))</f>
        <v>0</v>
      </c>
      <c r="AA39" s="202">
        <v>4</v>
      </c>
      <c r="AB39" s="208">
        <f>COUNTIFS(Table1[(जिस फायर स्टेशन क्षेत्रार्न्तागत अग्निकाण्ड हुआ हो)],Sheet2!E39,Table1[अग्निकाण्ड का दिनांक],"&gt;="&amp;DATE(2024,12,1), Table1[अग्निकाण्ड का दिनांक],"&lt;="&amp;EOMONTH(DATE(2024,12,1),0))</f>
        <v>0</v>
      </c>
      <c r="AC39" s="202">
        <v>2</v>
      </c>
      <c r="AD39" s="208">
        <f t="shared" si="0"/>
        <v>4</v>
      </c>
      <c r="AE39" s="199">
        <f t="shared" si="1"/>
        <v>42</v>
      </c>
    </row>
    <row r="40" spans="3:31" ht="20.100000000000001" customHeight="1" x14ac:dyDescent="0.25">
      <c r="C40" s="203">
        <v>36</v>
      </c>
      <c r="D40" s="204" t="s">
        <v>5709</v>
      </c>
      <c r="E40" s="204" t="s">
        <v>4827</v>
      </c>
      <c r="F40" s="208">
        <f>COUNTIFS(Table1[(जिस फायर स्टेशन क्षेत्रार्न्तागत अग्निकाण्ड हुआ हो)],Sheet2!E40,Table1[अग्निकाण्ड का दिनांक],"&gt;="&amp;DATE(2024,1,1), Table1[अग्निकाण्ड का दिनांक],"&lt;="&amp;EOMONTH(DATE(2024,1,1),0))</f>
        <v>0</v>
      </c>
      <c r="G40" s="202">
        <v>7</v>
      </c>
      <c r="H40" s="208">
        <f>COUNTIFS(Table1[(जिस फायर स्टेशन क्षेत्रार्न्तागत अग्निकाण्ड हुआ हो)],Sheet2!E40,Table1[अग्निकाण्ड का दिनांक],"&gt;="&amp;DATE(2024,2,1), Table1[अग्निकाण्ड का दिनांक],"&lt;="&amp;EOMONTH(DATE(2024,2,1),0))</f>
        <v>0</v>
      </c>
      <c r="I40" s="202">
        <v>2</v>
      </c>
      <c r="J40" s="208">
        <f>COUNTIFS(Table1[(जिस फायर स्टेशन क्षेत्रार्न्तागत अग्निकाण्ड हुआ हो)],Sheet2!E40,Table1[अग्निकाण्ड का दिनांक],"&gt;="&amp;DATE(2024,3,1), Table1[अग्निकाण्ड का दिनांक],"&lt;="&amp;EOMONTH(DATE(2024,3,1),0))</f>
        <v>0</v>
      </c>
      <c r="K40" s="202">
        <v>5</v>
      </c>
      <c r="L40" s="208">
        <f>COUNTIFS(Table1[(जिस फायर स्टेशन क्षेत्रार्न्तागत अग्निकाण्ड हुआ हो)],Sheet2!E40,Table1[अग्निकाण्ड का दिनांक],"&gt;="&amp;DATE(2024,4,1), Table1[अग्निकाण्ड का दिनांक],"&lt;="&amp;EOMONTH(DATE(2024,4,1),0))</f>
        <v>0</v>
      </c>
      <c r="M40" s="202">
        <v>76</v>
      </c>
      <c r="N40" s="208">
        <f>COUNTIFS(Table1[(जिस फायर स्टेशन क्षेत्रार्न्तागत अग्निकाण्ड हुआ हो)],Sheet2!E40,Table1[अग्निकाण्ड का दिनांक],"&gt;="&amp;DATE(2024,5,1), Table1[अग्निकाण्ड का दिनांक],"&lt;="&amp;EOMONTH(DATE(2024,5,1),0))</f>
        <v>0</v>
      </c>
      <c r="O40" s="202">
        <v>56</v>
      </c>
      <c r="P40" s="208">
        <f>COUNTIFS(Table1[(जिस फायर स्टेशन क्षेत्रार्न्तागत अग्निकाण्ड हुआ हो)],Sheet2!E40,Table1[अग्निकाण्ड का दिनांक],"&gt;="&amp;DATE(2024,6,1), Table1[अग्निकाण्ड का दिनांक],"&lt;="&amp;EOMONTH(DATE(2024,6,1),0))</f>
        <v>0</v>
      </c>
      <c r="Q40" s="202">
        <v>28</v>
      </c>
      <c r="R40" s="208">
        <f>COUNTIFS(Table1[(जिस फायर स्टेशन क्षेत्रार्न्तागत अग्निकाण्ड हुआ हो)],Sheet2!E40,Table1[अग्निकाण्ड का दिनांक],"&gt;="&amp;DATE(2024,7,1), Table1[अग्निकाण्ड का दिनांक],"&lt;="&amp;EOMONTH(DATE(2024,7,1),0))</f>
        <v>0</v>
      </c>
      <c r="S40" s="202">
        <v>0</v>
      </c>
      <c r="T40" s="208">
        <f>COUNTIFS(Table1[(जिस फायर स्टेशन क्षेत्रार्न्तागत अग्निकाण्ड हुआ हो)],Sheet2!E40,Table1[अग्निकाण्ड का दिनांक],"&gt;="&amp;DATE(2024,8,1), Table1[अग्निकाण्ड का दिनांक],"&lt;="&amp;EOMONTH(DATE(2024,8,1),0))</f>
        <v>0</v>
      </c>
      <c r="U40" s="202">
        <v>0</v>
      </c>
      <c r="V40" s="208">
        <f>COUNTIFS(Table1[(जिस फायर स्टेशन क्षेत्रार्न्तागत अग्निकाण्ड हुआ हो)],Sheet2!E40,Table1[अग्निकाण्ड का दिनांक],"&gt;="&amp;DATE(2024,9,1), Table1[अग्निकाण्ड का दिनांक],"&lt;="&amp;EOMONTH(DATE(2024,9,1),0))</f>
        <v>0</v>
      </c>
      <c r="W40" s="202">
        <v>0</v>
      </c>
      <c r="X40" s="208">
        <f>COUNTIFS(Table1[(जिस फायर स्टेशन क्षेत्रार्न्तागत अग्निकाण्ड हुआ हो)],Sheet2!E40,Table1[अग्निकाण्ड का दिनांक],"&gt;="&amp;DATE(2024,10,1), Table1[अग्निकाण्ड का दिनांक],"&lt;="&amp;EOMONTH(DATE(2024,10,1),0))</f>
        <v>0</v>
      </c>
      <c r="Y40" s="202">
        <v>1</v>
      </c>
      <c r="Z40" s="208">
        <f>COUNTIFS(Table1[(जिस फायर स्टेशन क्षेत्रार्न्तागत अग्निकाण्ड हुआ हो)],Sheet2!E40,Table1[अग्निकाण्ड का दिनांक],"&gt;="&amp;DATE(2024,11,1), Table1[अग्निकाण्ड का दिनांक],"&lt;="&amp;EOMONTH(DATE(2024,11,1),0))</f>
        <v>0</v>
      </c>
      <c r="AA40" s="202">
        <v>4</v>
      </c>
      <c r="AB40" s="208">
        <f>COUNTIFS(Table1[(जिस फायर स्टेशन क्षेत्रार्न्तागत अग्निकाण्ड हुआ हो)],Sheet2!E40,Table1[अग्निकाण्ड का दिनांक],"&gt;="&amp;DATE(2024,12,1), Table1[अग्निकाण्ड का दिनांक],"&lt;="&amp;EOMONTH(DATE(2024,12,1),0))</f>
        <v>0</v>
      </c>
      <c r="AC40" s="202">
        <v>3</v>
      </c>
      <c r="AD40" s="208">
        <f t="shared" si="0"/>
        <v>0</v>
      </c>
      <c r="AE40" s="199">
        <f t="shared" si="1"/>
        <v>182</v>
      </c>
    </row>
    <row r="41" spans="3:31" ht="20.100000000000001" customHeight="1" x14ac:dyDescent="0.25">
      <c r="C41" s="200">
        <v>37</v>
      </c>
      <c r="D41" s="201"/>
      <c r="E41" s="201" t="s">
        <v>4967</v>
      </c>
      <c r="F41" s="208">
        <f>COUNTIFS(Table1[(जिस फायर स्टेशन क्षेत्रार्न्तागत अग्निकाण्ड हुआ हो)],Sheet2!E41,Table1[अग्निकाण्ड का दिनांक],"&gt;="&amp;DATE(2024,1,1), Table1[अग्निकाण्ड का दिनांक],"&lt;="&amp;EOMONTH(DATE(2024,1,1),0))</f>
        <v>0</v>
      </c>
      <c r="G41" s="202">
        <v>12</v>
      </c>
      <c r="H41" s="208">
        <f>COUNTIFS(Table1[(जिस फायर स्टेशन क्षेत्रार्न्तागत अग्निकाण्ड हुआ हो)],Sheet2!E41,Table1[अग्निकाण्ड का दिनांक],"&gt;="&amp;DATE(2024,2,1), Table1[अग्निकाण्ड का दिनांक],"&lt;="&amp;EOMONTH(DATE(2024,2,1),0))</f>
        <v>0</v>
      </c>
      <c r="I41" s="202">
        <v>21</v>
      </c>
      <c r="J41" s="208">
        <f>COUNTIFS(Table1[(जिस फायर स्टेशन क्षेत्रार्न्तागत अग्निकाण्ड हुआ हो)],Sheet2!E41,Table1[अग्निकाण्ड का दिनांक],"&gt;="&amp;DATE(2024,3,1), Table1[अग्निकाण्ड का दिनांक],"&lt;="&amp;EOMONTH(DATE(2024,3,1),0))</f>
        <v>0</v>
      </c>
      <c r="K41" s="202">
        <v>11</v>
      </c>
      <c r="L41" s="208">
        <f>COUNTIFS(Table1[(जिस फायर स्टेशन क्षेत्रार्न्तागत अग्निकाण्ड हुआ हो)],Sheet2!E41,Table1[अग्निकाण्ड का दिनांक],"&gt;="&amp;DATE(2024,4,1), Table1[अग्निकाण्ड का दिनांक],"&lt;="&amp;EOMONTH(DATE(2024,4,1),0))</f>
        <v>0</v>
      </c>
      <c r="M41" s="202">
        <v>34</v>
      </c>
      <c r="N41" s="208">
        <f>COUNTIFS(Table1[(जिस फायर स्टेशन क्षेत्रार्न्तागत अग्निकाण्ड हुआ हो)],Sheet2!E41,Table1[अग्निकाण्ड का दिनांक],"&gt;="&amp;DATE(2024,5,1), Table1[अग्निकाण्ड का दिनांक],"&lt;="&amp;EOMONTH(DATE(2024,5,1),0))</f>
        <v>0</v>
      </c>
      <c r="O41" s="202">
        <v>43</v>
      </c>
      <c r="P41" s="208">
        <f>COUNTIFS(Table1[(जिस फायर स्टेशन क्षेत्रार्न्तागत अग्निकाण्ड हुआ हो)],Sheet2!E41,Table1[अग्निकाण्ड का दिनांक],"&gt;="&amp;DATE(2024,6,1), Table1[अग्निकाण्ड का दिनांक],"&lt;="&amp;EOMONTH(DATE(2024,6,1),0))</f>
        <v>0</v>
      </c>
      <c r="Q41" s="202">
        <v>31</v>
      </c>
      <c r="R41" s="208">
        <f>COUNTIFS(Table1[(जिस फायर स्टेशन क्षेत्रार्न्तागत अग्निकाण्ड हुआ हो)],Sheet2!E41,Table1[अग्निकाण्ड का दिनांक],"&gt;="&amp;DATE(2024,7,1), Table1[अग्निकाण्ड का दिनांक],"&lt;="&amp;EOMONTH(DATE(2024,7,1),0))</f>
        <v>0</v>
      </c>
      <c r="S41" s="202">
        <v>10</v>
      </c>
      <c r="T41" s="208">
        <f>COUNTIFS(Table1[(जिस फायर स्टेशन क्षेत्रार्न्तागत अग्निकाण्ड हुआ हो)],Sheet2!E41,Table1[अग्निकाण्ड का दिनांक],"&gt;="&amp;DATE(2024,8,1), Table1[अग्निकाण्ड का दिनांक],"&lt;="&amp;EOMONTH(DATE(2024,8,1),0))</f>
        <v>0</v>
      </c>
      <c r="U41" s="202">
        <v>6</v>
      </c>
      <c r="V41" s="208">
        <f>COUNTIFS(Table1[(जिस फायर स्टेशन क्षेत्रार्न्तागत अग्निकाण्ड हुआ हो)],Sheet2!E41,Table1[अग्निकाण्ड का दिनांक],"&gt;="&amp;DATE(2024,9,1), Table1[अग्निकाण्ड का दिनांक],"&lt;="&amp;EOMONTH(DATE(2024,9,1),0))</f>
        <v>0</v>
      </c>
      <c r="W41" s="202">
        <v>9</v>
      </c>
      <c r="X41" s="208">
        <f>COUNTIFS(Table1[(जिस फायर स्टेशन क्षेत्रार्न्तागत अग्निकाण्ड हुआ हो)],Sheet2!E41,Table1[अग्निकाण्ड का दिनांक],"&gt;="&amp;DATE(2024,10,1), Table1[अग्निकाण्ड का दिनांक],"&lt;="&amp;EOMONTH(DATE(2024,10,1),0))</f>
        <v>0</v>
      </c>
      <c r="Y41" s="202">
        <v>10</v>
      </c>
      <c r="Z41" s="208">
        <f>COUNTIFS(Table1[(जिस फायर स्टेशन क्षेत्रार्न्तागत अग्निकाण्ड हुआ हो)],Sheet2!E41,Table1[अग्निकाण्ड का दिनांक],"&gt;="&amp;DATE(2024,11,1), Table1[अग्निकाण्ड का दिनांक],"&lt;="&amp;EOMONTH(DATE(2024,11,1),0))</f>
        <v>0</v>
      </c>
      <c r="AA41" s="202">
        <v>11</v>
      </c>
      <c r="AB41" s="208">
        <f>COUNTIFS(Table1[(जिस फायर स्टेशन क्षेत्रार्न्तागत अग्निकाण्ड हुआ हो)],Sheet2!E41,Table1[अग्निकाण्ड का दिनांक],"&gt;="&amp;DATE(2024,12,1), Table1[अग्निकाण्ड का दिनांक],"&lt;="&amp;EOMONTH(DATE(2024,12,1),0))</f>
        <v>0</v>
      </c>
      <c r="AC41" s="202">
        <v>14</v>
      </c>
      <c r="AD41" s="208">
        <f t="shared" si="0"/>
        <v>0</v>
      </c>
      <c r="AE41" s="199">
        <f t="shared" si="1"/>
        <v>212</v>
      </c>
    </row>
    <row r="42" spans="3:31" ht="20.100000000000001" customHeight="1" x14ac:dyDescent="0.25">
      <c r="C42" s="203">
        <v>38</v>
      </c>
      <c r="D42" s="204"/>
      <c r="E42" s="204" t="s">
        <v>5717</v>
      </c>
      <c r="F42" s="208">
        <f>COUNTIFS(Table1[(जिस फायर स्टेशन क्षेत्रार्न्तागत अग्निकाण्ड हुआ हो)],Sheet2!E42,Table1[अग्निकाण्ड का दिनांक],"&gt;="&amp;DATE(2024,1,1), Table1[अग्निकाण्ड का दिनांक],"&lt;="&amp;EOMONTH(DATE(2024,1,1),0))</f>
        <v>0</v>
      </c>
      <c r="G42" s="202">
        <v>8</v>
      </c>
      <c r="H42" s="208">
        <f>COUNTIFS(Table1[(जिस फायर स्टेशन क्षेत्रार्न्तागत अग्निकाण्ड हुआ हो)],Sheet2!E42,Table1[अग्निकाण्ड का दिनांक],"&gt;="&amp;DATE(2024,2,1), Table1[अग्निकाण्ड का दिनांक],"&lt;="&amp;EOMONTH(DATE(2024,2,1),0))</f>
        <v>0</v>
      </c>
      <c r="I42" s="202">
        <v>3</v>
      </c>
      <c r="J42" s="208">
        <f>COUNTIFS(Table1[(जिस फायर स्टेशन क्षेत्रार्न्तागत अग्निकाण्ड हुआ हो)],Sheet2!E42,Table1[अग्निकाण्ड का दिनांक],"&gt;="&amp;DATE(2024,3,1), Table1[अग्निकाण्ड का दिनांक],"&lt;="&amp;EOMONTH(DATE(2024,3,1),0))</f>
        <v>0</v>
      </c>
      <c r="K42" s="202">
        <v>4</v>
      </c>
      <c r="L42" s="208">
        <f>COUNTIFS(Table1[(जिस फायर स्टेशन क्षेत्रार्न्तागत अग्निकाण्ड हुआ हो)],Sheet2!E42,Table1[अग्निकाण्ड का दिनांक],"&gt;="&amp;DATE(2024,4,1), Table1[अग्निकाण्ड का दिनांक],"&lt;="&amp;EOMONTH(DATE(2024,4,1),0))</f>
        <v>0</v>
      </c>
      <c r="M42" s="202">
        <v>21</v>
      </c>
      <c r="N42" s="208">
        <f>COUNTIFS(Table1[(जिस फायर स्टेशन क्षेत्रार्न्तागत अग्निकाण्ड हुआ हो)],Sheet2!E42,Table1[अग्निकाण्ड का दिनांक],"&gt;="&amp;DATE(2024,5,1), Table1[अग्निकाण्ड का दिनांक],"&lt;="&amp;EOMONTH(DATE(2024,5,1),0))</f>
        <v>0</v>
      </c>
      <c r="O42" s="202">
        <v>20</v>
      </c>
      <c r="P42" s="208">
        <f>COUNTIFS(Table1[(जिस फायर स्टेशन क्षेत्रार्न्तागत अग्निकाण्ड हुआ हो)],Sheet2!E42,Table1[अग्निकाण्ड का दिनांक],"&gt;="&amp;DATE(2024,6,1), Table1[अग्निकाण्ड का दिनांक],"&lt;="&amp;EOMONTH(DATE(2024,6,1),0))</f>
        <v>0</v>
      </c>
      <c r="Q42" s="202">
        <v>14</v>
      </c>
      <c r="R42" s="208">
        <f>COUNTIFS(Table1[(जिस फायर स्टेशन क्षेत्रार्न्तागत अग्निकाण्ड हुआ हो)],Sheet2!E42,Table1[अग्निकाण्ड का दिनांक],"&gt;="&amp;DATE(2024,7,1), Table1[अग्निकाण्ड का दिनांक],"&lt;="&amp;EOMONTH(DATE(2024,7,1),0))</f>
        <v>0</v>
      </c>
      <c r="S42" s="202">
        <v>0</v>
      </c>
      <c r="T42" s="208">
        <f>COUNTIFS(Table1[(जिस फायर स्टेशन क्षेत्रार्न्तागत अग्निकाण्ड हुआ हो)],Sheet2!E42,Table1[अग्निकाण्ड का दिनांक],"&gt;="&amp;DATE(2024,8,1), Table1[अग्निकाण्ड का दिनांक],"&lt;="&amp;EOMONTH(DATE(2024,8,1),0))</f>
        <v>0</v>
      </c>
      <c r="U42" s="202">
        <v>1</v>
      </c>
      <c r="V42" s="208">
        <f>COUNTIFS(Table1[(जिस फायर स्टेशन क्षेत्रार्न्तागत अग्निकाण्ड हुआ हो)],Sheet2!E42,Table1[अग्निकाण्ड का दिनांक],"&gt;="&amp;DATE(2024,9,1), Table1[अग्निकाण्ड का दिनांक],"&lt;="&amp;EOMONTH(DATE(2024,9,1),0))</f>
        <v>0</v>
      </c>
      <c r="W42" s="202">
        <v>3</v>
      </c>
      <c r="X42" s="208">
        <f>COUNTIFS(Table1[(जिस फायर स्टेशन क्षेत्रार्न्तागत अग्निकाण्ड हुआ हो)],Sheet2!E42,Table1[अग्निकाण्ड का दिनांक],"&gt;="&amp;DATE(2024,10,1), Table1[अग्निकाण्ड का दिनांक],"&lt;="&amp;EOMONTH(DATE(2024,10,1),0))</f>
        <v>0</v>
      </c>
      <c r="Y42" s="202">
        <v>5</v>
      </c>
      <c r="Z42" s="208">
        <f>COUNTIFS(Table1[(जिस फायर स्टेशन क्षेत्रार्न्तागत अग्निकाण्ड हुआ हो)],Sheet2!E42,Table1[अग्निकाण्ड का दिनांक],"&gt;="&amp;DATE(2024,11,1), Table1[अग्निकाण्ड का दिनांक],"&lt;="&amp;EOMONTH(DATE(2024,11,1),0))</f>
        <v>0</v>
      </c>
      <c r="AA42" s="202">
        <v>3</v>
      </c>
      <c r="AB42" s="208">
        <f>COUNTIFS(Table1[(जिस फायर स्टेशन क्षेत्रार्न्तागत अग्निकाण्ड हुआ हो)],Sheet2!E42,Table1[अग्निकाण्ड का दिनांक],"&gt;="&amp;DATE(2024,12,1), Table1[अग्निकाण्ड का दिनांक],"&lt;="&amp;EOMONTH(DATE(2024,12,1),0))</f>
        <v>0</v>
      </c>
      <c r="AC42" s="202">
        <v>6</v>
      </c>
      <c r="AD42" s="208">
        <f t="shared" si="0"/>
        <v>0</v>
      </c>
      <c r="AE42" s="199">
        <f t="shared" si="1"/>
        <v>88</v>
      </c>
    </row>
    <row r="43" spans="3:31" ht="20.100000000000001" customHeight="1" x14ac:dyDescent="0.25">
      <c r="C43" s="200">
        <v>39</v>
      </c>
      <c r="D43" s="201" t="s">
        <v>5710</v>
      </c>
      <c r="E43" s="201" t="s">
        <v>4824</v>
      </c>
      <c r="F43" s="208">
        <f>COUNTIFS(Table1[(जिस फायर स्टेशन क्षेत्रार्न्तागत अग्निकाण्ड हुआ हो)],Sheet2!E43,Table1[अग्निकाण्ड का दिनांक],"&gt;="&amp;DATE(2024,1,1), Table1[अग्निकाण्ड का दिनांक],"&lt;="&amp;EOMONTH(DATE(2024,1,1),0))</f>
        <v>0</v>
      </c>
      <c r="G43" s="202">
        <v>11</v>
      </c>
      <c r="H43" s="208">
        <f>COUNTIFS(Table1[(जिस फायर स्टेशन क्षेत्रार्न्तागत अग्निकाण्ड हुआ हो)],Sheet2!E43,Table1[अग्निकाण्ड का दिनांक],"&gt;="&amp;DATE(2024,2,1), Table1[अग्निकाण्ड का दिनांक],"&lt;="&amp;EOMONTH(DATE(2024,2,1),0))</f>
        <v>0</v>
      </c>
      <c r="I43" s="202">
        <v>13</v>
      </c>
      <c r="J43" s="208">
        <f>COUNTIFS(Table1[(जिस फायर स्टेशन क्षेत्रार्न्तागत अग्निकाण्ड हुआ हो)],Sheet2!E43,Table1[अग्निकाण्ड का दिनांक],"&gt;="&amp;DATE(2024,3,1), Table1[अग्निकाण्ड का दिनांक],"&lt;="&amp;EOMONTH(DATE(2024,3,1),0))</f>
        <v>0</v>
      </c>
      <c r="K43" s="202">
        <v>14</v>
      </c>
      <c r="L43" s="208">
        <f>COUNTIFS(Table1[(जिस फायर स्टेशन क्षेत्रार्न्तागत अग्निकाण्ड हुआ हो)],Sheet2!E43,Table1[अग्निकाण्ड का दिनांक],"&gt;="&amp;DATE(2024,4,1), Table1[अग्निकाण्ड का दिनांक],"&lt;="&amp;EOMONTH(DATE(2024,4,1),0))</f>
        <v>0</v>
      </c>
      <c r="M43" s="202">
        <v>43</v>
      </c>
      <c r="N43" s="208">
        <f>COUNTIFS(Table1[(जिस फायर स्टेशन क्षेत्रार्न्तागत अग्निकाण्ड हुआ हो)],Sheet2!E43,Table1[अग्निकाण्ड का दिनांक],"&gt;="&amp;DATE(2024,5,1), Table1[अग्निकाण्ड का दिनांक],"&lt;="&amp;EOMONTH(DATE(2024,5,1),0))</f>
        <v>0</v>
      </c>
      <c r="O43" s="202">
        <v>36</v>
      </c>
      <c r="P43" s="208">
        <f>COUNTIFS(Table1[(जिस फायर स्टेशन क्षेत्रार्न्तागत अग्निकाण्ड हुआ हो)],Sheet2!E43,Table1[अग्निकाण्ड का दिनांक],"&gt;="&amp;DATE(2024,6,1), Table1[अग्निकाण्ड का दिनांक],"&lt;="&amp;EOMONTH(DATE(2024,6,1),0))</f>
        <v>0</v>
      </c>
      <c r="Q43" s="202">
        <v>52</v>
      </c>
      <c r="R43" s="208">
        <f>COUNTIFS(Table1[(जिस फायर स्टेशन क्षेत्रार्न्तागत अग्निकाण्ड हुआ हो)],Sheet2!E43,Table1[अग्निकाण्ड का दिनांक],"&gt;="&amp;DATE(2024,7,1), Table1[अग्निकाण्ड का दिनांक],"&lt;="&amp;EOMONTH(DATE(2024,7,1),0))</f>
        <v>0</v>
      </c>
      <c r="S43" s="202">
        <v>0</v>
      </c>
      <c r="T43" s="208">
        <f>COUNTIFS(Table1[(जिस फायर स्टेशन क्षेत्रार्न्तागत अग्निकाण्ड हुआ हो)],Sheet2!E43,Table1[अग्निकाण्ड का दिनांक],"&gt;="&amp;DATE(2024,8,1), Table1[अग्निकाण्ड का दिनांक],"&lt;="&amp;EOMONTH(DATE(2024,8,1),0))</f>
        <v>0</v>
      </c>
      <c r="U43" s="202">
        <v>0</v>
      </c>
      <c r="V43" s="208">
        <f>COUNTIFS(Table1[(जिस फायर स्टेशन क्षेत्रार्न्तागत अग्निकाण्ड हुआ हो)],Sheet2!E43,Table1[अग्निकाण्ड का दिनांक],"&gt;="&amp;DATE(2024,9,1), Table1[अग्निकाण्ड का दिनांक],"&lt;="&amp;EOMONTH(DATE(2024,9,1),0))</f>
        <v>0</v>
      </c>
      <c r="W43" s="202">
        <v>2</v>
      </c>
      <c r="X43" s="208">
        <f>COUNTIFS(Table1[(जिस फायर स्टेशन क्षेत्रार्न्तागत अग्निकाण्ड हुआ हो)],Sheet2!E43,Table1[अग्निकाण्ड का दिनांक],"&gt;="&amp;DATE(2024,10,1), Table1[अग्निकाण्ड का दिनांक],"&lt;="&amp;EOMONTH(DATE(2024,10,1),0))</f>
        <v>0</v>
      </c>
      <c r="Y43" s="202">
        <v>2</v>
      </c>
      <c r="Z43" s="208">
        <f>COUNTIFS(Table1[(जिस फायर स्टेशन क्षेत्रार्न्तागत अग्निकाण्ड हुआ हो)],Sheet2!E43,Table1[अग्निकाण्ड का दिनांक],"&gt;="&amp;DATE(2024,11,1), Table1[अग्निकाण्ड का दिनांक],"&lt;="&amp;EOMONTH(DATE(2024,11,1),0))</f>
        <v>0</v>
      </c>
      <c r="AA43" s="202">
        <v>7</v>
      </c>
      <c r="AB43" s="208">
        <f>COUNTIFS(Table1[(जिस फायर स्टेशन क्षेत्रार्न्तागत अग्निकाण्ड हुआ हो)],Sheet2!E43,Table1[अग्निकाण्ड का दिनांक],"&gt;="&amp;DATE(2024,12,1), Table1[अग्निकाण्ड का दिनांक],"&lt;="&amp;EOMONTH(DATE(2024,12,1),0))</f>
        <v>0</v>
      </c>
      <c r="AC43" s="202">
        <v>13</v>
      </c>
      <c r="AD43" s="208">
        <f t="shared" si="0"/>
        <v>0</v>
      </c>
      <c r="AE43" s="199">
        <f t="shared" si="1"/>
        <v>193</v>
      </c>
    </row>
    <row r="44" spans="3:31" ht="20.100000000000001" customHeight="1" x14ac:dyDescent="0.25">
      <c r="C44" s="203">
        <v>40</v>
      </c>
      <c r="D44" s="204"/>
      <c r="E44" s="204" t="s">
        <v>5614</v>
      </c>
      <c r="F44" s="208">
        <f>COUNTIFS(Table1[(जिस फायर स्टेशन क्षेत्रार्न्तागत अग्निकाण्ड हुआ हो)],Sheet2!E44,Table1[अग्निकाण्ड का दिनांक],"&gt;="&amp;DATE(2024,1,1), Table1[अग्निकाण्ड का दिनांक],"&lt;="&amp;EOMONTH(DATE(2024,1,1),0))</f>
        <v>0</v>
      </c>
      <c r="G44" s="202">
        <v>8</v>
      </c>
      <c r="H44" s="208">
        <f>COUNTIFS(Table1[(जिस फायर स्टेशन क्षेत्रार्न्तागत अग्निकाण्ड हुआ हो)],Sheet2!E44,Table1[अग्निकाण्ड का दिनांक],"&gt;="&amp;DATE(2024,2,1), Table1[अग्निकाण्ड का दिनांक],"&lt;="&amp;EOMONTH(DATE(2024,2,1),0))</f>
        <v>0</v>
      </c>
      <c r="I44" s="202">
        <v>4</v>
      </c>
      <c r="J44" s="208">
        <f>COUNTIFS(Table1[(जिस फायर स्टेशन क्षेत्रार्न्तागत अग्निकाण्ड हुआ हो)],Sheet2!E44,Table1[अग्निकाण्ड का दिनांक],"&gt;="&amp;DATE(2024,3,1), Table1[अग्निकाण्ड का दिनांक],"&lt;="&amp;EOMONTH(DATE(2024,3,1),0))</f>
        <v>0</v>
      </c>
      <c r="K44" s="202">
        <v>4</v>
      </c>
      <c r="L44" s="208">
        <f>COUNTIFS(Table1[(जिस फायर स्टेशन क्षेत्रार्न्तागत अग्निकाण्ड हुआ हो)],Sheet2!E44,Table1[अग्निकाण्ड का दिनांक],"&gt;="&amp;DATE(2024,4,1), Table1[अग्निकाण्ड का दिनांक],"&lt;="&amp;EOMONTH(DATE(2024,4,1),0))</f>
        <v>0</v>
      </c>
      <c r="M44" s="202">
        <v>33</v>
      </c>
      <c r="N44" s="208">
        <f>COUNTIFS(Table1[(जिस फायर स्टेशन क्षेत्रार्न्तागत अग्निकाण्ड हुआ हो)],Sheet2!E44,Table1[अग्निकाण्ड का दिनांक],"&gt;="&amp;DATE(2024,5,1), Table1[अग्निकाण्ड का दिनांक],"&lt;="&amp;EOMONTH(DATE(2024,5,1),0))</f>
        <v>0</v>
      </c>
      <c r="O44" s="202">
        <v>40</v>
      </c>
      <c r="P44" s="208">
        <f>COUNTIFS(Table1[(जिस फायर स्टेशन क्षेत्रार्न्तागत अग्निकाण्ड हुआ हो)],Sheet2!E44,Table1[अग्निकाण्ड का दिनांक],"&gt;="&amp;DATE(2024,6,1), Table1[अग्निकाण्ड का दिनांक],"&lt;="&amp;EOMONTH(DATE(2024,6,1),0))</f>
        <v>0</v>
      </c>
      <c r="Q44" s="202">
        <v>32</v>
      </c>
      <c r="R44" s="208">
        <f>COUNTIFS(Table1[(जिस फायर स्टेशन क्षेत्रार्न्तागत अग्निकाण्ड हुआ हो)],Sheet2!E44,Table1[अग्निकाण्ड का दिनांक],"&gt;="&amp;DATE(2024,7,1), Table1[अग्निकाण्ड का दिनांक],"&lt;="&amp;EOMONTH(DATE(2024,7,1),0))</f>
        <v>0</v>
      </c>
      <c r="S44" s="202">
        <v>0</v>
      </c>
      <c r="T44" s="208">
        <f>COUNTIFS(Table1[(जिस फायर स्टेशन क्षेत्रार्न्तागत अग्निकाण्ड हुआ हो)],Sheet2!E44,Table1[अग्निकाण्ड का दिनांक],"&gt;="&amp;DATE(2024,8,1), Table1[अग्निकाण्ड का दिनांक],"&lt;="&amp;EOMONTH(DATE(2024,8,1),0))</f>
        <v>0</v>
      </c>
      <c r="U44" s="202">
        <v>2</v>
      </c>
      <c r="V44" s="208">
        <f>COUNTIFS(Table1[(जिस फायर स्टेशन क्षेत्रार्न्तागत अग्निकाण्ड हुआ हो)],Sheet2!E44,Table1[अग्निकाण्ड का दिनांक],"&gt;="&amp;DATE(2024,9,1), Table1[अग्निकाण्ड का दिनांक],"&lt;="&amp;EOMONTH(DATE(2024,9,1),0))</f>
        <v>0</v>
      </c>
      <c r="W44" s="202">
        <v>0</v>
      </c>
      <c r="X44" s="208">
        <f>COUNTIFS(Table1[(जिस फायर स्टेशन क्षेत्रार्न्तागत अग्निकाण्ड हुआ हो)],Sheet2!E44,Table1[अग्निकाण्ड का दिनांक],"&gt;="&amp;DATE(2024,10,1), Table1[अग्निकाण्ड का दिनांक],"&lt;="&amp;EOMONTH(DATE(2024,10,1),0))</f>
        <v>0</v>
      </c>
      <c r="Y44" s="202">
        <v>2</v>
      </c>
      <c r="Z44" s="208">
        <f>COUNTIFS(Table1[(जिस फायर स्टेशन क्षेत्रार्न्तागत अग्निकाण्ड हुआ हो)],Sheet2!E44,Table1[अग्निकाण्ड का दिनांक],"&gt;="&amp;DATE(2024,11,1), Table1[अग्निकाण्ड का दिनांक],"&lt;="&amp;EOMONTH(DATE(2024,11,1),0))</f>
        <v>0</v>
      </c>
      <c r="AA44" s="202">
        <v>2</v>
      </c>
      <c r="AB44" s="208">
        <f>COUNTIFS(Table1[(जिस फायर स्टेशन क्षेत्रार्न्तागत अग्निकाण्ड हुआ हो)],Sheet2!E44,Table1[अग्निकाण्ड का दिनांक],"&gt;="&amp;DATE(2024,12,1), Table1[अग्निकाण्ड का दिनांक],"&lt;="&amp;EOMONTH(DATE(2024,12,1),0))</f>
        <v>0</v>
      </c>
      <c r="AC44" s="202">
        <v>0</v>
      </c>
      <c r="AD44" s="208">
        <f t="shared" si="0"/>
        <v>0</v>
      </c>
      <c r="AE44" s="199">
        <f t="shared" si="1"/>
        <v>127</v>
      </c>
    </row>
    <row r="45" spans="3:31" ht="20.100000000000001" customHeight="1" x14ac:dyDescent="0.25">
      <c r="C45" s="200">
        <v>41</v>
      </c>
      <c r="D45" s="201" t="s">
        <v>5711</v>
      </c>
      <c r="E45" s="201" t="s">
        <v>4825</v>
      </c>
      <c r="F45" s="208">
        <f>COUNTIFS(Table1[(जिस फायर स्टेशन क्षेत्रार्न्तागत अग्निकाण्ड हुआ हो)],Sheet2!E45,Table1[अग्निकाण्ड का दिनांक],"&gt;="&amp;DATE(2024,1,1), Table1[अग्निकाण्ड का दिनांक],"&lt;="&amp;EOMONTH(DATE(2024,1,1),0))</f>
        <v>0</v>
      </c>
      <c r="G45" s="202">
        <v>5</v>
      </c>
      <c r="H45" s="208">
        <f>COUNTIFS(Table1[(जिस फायर स्टेशन क्षेत्रार्न्तागत अग्निकाण्ड हुआ हो)],Sheet2!E45,Table1[अग्निकाण्ड का दिनांक],"&gt;="&amp;DATE(2024,2,1), Table1[अग्निकाण्ड का दिनांक],"&lt;="&amp;EOMONTH(DATE(2024,2,1),0))</f>
        <v>0</v>
      </c>
      <c r="I45" s="202">
        <v>2</v>
      </c>
      <c r="J45" s="208">
        <f>COUNTIFS(Table1[(जिस फायर स्टेशन क्षेत्रार्न्तागत अग्निकाण्ड हुआ हो)],Sheet2!E45,Table1[अग्निकाण्ड का दिनांक],"&gt;="&amp;DATE(2024,3,1), Table1[अग्निकाण्ड का दिनांक],"&lt;="&amp;EOMONTH(DATE(2024,3,1),0))</f>
        <v>0</v>
      </c>
      <c r="K45" s="202">
        <v>9</v>
      </c>
      <c r="L45" s="208">
        <f>COUNTIFS(Table1[(जिस फायर स्टेशन क्षेत्रार्न्तागत अग्निकाण्ड हुआ हो)],Sheet2!E45,Table1[अग्निकाण्ड का दिनांक],"&gt;="&amp;DATE(2024,4,1), Table1[अग्निकाण्ड का दिनांक],"&lt;="&amp;EOMONTH(DATE(2024,4,1),0))</f>
        <v>0</v>
      </c>
      <c r="M45" s="202">
        <v>31</v>
      </c>
      <c r="N45" s="208">
        <f>COUNTIFS(Table1[(जिस फायर स्टेशन क्षेत्रार्न्तागत अग्निकाण्ड हुआ हो)],Sheet2!E45,Table1[अग्निकाण्ड का दिनांक],"&gt;="&amp;DATE(2024,5,1), Table1[अग्निकाण्ड का दिनांक],"&lt;="&amp;EOMONTH(DATE(2024,5,1),0))</f>
        <v>0</v>
      </c>
      <c r="O45" s="202">
        <v>19</v>
      </c>
      <c r="P45" s="208">
        <f>COUNTIFS(Table1[(जिस फायर स्टेशन क्षेत्रार्न्तागत अग्निकाण्ड हुआ हो)],Sheet2!E45,Table1[अग्निकाण्ड का दिनांक],"&gt;="&amp;DATE(2024,6,1), Table1[अग्निकाण्ड का दिनांक],"&lt;="&amp;EOMONTH(DATE(2024,6,1),0))</f>
        <v>7</v>
      </c>
      <c r="Q45" s="202">
        <v>7</v>
      </c>
      <c r="R45" s="208">
        <f>COUNTIFS(Table1[(जिस फायर स्टेशन क्षेत्रार्न्तागत अग्निकाण्ड हुआ हो)],Sheet2!E45,Table1[अग्निकाण्ड का दिनांक],"&gt;="&amp;DATE(2024,7,1), Table1[अग्निकाण्ड का दिनांक],"&lt;="&amp;EOMONTH(DATE(2024,7,1),0))</f>
        <v>0</v>
      </c>
      <c r="S45" s="202">
        <v>0</v>
      </c>
      <c r="T45" s="208">
        <f>COUNTIFS(Table1[(जिस फायर स्टेशन क्षेत्रार्न्तागत अग्निकाण्ड हुआ हो)],Sheet2!E45,Table1[अग्निकाण्ड का दिनांक],"&gt;="&amp;DATE(2024,8,1), Table1[अग्निकाण्ड का दिनांक],"&lt;="&amp;EOMONTH(DATE(2024,8,1),0))</f>
        <v>0</v>
      </c>
      <c r="U45" s="202">
        <v>0</v>
      </c>
      <c r="V45" s="208">
        <f>COUNTIFS(Table1[(जिस फायर स्टेशन क्षेत्रार्न्तागत अग्निकाण्ड हुआ हो)],Sheet2!E45,Table1[अग्निकाण्ड का दिनांक],"&gt;="&amp;DATE(2024,9,1), Table1[अग्निकाण्ड का दिनांक],"&lt;="&amp;EOMONTH(DATE(2024,9,1),0))</f>
        <v>0</v>
      </c>
      <c r="W45" s="202">
        <v>1</v>
      </c>
      <c r="X45" s="208">
        <f>COUNTIFS(Table1[(जिस फायर स्टेशन क्षेत्रार्न्तागत अग्निकाण्ड हुआ हो)],Sheet2!E45,Table1[अग्निकाण्ड का दिनांक],"&gt;="&amp;DATE(2024,10,1), Table1[अग्निकाण्ड का दिनांक],"&lt;="&amp;EOMONTH(DATE(2024,10,1),0))</f>
        <v>0</v>
      </c>
      <c r="Y45" s="202">
        <v>5</v>
      </c>
      <c r="Z45" s="208">
        <f>COUNTIFS(Table1[(जिस फायर स्टेशन क्षेत्रार्न्तागत अग्निकाण्ड हुआ हो)],Sheet2!E45,Table1[अग्निकाण्ड का दिनांक],"&gt;="&amp;DATE(2024,11,1), Table1[अग्निकाण्ड का दिनांक],"&lt;="&amp;EOMONTH(DATE(2024,11,1),0))</f>
        <v>0</v>
      </c>
      <c r="AA45" s="202">
        <v>3</v>
      </c>
      <c r="AB45" s="208">
        <f>COUNTIFS(Table1[(जिस फायर स्टेशन क्षेत्रार्न्तागत अग्निकाण्ड हुआ हो)],Sheet2!E45,Table1[अग्निकाण्ड का दिनांक],"&gt;="&amp;DATE(2024,12,1), Table1[अग्निकाण्ड का दिनांक],"&lt;="&amp;EOMONTH(DATE(2024,12,1),0))</f>
        <v>0</v>
      </c>
      <c r="AC45" s="202">
        <v>1</v>
      </c>
      <c r="AD45" s="208">
        <f t="shared" si="0"/>
        <v>7</v>
      </c>
      <c r="AE45" s="199">
        <f t="shared" si="1"/>
        <v>83</v>
      </c>
    </row>
    <row r="46" spans="3:31" ht="20.100000000000001" customHeight="1" x14ac:dyDescent="0.25">
      <c r="C46" s="203">
        <v>42</v>
      </c>
      <c r="D46" s="204"/>
      <c r="E46" s="204" t="s">
        <v>5722</v>
      </c>
      <c r="F46" s="208">
        <f>COUNTIFS(Table1[(जिस फायर स्टेशन क्षेत्रार्न्तागत अग्निकाण्ड हुआ हो)],Sheet2!E46,Table1[अग्निकाण्ड का दिनांक],"&gt;="&amp;DATE(2024,1,1), Table1[अग्निकाण्ड का दिनांक],"&lt;="&amp;EOMONTH(DATE(2024,1,1),0))</f>
        <v>0</v>
      </c>
      <c r="G46" s="202">
        <v>4</v>
      </c>
      <c r="H46" s="208">
        <f>COUNTIFS(Table1[(जिस फायर स्टेशन क्षेत्रार्न्तागत अग्निकाण्ड हुआ हो)],Sheet2!E46,Table1[अग्निकाण्ड का दिनांक],"&gt;="&amp;DATE(2024,2,1), Table1[अग्निकाण्ड का दिनांक],"&lt;="&amp;EOMONTH(DATE(2024,2,1),0))</f>
        <v>0</v>
      </c>
      <c r="I46" s="202">
        <v>4</v>
      </c>
      <c r="J46" s="208">
        <f>COUNTIFS(Table1[(जिस फायर स्टेशन क्षेत्रार्न्तागत अग्निकाण्ड हुआ हो)],Sheet2!E46,Table1[अग्निकाण्ड का दिनांक],"&gt;="&amp;DATE(2024,3,1), Table1[अग्निकाण्ड का दिनांक],"&lt;="&amp;EOMONTH(DATE(2024,3,1),0))</f>
        <v>0</v>
      </c>
      <c r="K46" s="202">
        <v>3</v>
      </c>
      <c r="L46" s="208">
        <f>COUNTIFS(Table1[(जिस फायर स्टेशन क्षेत्रार्न्तागत अग्निकाण्ड हुआ हो)],Sheet2!E46,Table1[अग्निकाण्ड का दिनांक],"&gt;="&amp;DATE(2024,4,1), Table1[अग्निकाण्ड का दिनांक],"&lt;="&amp;EOMONTH(DATE(2024,4,1),0))</f>
        <v>0</v>
      </c>
      <c r="M46" s="202">
        <v>22</v>
      </c>
      <c r="N46" s="208">
        <f>COUNTIFS(Table1[(जिस फायर स्टेशन क्षेत्रार्न्तागत अग्निकाण्ड हुआ हो)],Sheet2!E46,Table1[अग्निकाण्ड का दिनांक],"&gt;="&amp;DATE(2024,5,1), Table1[अग्निकाण्ड का दिनांक],"&lt;="&amp;EOMONTH(DATE(2024,5,1),0))</f>
        <v>0</v>
      </c>
      <c r="O46" s="202">
        <v>28</v>
      </c>
      <c r="P46" s="208">
        <f>COUNTIFS(Table1[(जिस फायर स्टेशन क्षेत्रार्न्तागत अग्निकाण्ड हुआ हो)],Sheet2!E46,Table1[अग्निकाण्ड का दिनांक],"&gt;="&amp;DATE(2024,6,1), Table1[अग्निकाण्ड का दिनांक],"&lt;="&amp;EOMONTH(DATE(2024,6,1),0))</f>
        <v>11</v>
      </c>
      <c r="Q46" s="202">
        <v>11</v>
      </c>
      <c r="R46" s="208">
        <f>COUNTIFS(Table1[(जिस फायर स्टेशन क्षेत्रार्न्तागत अग्निकाण्ड हुआ हो)],Sheet2!E46,Table1[अग्निकाण्ड का दिनांक],"&gt;="&amp;DATE(2024,7,1), Table1[अग्निकाण्ड का दिनांक],"&lt;="&amp;EOMONTH(DATE(2024,7,1),0))</f>
        <v>0</v>
      </c>
      <c r="S46" s="202">
        <v>2</v>
      </c>
      <c r="T46" s="208">
        <f>COUNTIFS(Table1[(जिस फायर स्टेशन क्षेत्रार्न्तागत अग्निकाण्ड हुआ हो)],Sheet2!E46,Table1[अग्निकाण्ड का दिनांक],"&gt;="&amp;DATE(2024,8,1), Table1[अग्निकाण्ड का दिनांक],"&lt;="&amp;EOMONTH(DATE(2024,8,1),0))</f>
        <v>0</v>
      </c>
      <c r="U46" s="202">
        <v>0</v>
      </c>
      <c r="V46" s="208">
        <f>COUNTIFS(Table1[(जिस फायर स्टेशन क्षेत्रार्न्तागत अग्निकाण्ड हुआ हो)],Sheet2!E46,Table1[अग्निकाण्ड का दिनांक],"&gt;="&amp;DATE(2024,9,1), Table1[अग्निकाण्ड का दिनांक],"&lt;="&amp;EOMONTH(DATE(2024,9,1),0))</f>
        <v>0</v>
      </c>
      <c r="W46" s="202">
        <v>1</v>
      </c>
      <c r="X46" s="208">
        <f>COUNTIFS(Table1[(जिस फायर स्टेशन क्षेत्रार्न्तागत अग्निकाण्ड हुआ हो)],Sheet2!E46,Table1[अग्निकाण्ड का दिनांक],"&gt;="&amp;DATE(2024,10,1), Table1[अग्निकाण्ड का दिनांक],"&lt;="&amp;EOMONTH(DATE(2024,10,1),0))</f>
        <v>0</v>
      </c>
      <c r="Y46" s="202">
        <v>3</v>
      </c>
      <c r="Z46" s="208">
        <f>COUNTIFS(Table1[(जिस फायर स्टेशन क्षेत्रार्न्तागत अग्निकाण्ड हुआ हो)],Sheet2!E46,Table1[अग्निकाण्ड का दिनांक],"&gt;="&amp;DATE(2024,11,1), Table1[अग्निकाण्ड का दिनांक],"&lt;="&amp;EOMONTH(DATE(2024,11,1),0))</f>
        <v>0</v>
      </c>
      <c r="AA46" s="202">
        <v>0</v>
      </c>
      <c r="AB46" s="208">
        <f>COUNTIFS(Table1[(जिस फायर स्टेशन क्षेत्रार्न्तागत अग्निकाण्ड हुआ हो)],Sheet2!E46,Table1[अग्निकाण्ड का दिनांक],"&gt;="&amp;DATE(2024,12,1), Table1[अग्निकाण्ड का दिनांक],"&lt;="&amp;EOMONTH(DATE(2024,12,1),0))</f>
        <v>0</v>
      </c>
      <c r="AC46" s="202">
        <v>2</v>
      </c>
      <c r="AD46" s="208">
        <f t="shared" si="0"/>
        <v>11</v>
      </c>
      <c r="AE46" s="199">
        <f t="shared" si="1"/>
        <v>80</v>
      </c>
    </row>
    <row r="47" spans="3:31" ht="20.100000000000001" customHeight="1" x14ac:dyDescent="0.25">
      <c r="C47" s="200">
        <v>43</v>
      </c>
      <c r="D47" s="201"/>
      <c r="E47" s="201" t="s">
        <v>5682</v>
      </c>
      <c r="F47" s="208">
        <f>COUNTIFS(Table1[(जिस फायर स्टेशन क्षेत्रार्न्तागत अग्निकाण्ड हुआ हो)],Sheet2!E47,Table1[अग्निकाण्ड का दिनांक],"&gt;="&amp;DATE(2024,1,1), Table1[अग्निकाण्ड का दिनांक],"&lt;="&amp;EOMONTH(DATE(2024,1,1),0))</f>
        <v>0</v>
      </c>
      <c r="G47" s="202">
        <v>0</v>
      </c>
      <c r="H47" s="208">
        <f>COUNTIFS(Table1[(जिस फायर स्टेशन क्षेत्रार्न्तागत अग्निकाण्ड हुआ हो)],Sheet2!E47,Table1[अग्निकाण्ड का दिनांक],"&gt;="&amp;DATE(2024,2,1), Table1[अग्निकाण्ड का दिनांक],"&lt;="&amp;EOMONTH(DATE(2024,2,1),0))</f>
        <v>0</v>
      </c>
      <c r="I47" s="202">
        <v>1</v>
      </c>
      <c r="J47" s="208">
        <f>COUNTIFS(Table1[(जिस फायर स्टेशन क्षेत्रार्न्तागत अग्निकाण्ड हुआ हो)],Sheet2!E47,Table1[अग्निकाण्ड का दिनांक],"&gt;="&amp;DATE(2024,3,1), Table1[अग्निकाण्ड का दिनांक],"&lt;="&amp;EOMONTH(DATE(2024,3,1),0))</f>
        <v>0</v>
      </c>
      <c r="K47" s="202">
        <v>1</v>
      </c>
      <c r="L47" s="208">
        <f>COUNTIFS(Table1[(जिस फायर स्टेशन क्षेत्रार्न्तागत अग्निकाण्ड हुआ हो)],Sheet2!E47,Table1[अग्निकाण्ड का दिनांक],"&gt;="&amp;DATE(2024,4,1), Table1[अग्निकाण्ड का दिनांक],"&lt;="&amp;EOMONTH(DATE(2024,4,1),0))</f>
        <v>0</v>
      </c>
      <c r="M47" s="202">
        <v>5</v>
      </c>
      <c r="N47" s="208">
        <f>COUNTIFS(Table1[(जिस फायर स्टेशन क्षेत्रार्न्तागत अग्निकाण्ड हुआ हो)],Sheet2!E47,Table1[अग्निकाण्ड का दिनांक],"&gt;="&amp;DATE(2024,5,1), Table1[अग्निकाण्ड का दिनांक],"&lt;="&amp;EOMONTH(DATE(2024,5,1),0))</f>
        <v>0</v>
      </c>
      <c r="O47" s="202">
        <v>8</v>
      </c>
      <c r="P47" s="208">
        <f>COUNTIFS(Table1[(जिस फायर स्टेशन क्षेत्रार्न्तागत अग्निकाण्ड हुआ हो)],Sheet2!E47,Table1[अग्निकाण्ड का दिनांक],"&gt;="&amp;DATE(2024,6,1), Table1[अग्निकाण्ड का दिनांक],"&lt;="&amp;EOMONTH(DATE(2024,6,1),0))</f>
        <v>1</v>
      </c>
      <c r="Q47" s="202">
        <v>4</v>
      </c>
      <c r="R47" s="208">
        <f>COUNTIFS(Table1[(जिस फायर स्टेशन क्षेत्रार्न्तागत अग्निकाण्ड हुआ हो)],Sheet2!E47,Table1[अग्निकाण्ड का दिनांक],"&gt;="&amp;DATE(2024,7,1), Table1[अग्निकाण्ड का दिनांक],"&lt;="&amp;EOMONTH(DATE(2024,7,1),0))</f>
        <v>0</v>
      </c>
      <c r="S47" s="202">
        <v>0</v>
      </c>
      <c r="T47" s="208">
        <f>COUNTIFS(Table1[(जिस फायर स्टेशन क्षेत्रार्न्तागत अग्निकाण्ड हुआ हो)],Sheet2!E47,Table1[अग्निकाण्ड का दिनांक],"&gt;="&amp;DATE(2024,8,1), Table1[अग्निकाण्ड का दिनांक],"&lt;="&amp;EOMONTH(DATE(2024,8,1),0))</f>
        <v>0</v>
      </c>
      <c r="U47" s="202">
        <v>0</v>
      </c>
      <c r="V47" s="208">
        <f>COUNTIFS(Table1[(जिस फायर स्टेशन क्षेत्रार्न्तागत अग्निकाण्ड हुआ हो)],Sheet2!E47,Table1[अग्निकाण्ड का दिनांक],"&gt;="&amp;DATE(2024,9,1), Table1[अग्निकाण्ड का दिनांक],"&lt;="&amp;EOMONTH(DATE(2024,9,1),0))</f>
        <v>0</v>
      </c>
      <c r="W47" s="202">
        <v>0</v>
      </c>
      <c r="X47" s="208">
        <f>COUNTIFS(Table1[(जिस फायर स्टेशन क्षेत्रार्न्तागत अग्निकाण्ड हुआ हो)],Sheet2!E47,Table1[अग्निकाण्ड का दिनांक],"&gt;="&amp;DATE(2024,10,1), Table1[अग्निकाण्ड का दिनांक],"&lt;="&amp;EOMONTH(DATE(2024,10,1),0))</f>
        <v>0</v>
      </c>
      <c r="Y47" s="202">
        <v>0</v>
      </c>
      <c r="Z47" s="208">
        <f>COUNTIFS(Table1[(जिस फायर स्टेशन क्षेत्रार्न्तागत अग्निकाण्ड हुआ हो)],Sheet2!E47,Table1[अग्निकाण्ड का दिनांक],"&gt;="&amp;DATE(2024,11,1), Table1[अग्निकाण्ड का दिनांक],"&lt;="&amp;EOMONTH(DATE(2024,11,1),0))</f>
        <v>0</v>
      </c>
      <c r="AA47" s="202">
        <v>0</v>
      </c>
      <c r="AB47" s="208">
        <f>COUNTIFS(Table1[(जिस फायर स्टेशन क्षेत्रार्न्तागत अग्निकाण्ड हुआ हो)],Sheet2!E47,Table1[अग्निकाण्ड का दिनांक],"&gt;="&amp;DATE(2024,12,1), Table1[अग्निकाण्ड का दिनांक],"&lt;="&amp;EOMONTH(DATE(2024,12,1),0))</f>
        <v>0</v>
      </c>
      <c r="AC47" s="202">
        <v>0</v>
      </c>
      <c r="AD47" s="208">
        <f t="shared" si="0"/>
        <v>1</v>
      </c>
      <c r="AE47" s="199">
        <f t="shared" si="1"/>
        <v>19</v>
      </c>
    </row>
    <row r="48" spans="3:31" ht="20.100000000000001" customHeight="1" x14ac:dyDescent="0.25">
      <c r="C48" s="203">
        <v>44</v>
      </c>
      <c r="D48" s="204" t="s">
        <v>5712</v>
      </c>
      <c r="E48" s="204" t="s">
        <v>4829</v>
      </c>
      <c r="F48" s="208">
        <f>COUNTIFS(Table1[(जिस फायर स्टेशन क्षेत्रार्न्तागत अग्निकाण्ड हुआ हो)],Sheet2!E48,Table1[अग्निकाण्ड का दिनांक],"&gt;="&amp;DATE(2024,1,1), Table1[अग्निकाण्ड का दिनांक],"&lt;="&amp;EOMONTH(DATE(2024,1,1),0))</f>
        <v>0</v>
      </c>
      <c r="G48" s="202">
        <v>3</v>
      </c>
      <c r="H48" s="208">
        <f>COUNTIFS(Table1[(जिस फायर स्टेशन क्षेत्रार्न्तागत अग्निकाण्ड हुआ हो)],Sheet2!E48,Table1[अग्निकाण्ड का दिनांक],"&gt;="&amp;DATE(2024,2,1), Table1[अग्निकाण्ड का दिनांक],"&lt;="&amp;EOMONTH(DATE(2024,2,1),0))</f>
        <v>0</v>
      </c>
      <c r="I48" s="202">
        <v>2</v>
      </c>
      <c r="J48" s="208">
        <f>COUNTIFS(Table1[(जिस फायर स्टेशन क्षेत्रार्न्तागत अग्निकाण्ड हुआ हो)],Sheet2!E48,Table1[अग्निकाण्ड का दिनांक],"&gt;="&amp;DATE(2024,3,1), Table1[अग्निकाण्ड का दिनांक],"&lt;="&amp;EOMONTH(DATE(2024,3,1),0))</f>
        <v>0</v>
      </c>
      <c r="K48" s="202">
        <v>3</v>
      </c>
      <c r="L48" s="208">
        <f>COUNTIFS(Table1[(जिस फायर स्टेशन क्षेत्रार्न्तागत अग्निकाण्ड हुआ हो)],Sheet2!E48,Table1[अग्निकाण्ड का दिनांक],"&gt;="&amp;DATE(2024,4,1), Table1[अग्निकाण्ड का दिनांक],"&lt;="&amp;EOMONTH(DATE(2024,4,1),0))</f>
        <v>0</v>
      </c>
      <c r="M48" s="202">
        <v>12</v>
      </c>
      <c r="N48" s="208">
        <f>COUNTIFS(Table1[(जिस फायर स्टेशन क्षेत्रार्न्तागत अग्निकाण्ड हुआ हो)],Sheet2!E48,Table1[अग्निकाण्ड का दिनांक],"&gt;="&amp;DATE(2024,5,1), Table1[अग्निकाण्ड का दिनांक],"&lt;="&amp;EOMONTH(DATE(2024,5,1),0))</f>
        <v>0</v>
      </c>
      <c r="O48" s="202">
        <v>7</v>
      </c>
      <c r="P48" s="208">
        <f>COUNTIFS(Table1[(जिस फायर स्टेशन क्षेत्रार्न्तागत अग्निकाण्ड हुआ हो)],Sheet2!E48,Table1[अग्निकाण्ड का दिनांक],"&gt;="&amp;DATE(2024,6,1), Table1[अग्निकाण्ड का दिनांक],"&lt;="&amp;EOMONTH(DATE(2024,6,1),0))</f>
        <v>0</v>
      </c>
      <c r="Q48" s="202">
        <v>6</v>
      </c>
      <c r="R48" s="208">
        <f>COUNTIFS(Table1[(जिस फायर स्टेशन क्षेत्रार्न्तागत अग्निकाण्ड हुआ हो)],Sheet2!E48,Table1[अग्निकाण्ड का दिनांक],"&gt;="&amp;DATE(2024,7,1), Table1[अग्निकाण्ड का दिनांक],"&lt;="&amp;EOMONTH(DATE(2024,7,1),0))</f>
        <v>0</v>
      </c>
      <c r="S48" s="202">
        <v>4</v>
      </c>
      <c r="T48" s="208">
        <f>COUNTIFS(Table1[(जिस फायर स्टेशन क्षेत्रार्न्तागत अग्निकाण्ड हुआ हो)],Sheet2!E48,Table1[अग्निकाण्ड का दिनांक],"&gt;="&amp;DATE(2024,8,1), Table1[अग्निकाण्ड का दिनांक],"&lt;="&amp;EOMONTH(DATE(2024,8,1),0))</f>
        <v>0</v>
      </c>
      <c r="U48" s="202">
        <v>1</v>
      </c>
      <c r="V48" s="208">
        <f>COUNTIFS(Table1[(जिस फायर स्टेशन क्षेत्रार्न्तागत अग्निकाण्ड हुआ हो)],Sheet2!E48,Table1[अग्निकाण्ड का दिनांक],"&gt;="&amp;DATE(2024,9,1), Table1[अग्निकाण्ड का दिनांक],"&lt;="&amp;EOMONTH(DATE(2024,9,1),0))</f>
        <v>0</v>
      </c>
      <c r="W48" s="202">
        <v>2</v>
      </c>
      <c r="X48" s="208">
        <f>COUNTIFS(Table1[(जिस फायर स्टेशन क्षेत्रार्न्तागत अग्निकाण्ड हुआ हो)],Sheet2!E48,Table1[अग्निकाण्ड का दिनांक],"&gt;="&amp;DATE(2024,10,1), Table1[अग्निकाण्ड का दिनांक],"&lt;="&amp;EOMONTH(DATE(2024,10,1),0))</f>
        <v>0</v>
      </c>
      <c r="Y48" s="202">
        <v>3</v>
      </c>
      <c r="Z48" s="208">
        <f>COUNTIFS(Table1[(जिस फायर स्टेशन क्षेत्रार्न्तागत अग्निकाण्ड हुआ हो)],Sheet2!E48,Table1[अग्निकाण्ड का दिनांक],"&gt;="&amp;DATE(2024,11,1), Table1[अग्निकाण्ड का दिनांक],"&lt;="&amp;EOMONTH(DATE(2024,11,1),0))</f>
        <v>0</v>
      </c>
      <c r="AA48" s="202">
        <v>2</v>
      </c>
      <c r="AB48" s="208">
        <f>COUNTIFS(Table1[(जिस फायर स्टेशन क्षेत्रार्न्तागत अग्निकाण्ड हुआ हो)],Sheet2!E48,Table1[अग्निकाण्ड का दिनांक],"&gt;="&amp;DATE(2024,12,1), Table1[अग्निकाण्ड का दिनांक],"&lt;="&amp;EOMONTH(DATE(2024,12,1),0))</f>
        <v>0</v>
      </c>
      <c r="AC48" s="202">
        <v>2</v>
      </c>
      <c r="AD48" s="208">
        <f t="shared" si="0"/>
        <v>0</v>
      </c>
      <c r="AE48" s="199">
        <f t="shared" si="1"/>
        <v>47</v>
      </c>
    </row>
    <row r="49" spans="3:31" ht="20.100000000000001" customHeight="1" x14ac:dyDescent="0.25">
      <c r="C49" s="200">
        <v>45</v>
      </c>
      <c r="D49" s="201"/>
      <c r="E49" s="201" t="s">
        <v>5723</v>
      </c>
      <c r="F49" s="208">
        <f>COUNTIFS(Table1[(जिस फायर स्टेशन क्षेत्रार्न्तागत अग्निकाण्ड हुआ हो)],Sheet2!E49,Table1[अग्निकाण्ड का दिनांक],"&gt;="&amp;DATE(2024,1,1), Table1[अग्निकाण्ड का दिनांक],"&lt;="&amp;EOMONTH(DATE(2024,1,1),0))</f>
        <v>0</v>
      </c>
      <c r="G49" s="202">
        <v>1</v>
      </c>
      <c r="H49" s="208">
        <f>COUNTIFS(Table1[(जिस फायर स्टेशन क्षेत्रार्न्तागत अग्निकाण्ड हुआ हो)],Sheet2!E49,Table1[अग्निकाण्ड का दिनांक],"&gt;="&amp;DATE(2024,2,1), Table1[अग्निकाण्ड का दिनांक],"&lt;="&amp;EOMONTH(DATE(2024,2,1),0))</f>
        <v>0</v>
      </c>
      <c r="I49" s="202">
        <v>1</v>
      </c>
      <c r="J49" s="208">
        <f>COUNTIFS(Table1[(जिस फायर स्टेशन क्षेत्रार्न्तागत अग्निकाण्ड हुआ हो)],Sheet2!E49,Table1[अग्निकाण्ड का दिनांक],"&gt;="&amp;DATE(2024,3,1), Table1[अग्निकाण्ड का दिनांक],"&lt;="&amp;EOMONTH(DATE(2024,3,1),0))</f>
        <v>0</v>
      </c>
      <c r="K49" s="202">
        <v>0</v>
      </c>
      <c r="L49" s="208">
        <f>COUNTIFS(Table1[(जिस फायर स्टेशन क्षेत्रार्न्तागत अग्निकाण्ड हुआ हो)],Sheet2!E49,Table1[अग्निकाण्ड का दिनांक],"&gt;="&amp;DATE(2024,4,1), Table1[अग्निकाण्ड का दिनांक],"&lt;="&amp;EOMONTH(DATE(2024,4,1),0))</f>
        <v>0</v>
      </c>
      <c r="M49" s="202">
        <v>2</v>
      </c>
      <c r="N49" s="208">
        <f>COUNTIFS(Table1[(जिस फायर स्टेशन क्षेत्रार्न्तागत अग्निकाण्ड हुआ हो)],Sheet2!E49,Table1[अग्निकाण्ड का दिनांक],"&gt;="&amp;DATE(2024,5,1), Table1[अग्निकाण्ड का दिनांक],"&lt;="&amp;EOMONTH(DATE(2024,5,1),0))</f>
        <v>0</v>
      </c>
      <c r="O49" s="202">
        <v>4</v>
      </c>
      <c r="P49" s="208">
        <f>COUNTIFS(Table1[(जिस फायर स्टेशन क्षेत्रार्न्तागत अग्निकाण्ड हुआ हो)],Sheet2!E49,Table1[अग्निकाण्ड का दिनांक],"&gt;="&amp;DATE(2024,6,1), Table1[अग्निकाण्ड का दिनांक],"&lt;="&amp;EOMONTH(DATE(2024,6,1),0))</f>
        <v>0</v>
      </c>
      <c r="Q49" s="202">
        <v>0</v>
      </c>
      <c r="R49" s="208">
        <f>COUNTIFS(Table1[(जिस फायर स्टेशन क्षेत्रार्न्तागत अग्निकाण्ड हुआ हो)],Sheet2!E49,Table1[अग्निकाण्ड का दिनांक],"&gt;="&amp;DATE(2024,7,1), Table1[अग्निकाण्ड का दिनांक],"&lt;="&amp;EOMONTH(DATE(2024,7,1),0))</f>
        <v>0</v>
      </c>
      <c r="S49" s="202">
        <v>0</v>
      </c>
      <c r="T49" s="208">
        <f>COUNTIFS(Table1[(जिस फायर स्टेशन क्षेत्रार्न्तागत अग्निकाण्ड हुआ हो)],Sheet2!E49,Table1[अग्निकाण्ड का दिनांक],"&gt;="&amp;DATE(2024,8,1), Table1[अग्निकाण्ड का दिनांक],"&lt;="&amp;EOMONTH(DATE(2024,8,1),0))</f>
        <v>0</v>
      </c>
      <c r="U49" s="202">
        <v>0</v>
      </c>
      <c r="V49" s="208">
        <f>COUNTIFS(Table1[(जिस फायर स्टेशन क्षेत्रार्न्तागत अग्निकाण्ड हुआ हो)],Sheet2!E49,Table1[अग्निकाण्ड का दिनांक],"&gt;="&amp;DATE(2024,9,1), Table1[अग्निकाण्ड का दिनांक],"&lt;="&amp;EOMONTH(DATE(2024,9,1),0))</f>
        <v>0</v>
      </c>
      <c r="W49" s="202">
        <v>0</v>
      </c>
      <c r="X49" s="208">
        <f>COUNTIFS(Table1[(जिस फायर स्टेशन क्षेत्रार्न्तागत अग्निकाण्ड हुआ हो)],Sheet2!E49,Table1[अग्निकाण्ड का दिनांक],"&gt;="&amp;DATE(2024,10,1), Table1[अग्निकाण्ड का दिनांक],"&lt;="&amp;EOMONTH(DATE(2024,10,1),0))</f>
        <v>0</v>
      </c>
      <c r="Y49" s="202">
        <v>0</v>
      </c>
      <c r="Z49" s="208">
        <f>COUNTIFS(Table1[(जिस फायर स्टेशन क्षेत्रार्न्तागत अग्निकाण्ड हुआ हो)],Sheet2!E49,Table1[अग्निकाण्ड का दिनांक],"&gt;="&amp;DATE(2024,11,1), Table1[अग्निकाण्ड का दिनांक],"&lt;="&amp;EOMONTH(DATE(2024,11,1),0))</f>
        <v>0</v>
      </c>
      <c r="AA49" s="202">
        <v>1</v>
      </c>
      <c r="AB49" s="208">
        <f>COUNTIFS(Table1[(जिस फायर स्टेशन क्षेत्रार्न्तागत अग्निकाण्ड हुआ हो)],Sheet2!E49,Table1[अग्निकाण्ड का दिनांक],"&gt;="&amp;DATE(2024,12,1), Table1[अग्निकाण्ड का दिनांक],"&lt;="&amp;EOMONTH(DATE(2024,12,1),0))</f>
        <v>0</v>
      </c>
      <c r="AC49" s="202">
        <v>0</v>
      </c>
      <c r="AD49" s="208">
        <f t="shared" si="0"/>
        <v>0</v>
      </c>
      <c r="AE49" s="199">
        <f t="shared" si="1"/>
        <v>9</v>
      </c>
    </row>
    <row r="50" spans="3:31" ht="20.100000000000001" customHeight="1" x14ac:dyDescent="0.25">
      <c r="C50" s="203">
        <v>46</v>
      </c>
      <c r="D50" s="204"/>
      <c r="E50" s="204" t="s">
        <v>5724</v>
      </c>
      <c r="F50" s="208">
        <f>COUNTIFS(Table1[(जिस फायर स्टेशन क्षेत्रार्न्तागत अग्निकाण्ड हुआ हो)],Sheet2!E50,Table1[अग्निकाण्ड का दिनांक],"&gt;="&amp;DATE(2024,1,1), Table1[अग्निकाण्ड का दिनांक],"&lt;="&amp;EOMONTH(DATE(2024,1,1),0))</f>
        <v>0</v>
      </c>
      <c r="G50" s="202">
        <v>0</v>
      </c>
      <c r="H50" s="208">
        <f>COUNTIFS(Table1[(जिस फायर स्टेशन क्षेत्रार्न्तागत अग्निकाण्ड हुआ हो)],Sheet2!E50,Table1[अग्निकाण्ड का दिनांक],"&gt;="&amp;DATE(2024,2,1), Table1[अग्निकाण्ड का दिनांक],"&lt;="&amp;EOMONTH(DATE(2024,2,1),0))</f>
        <v>0</v>
      </c>
      <c r="I50" s="202">
        <v>0</v>
      </c>
      <c r="J50" s="208">
        <f>COUNTIFS(Table1[(जिस फायर स्टेशन क्षेत्रार्न्तागत अग्निकाण्ड हुआ हो)],Sheet2!E50,Table1[अग्निकाण्ड का दिनांक],"&gt;="&amp;DATE(2024,3,1), Table1[अग्निकाण्ड का दिनांक],"&lt;="&amp;EOMONTH(DATE(2024,3,1),0))</f>
        <v>0</v>
      </c>
      <c r="K50" s="202">
        <v>3</v>
      </c>
      <c r="L50" s="208">
        <f>COUNTIFS(Table1[(जिस फायर स्टेशन क्षेत्रार्न्तागत अग्निकाण्ड हुआ हो)],Sheet2!E50,Table1[अग्निकाण्ड का दिनांक],"&gt;="&amp;DATE(2024,4,1), Table1[अग्निकाण्ड का दिनांक],"&lt;="&amp;EOMONTH(DATE(2024,4,1),0))</f>
        <v>0</v>
      </c>
      <c r="M50" s="202">
        <v>9</v>
      </c>
      <c r="N50" s="208">
        <f>COUNTIFS(Table1[(जिस फायर स्टेशन क्षेत्रार्न्तागत अग्निकाण्ड हुआ हो)],Sheet2!E50,Table1[अग्निकाण्ड का दिनांक],"&gt;="&amp;DATE(2024,5,1), Table1[अग्निकाण्ड का दिनांक],"&lt;="&amp;EOMONTH(DATE(2024,5,1),0))</f>
        <v>0</v>
      </c>
      <c r="O50" s="202">
        <v>1</v>
      </c>
      <c r="P50" s="208">
        <f>COUNTIFS(Table1[(जिस फायर स्टेशन क्षेत्रार्न्तागत अग्निकाण्ड हुआ हो)],Sheet2!E50,Table1[अग्निकाण्ड का दिनांक],"&gt;="&amp;DATE(2024,6,1), Table1[अग्निकाण्ड का दिनांक],"&lt;="&amp;EOMONTH(DATE(2024,6,1),0))</f>
        <v>0</v>
      </c>
      <c r="Q50" s="202">
        <v>0</v>
      </c>
      <c r="R50" s="208">
        <f>COUNTIFS(Table1[(जिस फायर स्टेशन क्षेत्रार्न्तागत अग्निकाण्ड हुआ हो)],Sheet2!E50,Table1[अग्निकाण्ड का दिनांक],"&gt;="&amp;DATE(2024,7,1), Table1[अग्निकाण्ड का दिनांक],"&lt;="&amp;EOMONTH(DATE(2024,7,1),0))</f>
        <v>0</v>
      </c>
      <c r="S50" s="202">
        <v>0</v>
      </c>
      <c r="T50" s="208">
        <f>COUNTIFS(Table1[(जिस फायर स्टेशन क्षेत्रार्न्तागत अग्निकाण्ड हुआ हो)],Sheet2!E50,Table1[अग्निकाण्ड का दिनांक],"&gt;="&amp;DATE(2024,8,1), Table1[अग्निकाण्ड का दिनांक],"&lt;="&amp;EOMONTH(DATE(2024,8,1),0))</f>
        <v>0</v>
      </c>
      <c r="U50" s="202">
        <v>0</v>
      </c>
      <c r="V50" s="208">
        <f>COUNTIFS(Table1[(जिस फायर स्टेशन क्षेत्रार्न्तागत अग्निकाण्ड हुआ हो)],Sheet2!E50,Table1[अग्निकाण्ड का दिनांक],"&gt;="&amp;DATE(2024,9,1), Table1[अग्निकाण्ड का दिनांक],"&lt;="&amp;EOMONTH(DATE(2024,9,1),0))</f>
        <v>0</v>
      </c>
      <c r="W50" s="202">
        <v>0</v>
      </c>
      <c r="X50" s="208">
        <f>COUNTIFS(Table1[(जिस फायर स्टेशन क्षेत्रार्न्तागत अग्निकाण्ड हुआ हो)],Sheet2!E50,Table1[अग्निकाण्ड का दिनांक],"&gt;="&amp;DATE(2024,10,1), Table1[अग्निकाण्ड का दिनांक],"&lt;="&amp;EOMONTH(DATE(2024,10,1),0))</f>
        <v>0</v>
      </c>
      <c r="Y50" s="202">
        <v>0</v>
      </c>
      <c r="Z50" s="208">
        <f>COUNTIFS(Table1[(जिस फायर स्टेशन क्षेत्रार्न्तागत अग्निकाण्ड हुआ हो)],Sheet2!E50,Table1[अग्निकाण्ड का दिनांक],"&gt;="&amp;DATE(2024,11,1), Table1[अग्निकाण्ड का दिनांक],"&lt;="&amp;EOMONTH(DATE(2024,11,1),0))</f>
        <v>0</v>
      </c>
      <c r="AA50" s="202">
        <v>2</v>
      </c>
      <c r="AB50" s="208">
        <f>COUNTIFS(Table1[(जिस फायर स्टेशन क्षेत्रार्न्तागत अग्निकाण्ड हुआ हो)],Sheet2!E50,Table1[अग्निकाण्ड का दिनांक],"&gt;="&amp;DATE(2024,12,1), Table1[अग्निकाण्ड का दिनांक],"&lt;="&amp;EOMONTH(DATE(2024,12,1),0))</f>
        <v>0</v>
      </c>
      <c r="AC50" s="202">
        <v>0</v>
      </c>
      <c r="AD50" s="208">
        <f t="shared" si="0"/>
        <v>0</v>
      </c>
      <c r="AE50" s="199">
        <f t="shared" si="1"/>
        <v>15</v>
      </c>
    </row>
    <row r="51" spans="3:31" ht="20.100000000000001" customHeight="1" x14ac:dyDescent="0.25">
      <c r="C51" s="200">
        <v>47</v>
      </c>
      <c r="D51" s="201" t="s">
        <v>5713</v>
      </c>
      <c r="E51" s="201" t="s">
        <v>5683</v>
      </c>
      <c r="F51" s="208">
        <f>COUNTIFS(Table1[(जिस फायर स्टेशन क्षेत्रार्न्तागत अग्निकाण्ड हुआ हो)],Sheet2!E51,Table1[अग्निकाण्ड का दिनांक],"&gt;="&amp;DATE(2024,1,1), Table1[अग्निकाण्ड का दिनांक],"&lt;="&amp;EOMONTH(DATE(2024,1,1),0))</f>
        <v>0</v>
      </c>
      <c r="G51" s="202">
        <v>6</v>
      </c>
      <c r="H51" s="208">
        <f>COUNTIFS(Table1[(जिस फायर स्टेशन क्षेत्रार्न्तागत अग्निकाण्ड हुआ हो)],Sheet2!E51,Table1[अग्निकाण्ड का दिनांक],"&gt;="&amp;DATE(2024,2,1), Table1[अग्निकाण्ड का दिनांक],"&lt;="&amp;EOMONTH(DATE(2024,2,1),0))</f>
        <v>0</v>
      </c>
      <c r="I51" s="202">
        <v>2</v>
      </c>
      <c r="J51" s="208">
        <f>COUNTIFS(Table1[(जिस फायर स्टेशन क्षेत्रार्न्तागत अग्निकाण्ड हुआ हो)],Sheet2!E51,Table1[अग्निकाण्ड का दिनांक],"&gt;="&amp;DATE(2024,3,1), Table1[अग्निकाण्ड का दिनांक],"&lt;="&amp;EOMONTH(DATE(2024,3,1),0))</f>
        <v>0</v>
      </c>
      <c r="K51" s="202">
        <v>5</v>
      </c>
      <c r="L51" s="208">
        <f>COUNTIFS(Table1[(जिस फायर स्टेशन क्षेत्रार्न्तागत अग्निकाण्ड हुआ हो)],Sheet2!E51,Table1[अग्निकाण्ड का दिनांक],"&gt;="&amp;DATE(2024,4,1), Table1[अग्निकाण्ड का दिनांक],"&lt;="&amp;EOMONTH(DATE(2024,4,1),0))</f>
        <v>0</v>
      </c>
      <c r="M51" s="202">
        <v>32</v>
      </c>
      <c r="N51" s="208">
        <f>COUNTIFS(Table1[(जिस फायर स्टेशन क्षेत्रार्न्तागत अग्निकाण्ड हुआ हो)],Sheet2!E51,Table1[अग्निकाण्ड का दिनांक],"&gt;="&amp;DATE(2024,5,1), Table1[अग्निकाण्ड का दिनांक],"&lt;="&amp;EOMONTH(DATE(2024,5,1),0))</f>
        <v>0</v>
      </c>
      <c r="O51" s="202">
        <v>34</v>
      </c>
      <c r="P51" s="208">
        <f>COUNTIFS(Table1[(जिस फायर स्टेशन क्षेत्रार्न्तागत अग्निकाण्ड हुआ हो)],Sheet2!E51,Table1[अग्निकाण्ड का दिनांक],"&gt;="&amp;DATE(2024,6,1), Table1[अग्निकाण्ड का दिनांक],"&lt;="&amp;EOMONTH(DATE(2024,6,1),0))</f>
        <v>0</v>
      </c>
      <c r="Q51" s="202">
        <v>14</v>
      </c>
      <c r="R51" s="208">
        <f>COUNTIFS(Table1[(जिस फायर स्टेशन क्षेत्रार्न्तागत अग्निकाण्ड हुआ हो)],Sheet2!E51,Table1[अग्निकाण्ड का दिनांक],"&gt;="&amp;DATE(2024,7,1), Table1[अग्निकाण्ड का दिनांक],"&lt;="&amp;EOMONTH(DATE(2024,7,1),0))</f>
        <v>0</v>
      </c>
      <c r="S51" s="202">
        <v>0</v>
      </c>
      <c r="T51" s="208">
        <f>COUNTIFS(Table1[(जिस फायर स्टेशन क्षेत्रार्न्तागत अग्निकाण्ड हुआ हो)],Sheet2!E51,Table1[अग्निकाण्ड का दिनांक],"&gt;="&amp;DATE(2024,8,1), Table1[अग्निकाण्ड का दिनांक],"&lt;="&amp;EOMONTH(DATE(2024,8,1),0))</f>
        <v>0</v>
      </c>
      <c r="U51" s="202">
        <v>0</v>
      </c>
      <c r="V51" s="208">
        <f>COUNTIFS(Table1[(जिस फायर स्टेशन क्षेत्रार्न्तागत अग्निकाण्ड हुआ हो)],Sheet2!E51,Table1[अग्निकाण्ड का दिनांक],"&gt;="&amp;DATE(2024,9,1), Table1[अग्निकाण्ड का दिनांक],"&lt;="&amp;EOMONTH(DATE(2024,9,1),0))</f>
        <v>0</v>
      </c>
      <c r="W51" s="202">
        <v>0</v>
      </c>
      <c r="X51" s="208">
        <f>COUNTIFS(Table1[(जिस फायर स्टेशन क्षेत्रार्न्तागत अग्निकाण्ड हुआ हो)],Sheet2!E51,Table1[अग्निकाण्ड का दिनांक],"&gt;="&amp;DATE(2024,10,1), Table1[अग्निकाण्ड का दिनांक],"&lt;="&amp;EOMONTH(DATE(2024,10,1),0))</f>
        <v>0</v>
      </c>
      <c r="Y51" s="202">
        <v>1</v>
      </c>
      <c r="Z51" s="208">
        <f>COUNTIFS(Table1[(जिस फायर स्टेशन क्षेत्रार्न्तागत अग्निकाण्ड हुआ हो)],Sheet2!E51,Table1[अग्निकाण्ड का दिनांक],"&gt;="&amp;DATE(2024,11,1), Table1[अग्निकाण्ड का दिनांक],"&lt;="&amp;EOMONTH(DATE(2024,11,1),0))</f>
        <v>0</v>
      </c>
      <c r="AA51" s="202">
        <v>0</v>
      </c>
      <c r="AB51" s="208">
        <f>COUNTIFS(Table1[(जिस फायर स्टेशन क्षेत्रार्न्तागत अग्निकाण्ड हुआ हो)],Sheet2!E51,Table1[अग्निकाण्ड का दिनांक],"&gt;="&amp;DATE(2024,12,1), Table1[अग्निकाण्ड का दिनांक],"&lt;="&amp;EOMONTH(DATE(2024,12,1),0))</f>
        <v>0</v>
      </c>
      <c r="AC51" s="202">
        <v>0</v>
      </c>
      <c r="AD51" s="208">
        <f t="shared" si="0"/>
        <v>0</v>
      </c>
      <c r="AE51" s="199">
        <f t="shared" si="1"/>
        <v>94</v>
      </c>
    </row>
    <row r="52" spans="3:31" ht="20.100000000000001" customHeight="1" x14ac:dyDescent="0.25">
      <c r="C52" s="203">
        <v>48</v>
      </c>
      <c r="D52" s="204"/>
      <c r="E52" s="204" t="s">
        <v>5684</v>
      </c>
      <c r="F52" s="208">
        <f>COUNTIFS(Table1[(जिस फायर स्टेशन क्षेत्रार्न्तागत अग्निकाण्ड हुआ हो)],Sheet2!E52,Table1[अग्निकाण्ड का दिनांक],"&gt;="&amp;DATE(2024,1,1), Table1[अग्निकाण्ड का दिनांक],"&lt;="&amp;EOMONTH(DATE(2024,1,1),0))</f>
        <v>0</v>
      </c>
      <c r="G52" s="202">
        <v>4</v>
      </c>
      <c r="H52" s="208">
        <f>COUNTIFS(Table1[(जिस फायर स्टेशन क्षेत्रार्न्तागत अग्निकाण्ड हुआ हो)],Sheet2!E52,Table1[अग्निकाण्ड का दिनांक],"&gt;="&amp;DATE(2024,2,1), Table1[अग्निकाण्ड का दिनांक],"&lt;="&amp;EOMONTH(DATE(2024,2,1),0))</f>
        <v>0</v>
      </c>
      <c r="I52" s="202">
        <v>3</v>
      </c>
      <c r="J52" s="208">
        <f>COUNTIFS(Table1[(जिस फायर स्टेशन क्षेत्रार्न्तागत अग्निकाण्ड हुआ हो)],Sheet2!E52,Table1[अग्निकाण्ड का दिनांक],"&gt;="&amp;DATE(2024,3,1), Table1[अग्निकाण्ड का दिनांक],"&lt;="&amp;EOMONTH(DATE(2024,3,1),0))</f>
        <v>0</v>
      </c>
      <c r="K52" s="202">
        <v>4</v>
      </c>
      <c r="L52" s="208">
        <f>COUNTIFS(Table1[(जिस फायर स्टेशन क्षेत्रार्न्तागत अग्निकाण्ड हुआ हो)],Sheet2!E52,Table1[अग्निकाण्ड का दिनांक],"&gt;="&amp;DATE(2024,4,1), Table1[अग्निकाण्ड का दिनांक],"&lt;="&amp;EOMONTH(DATE(2024,4,1),0))</f>
        <v>0</v>
      </c>
      <c r="M52" s="202">
        <v>10</v>
      </c>
      <c r="N52" s="208">
        <f>COUNTIFS(Table1[(जिस फायर स्टेशन क्षेत्रार्न्तागत अग्निकाण्ड हुआ हो)],Sheet2!E52,Table1[अग्निकाण्ड का दिनांक],"&gt;="&amp;DATE(2024,5,1), Table1[अग्निकाण्ड का दिनांक],"&lt;="&amp;EOMONTH(DATE(2024,5,1),0))</f>
        <v>0</v>
      </c>
      <c r="O52" s="202">
        <v>10</v>
      </c>
      <c r="P52" s="208">
        <f>COUNTIFS(Table1[(जिस फायर स्टेशन क्षेत्रार्न्तागत अग्निकाण्ड हुआ हो)],Sheet2!E52,Table1[अग्निकाण्ड का दिनांक],"&gt;="&amp;DATE(2024,6,1), Table1[अग्निकाण्ड का दिनांक],"&lt;="&amp;EOMONTH(DATE(2024,6,1),0))</f>
        <v>0</v>
      </c>
      <c r="Q52" s="202">
        <v>6</v>
      </c>
      <c r="R52" s="208">
        <f>COUNTIFS(Table1[(जिस फायर स्टेशन क्षेत्रार्न्तागत अग्निकाण्ड हुआ हो)],Sheet2!E52,Table1[अग्निकाण्ड का दिनांक],"&gt;="&amp;DATE(2024,7,1), Table1[अग्निकाण्ड का दिनांक],"&lt;="&amp;EOMONTH(DATE(2024,7,1),0))</f>
        <v>0</v>
      </c>
      <c r="S52" s="202">
        <v>0</v>
      </c>
      <c r="T52" s="208">
        <f>COUNTIFS(Table1[(जिस फायर स्टेशन क्षेत्रार्न्तागत अग्निकाण्ड हुआ हो)],Sheet2!E52,Table1[अग्निकाण्ड का दिनांक],"&gt;="&amp;DATE(2024,8,1), Table1[अग्निकाण्ड का दिनांक],"&lt;="&amp;EOMONTH(DATE(2024,8,1),0))</f>
        <v>0</v>
      </c>
      <c r="U52" s="202">
        <v>1</v>
      </c>
      <c r="V52" s="208">
        <f>COUNTIFS(Table1[(जिस फायर स्टेशन क्षेत्रार्न्तागत अग्निकाण्ड हुआ हो)],Sheet2!E52,Table1[अग्निकाण्ड का दिनांक],"&gt;="&amp;DATE(2024,9,1), Table1[अग्निकाण्ड का दिनांक],"&lt;="&amp;EOMONTH(DATE(2024,9,1),0))</f>
        <v>0</v>
      </c>
      <c r="W52" s="202">
        <v>0</v>
      </c>
      <c r="X52" s="208">
        <f>COUNTIFS(Table1[(जिस फायर स्टेशन क्षेत्रार्न्तागत अग्निकाण्ड हुआ हो)],Sheet2!E52,Table1[अग्निकाण्ड का दिनांक],"&gt;="&amp;DATE(2024,10,1), Table1[अग्निकाण्ड का दिनांक],"&lt;="&amp;EOMONTH(DATE(2024,10,1),0))</f>
        <v>0</v>
      </c>
      <c r="Y52" s="202">
        <v>3</v>
      </c>
      <c r="Z52" s="208">
        <f>COUNTIFS(Table1[(जिस फायर स्टेशन क्षेत्रार्न्तागत अग्निकाण्ड हुआ हो)],Sheet2!E52,Table1[अग्निकाण्ड का दिनांक],"&gt;="&amp;DATE(2024,11,1), Table1[अग्निकाण्ड का दिनांक],"&lt;="&amp;EOMONTH(DATE(2024,11,1),0))</f>
        <v>0</v>
      </c>
      <c r="AA52" s="202">
        <v>2</v>
      </c>
      <c r="AB52" s="208">
        <f>COUNTIFS(Table1[(जिस फायर स्टेशन क्षेत्रार्न्तागत अग्निकाण्ड हुआ हो)],Sheet2!E52,Table1[अग्निकाण्ड का दिनांक],"&gt;="&amp;DATE(2024,12,1), Table1[अग्निकाण्ड का दिनांक],"&lt;="&amp;EOMONTH(DATE(2024,12,1),0))</f>
        <v>0</v>
      </c>
      <c r="AC52" s="202">
        <v>1</v>
      </c>
      <c r="AD52" s="208">
        <f t="shared" si="0"/>
        <v>0</v>
      </c>
      <c r="AE52" s="199">
        <f t="shared" si="1"/>
        <v>44</v>
      </c>
    </row>
    <row r="53" spans="3:31" ht="20.100000000000001" customHeight="1" x14ac:dyDescent="0.25">
      <c r="C53" s="200">
        <v>49</v>
      </c>
      <c r="D53" s="201"/>
      <c r="E53" s="201" t="s">
        <v>4826</v>
      </c>
      <c r="F53" s="208">
        <f>COUNTIFS(Table1[(जिस फायर स्टेशन क्षेत्रार्न्तागत अग्निकाण्ड हुआ हो)],Sheet2!E53,Table1[अग्निकाण्ड का दिनांक],"&gt;="&amp;DATE(2024,1,1), Table1[अग्निकाण्ड का दिनांक],"&lt;="&amp;EOMONTH(DATE(2024,1,1),0))</f>
        <v>0</v>
      </c>
      <c r="G53" s="202">
        <v>0</v>
      </c>
      <c r="H53" s="208">
        <f>COUNTIFS(Table1[(जिस फायर स्टेशन क्षेत्रार्न्तागत अग्निकाण्ड हुआ हो)],Sheet2!E53,Table1[अग्निकाण्ड का दिनांक],"&gt;="&amp;DATE(2024,2,1), Table1[अग्निकाण्ड का दिनांक],"&lt;="&amp;EOMONTH(DATE(2024,2,1),0))</f>
        <v>0</v>
      </c>
      <c r="I53" s="202">
        <v>0</v>
      </c>
      <c r="J53" s="208">
        <f>COUNTIFS(Table1[(जिस फायर स्टेशन क्षेत्रार्न्तागत अग्निकाण्ड हुआ हो)],Sheet2!E53,Table1[अग्निकाण्ड का दिनांक],"&gt;="&amp;DATE(2024,3,1), Table1[अग्निकाण्ड का दिनांक],"&lt;="&amp;EOMONTH(DATE(2024,3,1),0))</f>
        <v>0</v>
      </c>
      <c r="K53" s="202">
        <v>3</v>
      </c>
      <c r="L53" s="208">
        <f>COUNTIFS(Table1[(जिस फायर स्टेशन क्षेत्रार्न्तागत अग्निकाण्ड हुआ हो)],Sheet2!E53,Table1[अग्निकाण्ड का दिनांक],"&gt;="&amp;DATE(2024,4,1), Table1[अग्निकाण्ड का दिनांक],"&lt;="&amp;EOMONTH(DATE(2024,4,1),0))</f>
        <v>0</v>
      </c>
      <c r="M53" s="202">
        <v>11</v>
      </c>
      <c r="N53" s="208">
        <f>COUNTIFS(Table1[(जिस फायर स्टेशन क्षेत्रार्न्तागत अग्निकाण्ड हुआ हो)],Sheet2!E53,Table1[अग्निकाण्ड का दिनांक],"&gt;="&amp;DATE(2024,5,1), Table1[अग्निकाण्ड का दिनांक],"&lt;="&amp;EOMONTH(DATE(2024,5,1),0))</f>
        <v>0</v>
      </c>
      <c r="O53" s="202">
        <v>9</v>
      </c>
      <c r="P53" s="208">
        <f>COUNTIFS(Table1[(जिस फायर स्टेशन क्षेत्रार्न्तागत अग्निकाण्ड हुआ हो)],Sheet2!E53,Table1[अग्निकाण्ड का दिनांक],"&gt;="&amp;DATE(2024,6,1), Table1[अग्निकाण्ड का दिनांक],"&lt;="&amp;EOMONTH(DATE(2024,6,1),0))</f>
        <v>0</v>
      </c>
      <c r="Q53" s="202">
        <v>3</v>
      </c>
      <c r="R53" s="208">
        <f>COUNTIFS(Table1[(जिस फायर स्टेशन क्षेत्रार्न्तागत अग्निकाण्ड हुआ हो)],Sheet2!E53,Table1[अग्निकाण्ड का दिनांक],"&gt;="&amp;DATE(2024,7,1), Table1[अग्निकाण्ड का दिनांक],"&lt;="&amp;EOMONTH(DATE(2024,7,1),0))</f>
        <v>0</v>
      </c>
      <c r="S53" s="202">
        <v>0</v>
      </c>
      <c r="T53" s="208">
        <f>COUNTIFS(Table1[(जिस फायर स्टेशन क्षेत्रार्न्तागत अग्निकाण्ड हुआ हो)],Sheet2!E53,Table1[अग्निकाण्ड का दिनांक],"&gt;="&amp;DATE(2024,8,1), Table1[अग्निकाण्ड का दिनांक],"&lt;="&amp;EOMONTH(DATE(2024,8,1),0))</f>
        <v>0</v>
      </c>
      <c r="U53" s="202">
        <v>0</v>
      </c>
      <c r="V53" s="208">
        <f>COUNTIFS(Table1[(जिस फायर स्टेशन क्षेत्रार्न्तागत अग्निकाण्ड हुआ हो)],Sheet2!E53,Table1[अग्निकाण्ड का दिनांक],"&gt;="&amp;DATE(2024,9,1), Table1[अग्निकाण्ड का दिनांक],"&lt;="&amp;EOMONTH(DATE(2024,9,1),0))</f>
        <v>0</v>
      </c>
      <c r="W53" s="202">
        <v>0</v>
      </c>
      <c r="X53" s="208">
        <f>COUNTIFS(Table1[(जिस फायर स्टेशन क्षेत्रार्न्तागत अग्निकाण्ड हुआ हो)],Sheet2!E53,Table1[अग्निकाण्ड का दिनांक],"&gt;="&amp;DATE(2024,10,1), Table1[अग्निकाण्ड का दिनांक],"&lt;="&amp;EOMONTH(DATE(2024,10,1),0))</f>
        <v>0</v>
      </c>
      <c r="Y53" s="202">
        <v>1</v>
      </c>
      <c r="Z53" s="208">
        <f>COUNTIFS(Table1[(जिस फायर स्टेशन क्षेत्रार्न्तागत अग्निकाण्ड हुआ हो)],Sheet2!E53,Table1[अग्निकाण्ड का दिनांक],"&gt;="&amp;DATE(2024,11,1), Table1[अग्निकाण्ड का दिनांक],"&lt;="&amp;EOMONTH(DATE(2024,11,1),0))</f>
        <v>0</v>
      </c>
      <c r="AA53" s="202">
        <v>2</v>
      </c>
      <c r="AB53" s="208">
        <f>COUNTIFS(Table1[(जिस फायर स्टेशन क्षेत्रार्न्तागत अग्निकाण्ड हुआ हो)],Sheet2!E53,Table1[अग्निकाण्ड का दिनांक],"&gt;="&amp;DATE(2024,12,1), Table1[अग्निकाण्ड का दिनांक],"&lt;="&amp;EOMONTH(DATE(2024,12,1),0))</f>
        <v>0</v>
      </c>
      <c r="AC53" s="202">
        <v>0</v>
      </c>
      <c r="AD53" s="208">
        <f t="shared" si="0"/>
        <v>0</v>
      </c>
      <c r="AE53" s="199">
        <f t="shared" si="1"/>
        <v>29</v>
      </c>
    </row>
    <row r="54" spans="3:31" ht="20.100000000000001" customHeight="1" x14ac:dyDescent="0.25">
      <c r="C54" s="205"/>
      <c r="D54" s="205"/>
      <c r="E54" s="205"/>
      <c r="F54" s="209">
        <f>SUM(F5:F53)</f>
        <v>0</v>
      </c>
      <c r="G54" s="206">
        <f>SUM(G5:G53)</f>
        <v>192</v>
      </c>
      <c r="H54" s="209">
        <f t="shared" ref="H54:R54" si="2">SUM(H5:H53)</f>
        <v>0</v>
      </c>
      <c r="I54" s="206">
        <f t="shared" si="2"/>
        <v>181</v>
      </c>
      <c r="J54" s="209">
        <f t="shared" si="2"/>
        <v>0</v>
      </c>
      <c r="K54" s="206">
        <f t="shared" si="2"/>
        <v>219</v>
      </c>
      <c r="L54" s="209">
        <f t="shared" si="2"/>
        <v>0</v>
      </c>
      <c r="M54" s="206">
        <f t="shared" si="2"/>
        <v>997</v>
      </c>
      <c r="N54" s="209">
        <f t="shared" si="2"/>
        <v>0</v>
      </c>
      <c r="O54" s="206">
        <f t="shared" si="2"/>
        <v>1041</v>
      </c>
      <c r="P54" s="209">
        <f t="shared" si="2"/>
        <v>430</v>
      </c>
      <c r="Q54" s="206">
        <f t="shared" si="2"/>
        <v>723</v>
      </c>
      <c r="R54" s="209">
        <f t="shared" si="2"/>
        <v>0</v>
      </c>
      <c r="S54" s="206">
        <f t="shared" ref="S54" si="3">SUM(S5:S53)</f>
        <v>99</v>
      </c>
      <c r="T54" s="209">
        <f t="shared" ref="T54" si="4">SUM(T5:T53)</f>
        <v>0</v>
      </c>
      <c r="U54" s="206">
        <f t="shared" ref="U54" si="5">SUM(U5:U53)</f>
        <v>73</v>
      </c>
      <c r="V54" s="209">
        <f t="shared" ref="V54" si="6">SUM(V5:V53)</f>
        <v>0</v>
      </c>
      <c r="W54" s="206">
        <f t="shared" ref="W54" si="7">SUM(W5:W53)</f>
        <v>65</v>
      </c>
      <c r="X54" s="209">
        <f t="shared" ref="X54" si="8">SUM(X5:X53)</f>
        <v>0</v>
      </c>
      <c r="Y54" s="206">
        <f t="shared" ref="Y54" si="9">SUM(Y5:Y53)</f>
        <v>175</v>
      </c>
      <c r="Z54" s="209">
        <f t="shared" ref="Z54" si="10">SUM(Z5:Z53)</f>
        <v>0</v>
      </c>
      <c r="AA54" s="206">
        <f t="shared" ref="AA54" si="11">SUM(AA5:AA53)</f>
        <v>170</v>
      </c>
      <c r="AB54" s="209">
        <f t="shared" ref="AB54" si="12">SUM(AB5:AB53)</f>
        <v>0</v>
      </c>
      <c r="AC54" s="206">
        <f t="shared" ref="AC54" si="13">SUM(AC5:AC53)</f>
        <v>189</v>
      </c>
      <c r="AD54" s="209">
        <f t="shared" ref="AD54" si="14">SUM(AD5:AD53)</f>
        <v>430</v>
      </c>
      <c r="AE54" s="206">
        <f t="shared" ref="AE54" si="15">SUM(AE5:AE53)</f>
        <v>4124</v>
      </c>
    </row>
  </sheetData>
  <mergeCells count="14">
    <mergeCell ref="C2:AE2"/>
    <mergeCell ref="F4:G4"/>
    <mergeCell ref="H4:I4"/>
    <mergeCell ref="J4:K4"/>
    <mergeCell ref="L4:M4"/>
    <mergeCell ref="N4:O4"/>
    <mergeCell ref="P4:Q4"/>
    <mergeCell ref="R4:S4"/>
    <mergeCell ref="T4:U4"/>
    <mergeCell ref="V4:W4"/>
    <mergeCell ref="X4:Y4"/>
    <mergeCell ref="Z4:AA4"/>
    <mergeCell ref="AB4:AC4"/>
    <mergeCell ref="AD4:AE4"/>
  </mergeCells>
  <conditionalFormatting sqref="F5:AE54">
    <cfRule type="expression" dxfId="3" priority="1">
      <formula>AND(MOD(COLUMN(A1),2)=1, F5&gt;G5)</formula>
    </cfRule>
    <cfRule type="expression" dxfId="2" priority="2">
      <formula>AND(MOD(COLUMN(A1),2)=1, F5&lt;G5)</formula>
    </cfRule>
    <cfRule type="expression" dxfId="1" priority="3">
      <formula>AND(MOD(COLUMN(A1),2)=1, F5=G5)</formula>
    </cfRule>
    <cfRule type="cellIs" dxfId="0" priority="12" operator="equal">
      <formula>0</formula>
    </cfRule>
  </conditionalFormatting>
  <pageMargins left="0.2" right="0.13" top="0.18" bottom="0.13" header="0.13" footer="0.13"/>
  <pageSetup scale="53"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86107-1C69-44C5-8E0C-8E01229AEEC7}">
  <dimension ref="B2:R323"/>
  <sheetViews>
    <sheetView topLeftCell="H3" zoomScale="70" zoomScaleNormal="70" workbookViewId="0">
      <selection activeCell="N5" sqref="N5"/>
    </sheetView>
  </sheetViews>
  <sheetFormatPr defaultRowHeight="15" x14ac:dyDescent="0.25"/>
  <cols>
    <col min="4" max="4" width="10.42578125" bestFit="1" customWidth="1"/>
    <col min="5" max="5" width="12" style="102" customWidth="1"/>
    <col min="7" max="7" width="55.85546875" customWidth="1"/>
    <col min="8" max="8" width="10.7109375" customWidth="1"/>
    <col min="9" max="9" width="12.140625" customWidth="1"/>
    <col min="10" max="10" width="15" customWidth="1"/>
    <col min="11" max="11" width="10.5703125" customWidth="1"/>
  </cols>
  <sheetData>
    <row r="2" spans="2:18" ht="126" x14ac:dyDescent="0.25">
      <c r="B2" s="27" t="s">
        <v>4765</v>
      </c>
      <c r="C2" s="105" t="s">
        <v>77</v>
      </c>
      <c r="D2" s="27" t="s">
        <v>78</v>
      </c>
      <c r="E2" s="187" t="s">
        <v>79</v>
      </c>
      <c r="F2" s="27" t="s">
        <v>80</v>
      </c>
      <c r="G2" s="27" t="s">
        <v>81</v>
      </c>
      <c r="H2" s="183" t="s">
        <v>82</v>
      </c>
      <c r="I2" s="183" t="s">
        <v>4836</v>
      </c>
      <c r="J2" s="27" t="s">
        <v>83</v>
      </c>
      <c r="K2" s="27" t="s">
        <v>84</v>
      </c>
      <c r="L2" s="27" t="s">
        <v>85</v>
      </c>
      <c r="M2" s="27" t="s">
        <v>86</v>
      </c>
      <c r="N2" s="27" t="s">
        <v>91</v>
      </c>
      <c r="O2" s="27" t="s">
        <v>87</v>
      </c>
      <c r="P2" s="27" t="s">
        <v>90</v>
      </c>
      <c r="Q2" s="27" t="s">
        <v>88</v>
      </c>
      <c r="R2" s="27" t="s">
        <v>89</v>
      </c>
    </row>
    <row r="3" spans="2:18" ht="39" x14ac:dyDescent="0.35">
      <c r="B3" s="104">
        <v>1</v>
      </c>
      <c r="C3" s="248" t="s">
        <v>4824</v>
      </c>
      <c r="D3" s="248" t="s">
        <v>4824</v>
      </c>
      <c r="E3" s="212">
        <v>45454</v>
      </c>
      <c r="F3" s="259">
        <v>0.80902777777777779</v>
      </c>
      <c r="G3" s="122" t="s">
        <v>6059</v>
      </c>
      <c r="H3" s="211" t="s">
        <v>4108</v>
      </c>
      <c r="I3" s="211"/>
      <c r="J3" s="113" t="s">
        <v>6058</v>
      </c>
      <c r="K3" s="131">
        <v>100000</v>
      </c>
      <c r="L3" s="131">
        <v>500000</v>
      </c>
      <c r="M3" s="28" t="s">
        <v>20</v>
      </c>
      <c r="N3" s="28" t="s">
        <v>20</v>
      </c>
      <c r="O3" s="28" t="s">
        <v>20</v>
      </c>
      <c r="P3" s="28" t="s">
        <v>20</v>
      </c>
      <c r="Q3" s="28" t="s">
        <v>20</v>
      </c>
      <c r="R3" s="28" t="s">
        <v>20</v>
      </c>
    </row>
    <row r="4" spans="2:18" ht="39" x14ac:dyDescent="0.35">
      <c r="B4" s="104">
        <v>2</v>
      </c>
      <c r="C4" s="248" t="s">
        <v>4824</v>
      </c>
      <c r="D4" s="248" t="s">
        <v>4824</v>
      </c>
      <c r="E4" s="212">
        <v>45454</v>
      </c>
      <c r="F4" s="258">
        <v>0.89513888888888893</v>
      </c>
      <c r="G4" s="122" t="s">
        <v>6060</v>
      </c>
      <c r="H4" s="131" t="s">
        <v>406</v>
      </c>
      <c r="I4" s="211"/>
      <c r="J4" s="104" t="s">
        <v>347</v>
      </c>
      <c r="K4" s="131">
        <v>600000</v>
      </c>
      <c r="L4" s="131">
        <v>1000000</v>
      </c>
      <c r="M4" s="28" t="s">
        <v>20</v>
      </c>
      <c r="N4" s="28" t="s">
        <v>20</v>
      </c>
      <c r="O4" s="28" t="s">
        <v>20</v>
      </c>
      <c r="P4" s="28" t="s">
        <v>20</v>
      </c>
      <c r="Q4" s="28" t="s">
        <v>20</v>
      </c>
      <c r="R4" s="28" t="s">
        <v>20</v>
      </c>
    </row>
    <row r="5" spans="2:18" ht="39" x14ac:dyDescent="0.35">
      <c r="B5" s="104">
        <v>3</v>
      </c>
      <c r="C5" s="248" t="s">
        <v>4824</v>
      </c>
      <c r="D5" s="248" t="s">
        <v>4824</v>
      </c>
      <c r="E5" s="212">
        <v>45444</v>
      </c>
      <c r="F5" s="258">
        <v>0.51249999999999996</v>
      </c>
      <c r="G5" s="122" t="s">
        <v>6061</v>
      </c>
      <c r="H5" s="131"/>
      <c r="I5" s="211"/>
      <c r="J5" s="104" t="s">
        <v>2443</v>
      </c>
      <c r="K5" s="131"/>
      <c r="L5" s="131"/>
      <c r="M5" s="28" t="s">
        <v>20</v>
      </c>
      <c r="N5" s="28" t="s">
        <v>20</v>
      </c>
      <c r="O5" s="28" t="s">
        <v>20</v>
      </c>
      <c r="P5" s="28" t="s">
        <v>20</v>
      </c>
      <c r="Q5" s="28" t="s">
        <v>20</v>
      </c>
      <c r="R5" s="28" t="s">
        <v>20</v>
      </c>
    </row>
    <row r="6" spans="2:18" ht="39" x14ac:dyDescent="0.35">
      <c r="B6" s="104">
        <v>4</v>
      </c>
      <c r="C6" s="248" t="s">
        <v>4824</v>
      </c>
      <c r="D6" s="248" t="s">
        <v>4824</v>
      </c>
      <c r="E6" s="212">
        <v>45444</v>
      </c>
      <c r="F6" s="258">
        <v>0.59861111111111109</v>
      </c>
      <c r="G6" s="122" t="s">
        <v>6062</v>
      </c>
      <c r="H6" s="131"/>
      <c r="I6" s="211"/>
      <c r="J6" s="104" t="s">
        <v>2443</v>
      </c>
      <c r="K6" s="131"/>
      <c r="L6" s="131"/>
      <c r="M6" s="28" t="s">
        <v>20</v>
      </c>
      <c r="N6" s="28" t="s">
        <v>20</v>
      </c>
      <c r="O6" s="28" t="s">
        <v>20</v>
      </c>
      <c r="P6" s="28" t="s">
        <v>20</v>
      </c>
      <c r="Q6" s="28" t="s">
        <v>20</v>
      </c>
      <c r="R6" s="28" t="s">
        <v>20</v>
      </c>
    </row>
    <row r="7" spans="2:18" ht="39" x14ac:dyDescent="0.35">
      <c r="B7" s="104">
        <v>5</v>
      </c>
      <c r="C7" s="248" t="s">
        <v>4824</v>
      </c>
      <c r="D7" s="248" t="s">
        <v>4824</v>
      </c>
      <c r="E7" s="212">
        <v>45444</v>
      </c>
      <c r="F7" s="258">
        <v>0.70138888888888884</v>
      </c>
      <c r="G7" s="122" t="s">
        <v>6063</v>
      </c>
      <c r="H7" s="131"/>
      <c r="I7" s="131"/>
      <c r="J7" s="104" t="s">
        <v>2443</v>
      </c>
      <c r="K7" s="131"/>
      <c r="L7" s="131"/>
      <c r="M7" s="28" t="s">
        <v>20</v>
      </c>
      <c r="N7" s="28" t="s">
        <v>20</v>
      </c>
      <c r="O7" s="28" t="s">
        <v>20</v>
      </c>
      <c r="P7" s="28" t="s">
        <v>20</v>
      </c>
      <c r="Q7" s="28" t="s">
        <v>20</v>
      </c>
      <c r="R7" s="28" t="s">
        <v>20</v>
      </c>
    </row>
    <row r="8" spans="2:18" ht="39" x14ac:dyDescent="0.35">
      <c r="B8" s="104">
        <v>6</v>
      </c>
      <c r="C8" s="248" t="s">
        <v>4824</v>
      </c>
      <c r="D8" s="248" t="s">
        <v>4824</v>
      </c>
      <c r="E8" s="212">
        <v>45445</v>
      </c>
      <c r="F8" s="258">
        <v>0.58750000000000002</v>
      </c>
      <c r="G8" s="122" t="s">
        <v>6064</v>
      </c>
      <c r="H8" s="131"/>
      <c r="I8" s="131"/>
      <c r="J8" s="104" t="s">
        <v>2443</v>
      </c>
      <c r="K8" s="131"/>
      <c r="L8" s="131"/>
      <c r="M8" s="28" t="s">
        <v>20</v>
      </c>
      <c r="N8" s="28" t="s">
        <v>20</v>
      </c>
      <c r="O8" s="28" t="s">
        <v>20</v>
      </c>
      <c r="P8" s="28" t="s">
        <v>20</v>
      </c>
      <c r="Q8" s="28" t="s">
        <v>20</v>
      </c>
      <c r="R8" s="28" t="s">
        <v>20</v>
      </c>
    </row>
    <row r="9" spans="2:18" ht="39" x14ac:dyDescent="0.35">
      <c r="B9" s="104">
        <v>7</v>
      </c>
      <c r="C9" s="248" t="s">
        <v>4824</v>
      </c>
      <c r="D9" s="248" t="s">
        <v>4824</v>
      </c>
      <c r="E9" s="212">
        <v>45445</v>
      </c>
      <c r="F9" s="258">
        <v>0.72430555555555554</v>
      </c>
      <c r="G9" s="122" t="s">
        <v>6065</v>
      </c>
      <c r="H9" s="131"/>
      <c r="I9" s="131"/>
      <c r="J9" s="104" t="s">
        <v>2443</v>
      </c>
      <c r="K9" s="131"/>
      <c r="L9" s="131"/>
      <c r="M9" s="28" t="s">
        <v>20</v>
      </c>
      <c r="N9" s="28" t="s">
        <v>20</v>
      </c>
      <c r="O9" s="28" t="s">
        <v>20</v>
      </c>
      <c r="P9" s="28" t="s">
        <v>20</v>
      </c>
      <c r="Q9" s="28" t="s">
        <v>20</v>
      </c>
      <c r="R9" s="28" t="s">
        <v>20</v>
      </c>
    </row>
    <row r="10" spans="2:18" ht="39" x14ac:dyDescent="0.35">
      <c r="B10" s="104">
        <v>8</v>
      </c>
      <c r="C10" s="248" t="s">
        <v>4824</v>
      </c>
      <c r="D10" s="248" t="s">
        <v>4824</v>
      </c>
      <c r="E10" s="212">
        <v>45446</v>
      </c>
      <c r="F10" s="258">
        <v>0.78055555555555556</v>
      </c>
      <c r="G10" s="122" t="s">
        <v>6066</v>
      </c>
      <c r="H10" s="131"/>
      <c r="I10" s="131"/>
      <c r="J10" s="104" t="s">
        <v>2443</v>
      </c>
      <c r="K10" s="131">
        <v>5000</v>
      </c>
      <c r="L10" s="131">
        <v>45000</v>
      </c>
      <c r="M10" s="28" t="s">
        <v>20</v>
      </c>
      <c r="N10" s="28" t="s">
        <v>20</v>
      </c>
      <c r="O10" s="28" t="s">
        <v>20</v>
      </c>
      <c r="P10" s="28" t="s">
        <v>20</v>
      </c>
      <c r="Q10" s="28" t="s">
        <v>20</v>
      </c>
      <c r="R10" s="28" t="s">
        <v>20</v>
      </c>
    </row>
    <row r="11" spans="2:18" ht="39" x14ac:dyDescent="0.35">
      <c r="B11" s="104">
        <v>9</v>
      </c>
      <c r="C11" s="248" t="s">
        <v>4824</v>
      </c>
      <c r="D11" s="248" t="s">
        <v>4824</v>
      </c>
      <c r="E11" s="212">
        <v>45447</v>
      </c>
      <c r="F11" s="258">
        <v>0.85138888888888886</v>
      </c>
      <c r="G11" s="122" t="s">
        <v>6067</v>
      </c>
      <c r="H11" s="131"/>
      <c r="I11" s="131"/>
      <c r="J11" s="104" t="s">
        <v>2443</v>
      </c>
      <c r="K11" s="131"/>
      <c r="L11" s="131"/>
      <c r="M11" s="28" t="s">
        <v>20</v>
      </c>
      <c r="N11" s="28" t="s">
        <v>20</v>
      </c>
      <c r="O11" s="28" t="s">
        <v>20</v>
      </c>
      <c r="P11" s="28" t="s">
        <v>20</v>
      </c>
      <c r="Q11" s="28" t="s">
        <v>20</v>
      </c>
      <c r="R11" s="28" t="s">
        <v>20</v>
      </c>
    </row>
    <row r="12" spans="2:18" ht="39" x14ac:dyDescent="0.35">
      <c r="B12" s="104">
        <v>10</v>
      </c>
      <c r="C12" s="248" t="s">
        <v>4824</v>
      </c>
      <c r="D12" s="248" t="s">
        <v>4824</v>
      </c>
      <c r="E12" s="212">
        <v>45451</v>
      </c>
      <c r="F12" s="258">
        <v>0.68680555555555556</v>
      </c>
      <c r="G12" s="122" t="s">
        <v>6068</v>
      </c>
      <c r="H12" s="131"/>
      <c r="I12" s="131"/>
      <c r="J12" s="104" t="s">
        <v>2443</v>
      </c>
      <c r="K12" s="131">
        <v>3000</v>
      </c>
      <c r="L12" s="131">
        <v>22000</v>
      </c>
      <c r="M12" s="28" t="s">
        <v>20</v>
      </c>
      <c r="N12" s="28" t="s">
        <v>20</v>
      </c>
      <c r="O12" s="28" t="s">
        <v>20</v>
      </c>
      <c r="P12" s="28" t="s">
        <v>20</v>
      </c>
      <c r="Q12" s="28" t="s">
        <v>20</v>
      </c>
      <c r="R12" s="28" t="s">
        <v>20</v>
      </c>
    </row>
    <row r="13" spans="2:18" ht="39" x14ac:dyDescent="0.35">
      <c r="B13" s="104">
        <v>11</v>
      </c>
      <c r="C13" s="248" t="s">
        <v>4824</v>
      </c>
      <c r="D13" s="248" t="s">
        <v>4824</v>
      </c>
      <c r="E13" s="212">
        <v>45452</v>
      </c>
      <c r="F13" s="258">
        <v>0.61388888888888893</v>
      </c>
      <c r="G13" s="122" t="s">
        <v>6069</v>
      </c>
      <c r="H13" s="131"/>
      <c r="I13" s="131"/>
      <c r="J13" s="104" t="s">
        <v>2443</v>
      </c>
      <c r="K13" s="131">
        <v>5000</v>
      </c>
      <c r="L13" s="131">
        <v>55000</v>
      </c>
      <c r="M13" s="28" t="s">
        <v>20</v>
      </c>
      <c r="N13" s="28" t="s">
        <v>20</v>
      </c>
      <c r="O13" s="28" t="s">
        <v>20</v>
      </c>
      <c r="P13" s="28" t="s">
        <v>20</v>
      </c>
      <c r="Q13" s="28" t="s">
        <v>20</v>
      </c>
      <c r="R13" s="28" t="s">
        <v>20</v>
      </c>
    </row>
    <row r="14" spans="2:18" ht="39" x14ac:dyDescent="0.35">
      <c r="B14" s="104">
        <v>12</v>
      </c>
      <c r="C14" s="248" t="s">
        <v>4824</v>
      </c>
      <c r="D14" s="248" t="s">
        <v>4824</v>
      </c>
      <c r="E14" s="212">
        <v>45452</v>
      </c>
      <c r="F14" s="258">
        <v>0.80069444444444449</v>
      </c>
      <c r="G14" s="122" t="s">
        <v>6070</v>
      </c>
      <c r="H14" s="131"/>
      <c r="I14" s="131"/>
      <c r="J14" s="104" t="s">
        <v>2443</v>
      </c>
      <c r="K14" s="131">
        <v>3000</v>
      </c>
      <c r="L14" s="131">
        <v>17000</v>
      </c>
      <c r="M14" s="28" t="s">
        <v>20</v>
      </c>
      <c r="N14" s="28" t="s">
        <v>20</v>
      </c>
      <c r="O14" s="28" t="s">
        <v>20</v>
      </c>
      <c r="P14" s="28" t="s">
        <v>20</v>
      </c>
      <c r="Q14" s="28" t="s">
        <v>20</v>
      </c>
      <c r="R14" s="28" t="s">
        <v>20</v>
      </c>
    </row>
    <row r="15" spans="2:18" ht="39" x14ac:dyDescent="0.35">
      <c r="B15" s="104">
        <v>13</v>
      </c>
      <c r="C15" s="248" t="s">
        <v>4824</v>
      </c>
      <c r="D15" s="248" t="s">
        <v>4824</v>
      </c>
      <c r="E15" s="212">
        <v>45453</v>
      </c>
      <c r="F15" s="258">
        <v>0.62847222222222221</v>
      </c>
      <c r="G15" s="122" t="s">
        <v>6071</v>
      </c>
      <c r="H15" s="131"/>
      <c r="I15" s="131"/>
      <c r="J15" s="104" t="s">
        <v>2443</v>
      </c>
      <c r="K15" s="131">
        <v>5000</v>
      </c>
      <c r="L15" s="131">
        <v>55000</v>
      </c>
      <c r="M15" s="28" t="s">
        <v>20</v>
      </c>
      <c r="N15" s="28" t="s">
        <v>20</v>
      </c>
      <c r="O15" s="28" t="s">
        <v>20</v>
      </c>
      <c r="P15" s="28" t="s">
        <v>20</v>
      </c>
      <c r="Q15" s="28" t="s">
        <v>20</v>
      </c>
      <c r="R15" s="28" t="s">
        <v>20</v>
      </c>
    </row>
    <row r="16" spans="2:18" ht="39" x14ac:dyDescent="0.35">
      <c r="B16" s="104">
        <v>14</v>
      </c>
      <c r="C16" s="248" t="s">
        <v>4824</v>
      </c>
      <c r="D16" s="248" t="s">
        <v>4824</v>
      </c>
      <c r="E16" s="212">
        <v>45453</v>
      </c>
      <c r="F16" s="258">
        <v>0.95</v>
      </c>
      <c r="G16" s="122" t="s">
        <v>6072</v>
      </c>
      <c r="H16" s="131"/>
      <c r="I16" s="131"/>
      <c r="J16" s="104" t="s">
        <v>2443</v>
      </c>
      <c r="K16" s="131">
        <v>4000</v>
      </c>
      <c r="L16" s="131">
        <v>36000</v>
      </c>
      <c r="M16" s="28" t="s">
        <v>20</v>
      </c>
      <c r="N16" s="28" t="s">
        <v>20</v>
      </c>
      <c r="O16" s="28" t="s">
        <v>20</v>
      </c>
      <c r="P16" s="28" t="s">
        <v>20</v>
      </c>
      <c r="Q16" s="28" t="s">
        <v>20</v>
      </c>
      <c r="R16" s="28" t="s">
        <v>20</v>
      </c>
    </row>
    <row r="17" spans="2:18" ht="39" x14ac:dyDescent="0.35">
      <c r="B17" s="104">
        <v>15</v>
      </c>
      <c r="C17" s="248" t="s">
        <v>4824</v>
      </c>
      <c r="D17" s="248" t="s">
        <v>4824</v>
      </c>
      <c r="E17" s="212">
        <v>45454</v>
      </c>
      <c r="F17" s="258">
        <v>0.59027777777777779</v>
      </c>
      <c r="G17" s="122" t="s">
        <v>6073</v>
      </c>
      <c r="H17" s="131"/>
      <c r="I17" s="131"/>
      <c r="J17" s="104" t="s">
        <v>2443</v>
      </c>
      <c r="K17" s="131">
        <v>2000</v>
      </c>
      <c r="L17" s="131">
        <v>18000</v>
      </c>
      <c r="M17" s="28" t="s">
        <v>20</v>
      </c>
      <c r="N17" s="28" t="s">
        <v>20</v>
      </c>
      <c r="O17" s="28" t="s">
        <v>20</v>
      </c>
      <c r="P17" s="28" t="s">
        <v>20</v>
      </c>
      <c r="Q17" s="28" t="s">
        <v>20</v>
      </c>
      <c r="R17" s="28" t="s">
        <v>20</v>
      </c>
    </row>
    <row r="18" spans="2:18" ht="39" x14ac:dyDescent="0.35">
      <c r="B18" s="104">
        <v>16</v>
      </c>
      <c r="C18" s="248" t="s">
        <v>4824</v>
      </c>
      <c r="D18" s="248" t="s">
        <v>4824</v>
      </c>
      <c r="E18" s="212">
        <v>45454</v>
      </c>
      <c r="F18" s="258">
        <v>0.69861111111111107</v>
      </c>
      <c r="G18" s="122" t="s">
        <v>6074</v>
      </c>
      <c r="H18" s="131"/>
      <c r="I18" s="131"/>
      <c r="J18" s="104" t="s">
        <v>2443</v>
      </c>
      <c r="K18" s="131">
        <v>3000</v>
      </c>
      <c r="L18" s="131">
        <v>37000</v>
      </c>
      <c r="M18" s="28" t="s">
        <v>20</v>
      </c>
      <c r="N18" s="28" t="s">
        <v>20</v>
      </c>
      <c r="O18" s="28" t="s">
        <v>20</v>
      </c>
      <c r="P18" s="28" t="s">
        <v>20</v>
      </c>
      <c r="Q18" s="28" t="s">
        <v>20</v>
      </c>
      <c r="R18" s="28" t="s">
        <v>20</v>
      </c>
    </row>
    <row r="19" spans="2:18" ht="39" x14ac:dyDescent="0.35">
      <c r="B19" s="104">
        <v>17</v>
      </c>
      <c r="C19" s="248" t="s">
        <v>4824</v>
      </c>
      <c r="D19" s="248" t="s">
        <v>4824</v>
      </c>
      <c r="E19" s="212">
        <v>45455</v>
      </c>
      <c r="F19" s="258">
        <v>0.62847222222222221</v>
      </c>
      <c r="G19" s="122" t="s">
        <v>6075</v>
      </c>
      <c r="H19" s="131"/>
      <c r="I19" s="131"/>
      <c r="J19" s="104" t="s">
        <v>2443</v>
      </c>
      <c r="K19" s="131">
        <v>2000</v>
      </c>
      <c r="L19" s="131">
        <v>48000</v>
      </c>
      <c r="M19" s="28" t="s">
        <v>20</v>
      </c>
      <c r="N19" s="28" t="s">
        <v>20</v>
      </c>
      <c r="O19" s="28" t="s">
        <v>20</v>
      </c>
      <c r="P19" s="28" t="s">
        <v>20</v>
      </c>
      <c r="Q19" s="28" t="s">
        <v>20</v>
      </c>
      <c r="R19" s="28" t="s">
        <v>20</v>
      </c>
    </row>
    <row r="20" spans="2:18" ht="39" x14ac:dyDescent="0.35">
      <c r="B20" s="104">
        <v>18</v>
      </c>
      <c r="C20" s="248" t="s">
        <v>4824</v>
      </c>
      <c r="D20" s="248" t="s">
        <v>4824</v>
      </c>
      <c r="E20" s="212">
        <v>45455</v>
      </c>
      <c r="F20" s="258">
        <v>0.81666666666666665</v>
      </c>
      <c r="G20" s="122" t="s">
        <v>6076</v>
      </c>
      <c r="H20" s="131"/>
      <c r="I20" s="131"/>
      <c r="J20" s="104" t="s">
        <v>2443</v>
      </c>
      <c r="K20" s="131">
        <v>2000</v>
      </c>
      <c r="L20" s="131">
        <v>28000</v>
      </c>
      <c r="M20" s="28" t="s">
        <v>20</v>
      </c>
      <c r="N20" s="28" t="s">
        <v>20</v>
      </c>
      <c r="O20" s="28" t="s">
        <v>20</v>
      </c>
      <c r="P20" s="28" t="s">
        <v>20</v>
      </c>
      <c r="Q20" s="28" t="s">
        <v>20</v>
      </c>
      <c r="R20" s="28" t="s">
        <v>20</v>
      </c>
    </row>
    <row r="21" spans="2:18" ht="39" x14ac:dyDescent="0.35">
      <c r="B21" s="104">
        <v>19</v>
      </c>
      <c r="C21" s="248" t="s">
        <v>4824</v>
      </c>
      <c r="D21" s="248" t="s">
        <v>4824</v>
      </c>
      <c r="E21" s="212">
        <v>45455</v>
      </c>
      <c r="F21" s="258">
        <v>0.90347222222222223</v>
      </c>
      <c r="G21" s="122" t="s">
        <v>6077</v>
      </c>
      <c r="H21" s="131"/>
      <c r="I21" s="131"/>
      <c r="J21" s="104" t="s">
        <v>2443</v>
      </c>
      <c r="K21" s="131">
        <v>36000</v>
      </c>
      <c r="L21" s="131">
        <v>4000</v>
      </c>
      <c r="M21" s="28" t="s">
        <v>20</v>
      </c>
      <c r="N21" s="28" t="s">
        <v>20</v>
      </c>
      <c r="O21" s="28" t="s">
        <v>20</v>
      </c>
      <c r="P21" s="28" t="s">
        <v>20</v>
      </c>
      <c r="Q21" s="28" t="s">
        <v>20</v>
      </c>
      <c r="R21" s="28" t="s">
        <v>20</v>
      </c>
    </row>
    <row r="22" spans="2:18" ht="39" x14ac:dyDescent="0.35">
      <c r="B22" s="104">
        <v>20</v>
      </c>
      <c r="C22" s="248" t="s">
        <v>4824</v>
      </c>
      <c r="D22" s="248" t="s">
        <v>4824</v>
      </c>
      <c r="E22" s="212">
        <v>45456</v>
      </c>
      <c r="F22" s="258">
        <v>0.40972222222222221</v>
      </c>
      <c r="G22" s="122" t="s">
        <v>6078</v>
      </c>
      <c r="H22" s="131"/>
      <c r="I22" s="131"/>
      <c r="J22" s="104" t="s">
        <v>2443</v>
      </c>
      <c r="K22" s="131">
        <v>4000</v>
      </c>
      <c r="L22" s="131">
        <v>36000</v>
      </c>
      <c r="M22" s="28" t="s">
        <v>20</v>
      </c>
      <c r="N22" s="28" t="s">
        <v>20</v>
      </c>
      <c r="O22" s="28" t="s">
        <v>20</v>
      </c>
      <c r="P22" s="28" t="s">
        <v>20</v>
      </c>
      <c r="Q22" s="28" t="s">
        <v>20</v>
      </c>
      <c r="R22" s="28" t="s">
        <v>20</v>
      </c>
    </row>
    <row r="23" spans="2:18" ht="39" x14ac:dyDescent="0.35">
      <c r="B23" s="104">
        <v>21</v>
      </c>
      <c r="C23" s="248" t="s">
        <v>4824</v>
      </c>
      <c r="D23" s="248" t="s">
        <v>4824</v>
      </c>
      <c r="E23" s="212">
        <v>45456</v>
      </c>
      <c r="F23" s="258">
        <v>0.5625</v>
      </c>
      <c r="G23" s="122" t="s">
        <v>6079</v>
      </c>
      <c r="H23" s="131"/>
      <c r="I23" s="131"/>
      <c r="J23" s="104" t="s">
        <v>2443</v>
      </c>
      <c r="K23" s="131"/>
      <c r="L23" s="131"/>
      <c r="M23" s="28" t="s">
        <v>20</v>
      </c>
      <c r="N23" s="28" t="s">
        <v>20</v>
      </c>
      <c r="O23" s="28" t="s">
        <v>20</v>
      </c>
      <c r="P23" s="28" t="s">
        <v>20</v>
      </c>
      <c r="Q23" s="28" t="s">
        <v>20</v>
      </c>
      <c r="R23" s="28" t="s">
        <v>20</v>
      </c>
    </row>
    <row r="24" spans="2:18" ht="39" x14ac:dyDescent="0.35">
      <c r="B24" s="104">
        <v>22</v>
      </c>
      <c r="C24" s="248" t="s">
        <v>4824</v>
      </c>
      <c r="D24" s="248" t="s">
        <v>4824</v>
      </c>
      <c r="E24" s="212">
        <v>45456</v>
      </c>
      <c r="F24" s="258">
        <v>0.56874999999999998</v>
      </c>
      <c r="G24" s="122" t="s">
        <v>6072</v>
      </c>
      <c r="H24" s="131"/>
      <c r="I24" s="131"/>
      <c r="J24" s="104" t="s">
        <v>2443</v>
      </c>
      <c r="K24" s="131">
        <v>3000</v>
      </c>
      <c r="L24" s="131">
        <v>27000</v>
      </c>
      <c r="M24" s="28" t="s">
        <v>20</v>
      </c>
      <c r="N24" s="28" t="s">
        <v>20</v>
      </c>
      <c r="O24" s="28" t="s">
        <v>20</v>
      </c>
      <c r="P24" s="28" t="s">
        <v>20</v>
      </c>
      <c r="Q24" s="28" t="s">
        <v>20</v>
      </c>
      <c r="R24" s="28" t="s">
        <v>20</v>
      </c>
    </row>
    <row r="25" spans="2:18" ht="58.5" x14ac:dyDescent="0.35">
      <c r="B25" s="104">
        <v>23</v>
      </c>
      <c r="C25" s="248" t="s">
        <v>4824</v>
      </c>
      <c r="D25" s="248" t="s">
        <v>4824</v>
      </c>
      <c r="E25" s="212">
        <v>45456</v>
      </c>
      <c r="F25" s="258">
        <v>0.66041666666666665</v>
      </c>
      <c r="G25" s="122" t="s">
        <v>6080</v>
      </c>
      <c r="H25" s="211" t="s">
        <v>6138</v>
      </c>
      <c r="I25" s="131"/>
      <c r="J25" s="104" t="s">
        <v>2443</v>
      </c>
      <c r="K25" s="131"/>
      <c r="L25" s="131"/>
      <c r="M25" s="28" t="s">
        <v>20</v>
      </c>
      <c r="N25" s="28" t="s">
        <v>20</v>
      </c>
      <c r="O25" s="28" t="s">
        <v>20</v>
      </c>
      <c r="P25" s="28" t="s">
        <v>20</v>
      </c>
      <c r="Q25" s="28" t="s">
        <v>20</v>
      </c>
      <c r="R25" s="28" t="s">
        <v>20</v>
      </c>
    </row>
    <row r="26" spans="2:18" ht="39" x14ac:dyDescent="0.35">
      <c r="B26" s="104"/>
      <c r="C26" s="248" t="s">
        <v>4824</v>
      </c>
      <c r="D26" s="248" t="s">
        <v>4824</v>
      </c>
      <c r="E26" s="212">
        <v>45456</v>
      </c>
      <c r="F26" s="258">
        <v>0.87847222222222221</v>
      </c>
      <c r="G26" s="122" t="s">
        <v>6081</v>
      </c>
      <c r="H26" s="131"/>
      <c r="I26" s="131"/>
      <c r="J26" s="104" t="s">
        <v>2443</v>
      </c>
      <c r="K26" s="131"/>
      <c r="L26" s="131"/>
      <c r="M26" s="28" t="s">
        <v>20</v>
      </c>
      <c r="N26" s="28" t="s">
        <v>20</v>
      </c>
      <c r="O26" s="28" t="s">
        <v>20</v>
      </c>
      <c r="P26" s="28" t="s">
        <v>20</v>
      </c>
      <c r="Q26" s="28" t="s">
        <v>20</v>
      </c>
      <c r="R26" s="28" t="s">
        <v>20</v>
      </c>
    </row>
    <row r="27" spans="2:18" ht="39" x14ac:dyDescent="0.35">
      <c r="B27" s="104">
        <v>24</v>
      </c>
      <c r="C27" s="248" t="s">
        <v>4824</v>
      </c>
      <c r="D27" s="248" t="s">
        <v>4824</v>
      </c>
      <c r="E27" s="212">
        <v>45457</v>
      </c>
      <c r="F27" s="258">
        <v>0.60833333333333328</v>
      </c>
      <c r="G27" s="122" t="s">
        <v>6082</v>
      </c>
      <c r="H27" s="131"/>
      <c r="I27" s="131"/>
      <c r="J27" s="104" t="s">
        <v>2443</v>
      </c>
      <c r="K27" s="131">
        <v>2000</v>
      </c>
      <c r="L27" s="131">
        <v>18000</v>
      </c>
      <c r="M27" s="28" t="s">
        <v>20</v>
      </c>
      <c r="N27" s="28" t="s">
        <v>20</v>
      </c>
      <c r="O27" s="28" t="s">
        <v>20</v>
      </c>
      <c r="P27" s="28" t="s">
        <v>20</v>
      </c>
      <c r="Q27" s="28" t="s">
        <v>20</v>
      </c>
      <c r="R27" s="28" t="s">
        <v>20</v>
      </c>
    </row>
    <row r="28" spans="2:18" ht="39" x14ac:dyDescent="0.35">
      <c r="B28" s="104">
        <v>25</v>
      </c>
      <c r="C28" s="248" t="s">
        <v>4824</v>
      </c>
      <c r="D28" s="248" t="s">
        <v>4824</v>
      </c>
      <c r="E28" s="212">
        <v>45457</v>
      </c>
      <c r="F28" s="258">
        <v>0.68819444444444444</v>
      </c>
      <c r="G28" s="122" t="s">
        <v>6083</v>
      </c>
      <c r="H28" s="131"/>
      <c r="I28" s="131"/>
      <c r="J28" s="104" t="s">
        <v>2443</v>
      </c>
      <c r="K28" s="131">
        <v>2000</v>
      </c>
      <c r="L28" s="131">
        <v>28000</v>
      </c>
      <c r="M28" s="28" t="s">
        <v>20</v>
      </c>
      <c r="N28" s="28" t="s">
        <v>20</v>
      </c>
      <c r="O28" s="28" t="s">
        <v>20</v>
      </c>
      <c r="P28" s="28" t="s">
        <v>20</v>
      </c>
      <c r="Q28" s="28" t="s">
        <v>20</v>
      </c>
      <c r="R28" s="28" t="s">
        <v>20</v>
      </c>
    </row>
    <row r="29" spans="2:18" ht="39" x14ac:dyDescent="0.35">
      <c r="B29" s="104">
        <v>26</v>
      </c>
      <c r="C29" s="248" t="s">
        <v>4824</v>
      </c>
      <c r="D29" s="248" t="s">
        <v>4824</v>
      </c>
      <c r="E29" s="212">
        <v>45457</v>
      </c>
      <c r="F29" s="258">
        <v>0.69444444444444442</v>
      </c>
      <c r="G29" s="122" t="s">
        <v>6084</v>
      </c>
      <c r="H29" s="131"/>
      <c r="I29" s="131"/>
      <c r="J29" s="104" t="s">
        <v>2443</v>
      </c>
      <c r="K29" s="131">
        <v>2000</v>
      </c>
      <c r="L29" s="131">
        <v>18000</v>
      </c>
      <c r="M29" s="28" t="s">
        <v>20</v>
      </c>
      <c r="N29" s="28" t="s">
        <v>20</v>
      </c>
      <c r="O29" s="28" t="s">
        <v>20</v>
      </c>
      <c r="P29" s="28" t="s">
        <v>20</v>
      </c>
      <c r="Q29" s="28" t="s">
        <v>20</v>
      </c>
      <c r="R29" s="28" t="s">
        <v>20</v>
      </c>
    </row>
    <row r="30" spans="2:18" ht="39" x14ac:dyDescent="0.35">
      <c r="B30" s="104">
        <v>27</v>
      </c>
      <c r="C30" s="248" t="s">
        <v>4824</v>
      </c>
      <c r="D30" s="248" t="s">
        <v>4824</v>
      </c>
      <c r="E30" s="212">
        <v>45457</v>
      </c>
      <c r="F30" s="258">
        <v>0.76875000000000004</v>
      </c>
      <c r="G30" s="122" t="s">
        <v>6085</v>
      </c>
      <c r="H30" s="131"/>
      <c r="I30" s="131"/>
      <c r="J30" s="104" t="s">
        <v>2443</v>
      </c>
      <c r="K30" s="131">
        <v>5000</v>
      </c>
      <c r="L30" s="131">
        <v>45000</v>
      </c>
      <c r="M30" s="28" t="s">
        <v>20</v>
      </c>
      <c r="N30" s="28" t="s">
        <v>20</v>
      </c>
      <c r="O30" s="28" t="s">
        <v>20</v>
      </c>
      <c r="P30" s="28" t="s">
        <v>20</v>
      </c>
      <c r="Q30" s="28" t="s">
        <v>20</v>
      </c>
      <c r="R30" s="28" t="s">
        <v>20</v>
      </c>
    </row>
    <row r="31" spans="2:18" ht="39" x14ac:dyDescent="0.35">
      <c r="B31" s="104">
        <v>28</v>
      </c>
      <c r="C31" s="248" t="s">
        <v>4824</v>
      </c>
      <c r="D31" s="248" t="s">
        <v>4824</v>
      </c>
      <c r="E31" s="212">
        <v>45457</v>
      </c>
      <c r="F31" s="258">
        <v>0.85833333333333328</v>
      </c>
      <c r="G31" s="122" t="s">
        <v>6086</v>
      </c>
      <c r="H31" s="131"/>
      <c r="I31" s="131"/>
      <c r="J31" s="104" t="s">
        <v>2443</v>
      </c>
      <c r="K31" s="131">
        <v>28000</v>
      </c>
      <c r="L31" s="131">
        <v>2000</v>
      </c>
      <c r="M31" s="28" t="s">
        <v>20</v>
      </c>
      <c r="N31" s="28" t="s">
        <v>20</v>
      </c>
      <c r="O31" s="28" t="s">
        <v>20</v>
      </c>
      <c r="P31" s="28" t="s">
        <v>20</v>
      </c>
      <c r="Q31" s="28" t="s">
        <v>20</v>
      </c>
      <c r="R31" s="28" t="s">
        <v>20</v>
      </c>
    </row>
    <row r="32" spans="2:18" ht="39" x14ac:dyDescent="0.35">
      <c r="B32" s="104">
        <v>29</v>
      </c>
      <c r="C32" s="248" t="s">
        <v>4824</v>
      </c>
      <c r="D32" s="248" t="s">
        <v>4824</v>
      </c>
      <c r="E32" s="161">
        <v>45458</v>
      </c>
      <c r="F32" s="258">
        <v>0.29444444444444445</v>
      </c>
      <c r="G32" s="122" t="s">
        <v>6086</v>
      </c>
      <c r="H32" s="131"/>
      <c r="I32" s="131"/>
      <c r="J32" s="104" t="s">
        <v>2443</v>
      </c>
      <c r="K32" s="131">
        <v>2000</v>
      </c>
      <c r="L32" s="131">
        <v>18000</v>
      </c>
      <c r="M32" s="28" t="s">
        <v>20</v>
      </c>
      <c r="N32" s="28" t="s">
        <v>20</v>
      </c>
      <c r="O32" s="28" t="s">
        <v>20</v>
      </c>
      <c r="P32" s="28" t="s">
        <v>20</v>
      </c>
      <c r="Q32" s="28" t="s">
        <v>20</v>
      </c>
      <c r="R32" s="28" t="s">
        <v>20</v>
      </c>
    </row>
    <row r="33" spans="2:18" ht="39" x14ac:dyDescent="0.35">
      <c r="B33" s="104">
        <v>30</v>
      </c>
      <c r="C33" s="248" t="s">
        <v>4824</v>
      </c>
      <c r="D33" s="248" t="s">
        <v>4824</v>
      </c>
      <c r="E33" s="161">
        <v>45458</v>
      </c>
      <c r="F33" s="258">
        <v>0.72569444444444442</v>
      </c>
      <c r="G33" s="122" t="s">
        <v>6080</v>
      </c>
      <c r="H33" s="131"/>
      <c r="I33" s="131"/>
      <c r="J33" s="104" t="s">
        <v>2443</v>
      </c>
      <c r="K33" s="131">
        <v>2000</v>
      </c>
      <c r="L33" s="131">
        <v>58000</v>
      </c>
      <c r="M33" s="28" t="s">
        <v>20</v>
      </c>
      <c r="N33" s="28" t="s">
        <v>20</v>
      </c>
      <c r="O33" s="28" t="s">
        <v>20</v>
      </c>
      <c r="P33" s="28" t="s">
        <v>20</v>
      </c>
      <c r="Q33" s="28" t="s">
        <v>20</v>
      </c>
      <c r="R33" s="28" t="s">
        <v>20</v>
      </c>
    </row>
    <row r="34" spans="2:18" ht="39" x14ac:dyDescent="0.35">
      <c r="B34" s="104">
        <v>31</v>
      </c>
      <c r="C34" s="248" t="s">
        <v>4824</v>
      </c>
      <c r="D34" s="248" t="s">
        <v>4824</v>
      </c>
      <c r="E34" s="161">
        <v>45458</v>
      </c>
      <c r="F34" s="258">
        <v>0.73958333333333337</v>
      </c>
      <c r="G34" s="122" t="s">
        <v>6087</v>
      </c>
      <c r="H34" s="131"/>
      <c r="I34" s="131"/>
      <c r="J34" s="104" t="s">
        <v>2443</v>
      </c>
      <c r="K34" s="131">
        <v>2000</v>
      </c>
      <c r="L34" s="131">
        <v>38000</v>
      </c>
      <c r="M34" s="28" t="s">
        <v>20</v>
      </c>
      <c r="N34" s="28" t="s">
        <v>20</v>
      </c>
      <c r="O34" s="28" t="s">
        <v>20</v>
      </c>
      <c r="P34" s="28" t="s">
        <v>20</v>
      </c>
      <c r="Q34" s="28" t="s">
        <v>20</v>
      </c>
      <c r="R34" s="28" t="s">
        <v>20</v>
      </c>
    </row>
    <row r="35" spans="2:18" ht="39" x14ac:dyDescent="0.35">
      <c r="B35" s="104">
        <v>32</v>
      </c>
      <c r="C35" s="248" t="s">
        <v>4824</v>
      </c>
      <c r="D35" s="248" t="s">
        <v>4824</v>
      </c>
      <c r="E35" s="212">
        <v>45459</v>
      </c>
      <c r="F35" s="258">
        <v>0.26180555555555557</v>
      </c>
      <c r="G35" s="122" t="s">
        <v>6088</v>
      </c>
      <c r="H35" s="131"/>
      <c r="I35" s="131"/>
      <c r="J35" s="104" t="s">
        <v>2443</v>
      </c>
      <c r="K35" s="131">
        <v>2000</v>
      </c>
      <c r="L35" s="131">
        <v>18000</v>
      </c>
      <c r="M35" s="28" t="s">
        <v>20</v>
      </c>
      <c r="N35" s="28" t="s">
        <v>20</v>
      </c>
      <c r="O35" s="28" t="s">
        <v>20</v>
      </c>
      <c r="P35" s="28" t="s">
        <v>20</v>
      </c>
      <c r="Q35" s="28" t="s">
        <v>20</v>
      </c>
      <c r="R35" s="28" t="s">
        <v>20</v>
      </c>
    </row>
    <row r="36" spans="2:18" ht="39" x14ac:dyDescent="0.35">
      <c r="B36" s="104">
        <v>33</v>
      </c>
      <c r="C36" s="248" t="s">
        <v>4824</v>
      </c>
      <c r="D36" s="248" t="s">
        <v>4824</v>
      </c>
      <c r="E36" s="212">
        <v>45459</v>
      </c>
      <c r="F36" s="258">
        <v>0.66180555555555554</v>
      </c>
      <c r="G36" s="122" t="s">
        <v>6089</v>
      </c>
      <c r="H36" s="131"/>
      <c r="I36" s="131"/>
      <c r="J36" s="104" t="s">
        <v>2443</v>
      </c>
      <c r="K36" s="131"/>
      <c r="L36" s="131"/>
      <c r="M36" s="28" t="s">
        <v>20</v>
      </c>
      <c r="N36" s="28" t="s">
        <v>20</v>
      </c>
      <c r="O36" s="28" t="s">
        <v>20</v>
      </c>
      <c r="P36" s="28" t="s">
        <v>20</v>
      </c>
      <c r="Q36" s="28" t="s">
        <v>20</v>
      </c>
      <c r="R36" s="28" t="s">
        <v>20</v>
      </c>
    </row>
    <row r="37" spans="2:18" ht="39" x14ac:dyDescent="0.35">
      <c r="B37" s="104">
        <v>34</v>
      </c>
      <c r="C37" s="248" t="s">
        <v>4824</v>
      </c>
      <c r="D37" s="248" t="s">
        <v>4824</v>
      </c>
      <c r="E37" s="212">
        <v>45459</v>
      </c>
      <c r="F37" s="258">
        <v>0.70833333333333337</v>
      </c>
      <c r="G37" s="122" t="s">
        <v>6090</v>
      </c>
      <c r="H37" s="131"/>
      <c r="I37" s="131"/>
      <c r="J37" s="104" t="s">
        <v>2443</v>
      </c>
      <c r="K37" s="131"/>
      <c r="L37" s="131"/>
      <c r="M37" s="28" t="s">
        <v>20</v>
      </c>
      <c r="N37" s="28" t="s">
        <v>20</v>
      </c>
      <c r="O37" s="28" t="s">
        <v>20</v>
      </c>
      <c r="P37" s="28" t="s">
        <v>20</v>
      </c>
      <c r="Q37" s="28" t="s">
        <v>20</v>
      </c>
      <c r="R37" s="28" t="s">
        <v>20</v>
      </c>
    </row>
    <row r="38" spans="2:18" ht="39" x14ac:dyDescent="0.35">
      <c r="B38" s="104">
        <v>35</v>
      </c>
      <c r="C38" s="248" t="s">
        <v>4824</v>
      </c>
      <c r="D38" s="248" t="s">
        <v>4824</v>
      </c>
      <c r="E38" s="212">
        <v>45459</v>
      </c>
      <c r="F38" s="258">
        <v>0.80347222222222225</v>
      </c>
      <c r="G38" s="122" t="s">
        <v>6091</v>
      </c>
      <c r="H38" s="131"/>
      <c r="I38" s="131"/>
      <c r="J38" s="104" t="s">
        <v>2443</v>
      </c>
      <c r="K38" s="131"/>
      <c r="L38" s="131"/>
      <c r="M38" s="28" t="s">
        <v>20</v>
      </c>
      <c r="N38" s="28" t="s">
        <v>20</v>
      </c>
      <c r="O38" s="28" t="s">
        <v>20</v>
      </c>
      <c r="P38" s="28" t="s">
        <v>20</v>
      </c>
      <c r="Q38" s="28" t="s">
        <v>20</v>
      </c>
      <c r="R38" s="28" t="s">
        <v>20</v>
      </c>
    </row>
    <row r="39" spans="2:18" ht="39" x14ac:dyDescent="0.35">
      <c r="B39" s="104">
        <v>36</v>
      </c>
      <c r="C39" s="248" t="s">
        <v>4824</v>
      </c>
      <c r="D39" s="248" t="s">
        <v>4824</v>
      </c>
      <c r="E39" s="212">
        <v>45459</v>
      </c>
      <c r="F39" s="258">
        <v>0.8666666666666667</v>
      </c>
      <c r="G39" s="122" t="s">
        <v>6092</v>
      </c>
      <c r="H39" s="131"/>
      <c r="I39" s="131"/>
      <c r="J39" s="104" t="s">
        <v>2443</v>
      </c>
      <c r="K39" s="131">
        <v>2000</v>
      </c>
      <c r="L39" s="131">
        <v>28000</v>
      </c>
      <c r="M39" s="28" t="s">
        <v>20</v>
      </c>
      <c r="N39" s="28" t="s">
        <v>20</v>
      </c>
      <c r="O39" s="28" t="s">
        <v>20</v>
      </c>
      <c r="P39" s="28" t="s">
        <v>20</v>
      </c>
      <c r="Q39" s="28" t="s">
        <v>20</v>
      </c>
      <c r="R39" s="28" t="s">
        <v>20</v>
      </c>
    </row>
    <row r="40" spans="2:18" ht="39" x14ac:dyDescent="0.35">
      <c r="B40" s="104">
        <v>37</v>
      </c>
      <c r="C40" s="248" t="s">
        <v>4824</v>
      </c>
      <c r="D40" s="248" t="s">
        <v>4824</v>
      </c>
      <c r="E40" s="212">
        <v>45460</v>
      </c>
      <c r="F40" s="258">
        <v>0.25694444444444442</v>
      </c>
      <c r="G40" s="122" t="s">
        <v>6090</v>
      </c>
      <c r="H40" s="131"/>
      <c r="I40" s="131"/>
      <c r="J40" s="104" t="s">
        <v>2443</v>
      </c>
      <c r="K40" s="131"/>
      <c r="L40" s="131"/>
      <c r="M40" s="28" t="s">
        <v>20</v>
      </c>
      <c r="N40" s="28" t="s">
        <v>20</v>
      </c>
      <c r="O40" s="28" t="s">
        <v>20</v>
      </c>
      <c r="P40" s="28" t="s">
        <v>20</v>
      </c>
      <c r="Q40" s="28" t="s">
        <v>20</v>
      </c>
      <c r="R40" s="28" t="s">
        <v>20</v>
      </c>
    </row>
    <row r="41" spans="2:18" ht="39" x14ac:dyDescent="0.35">
      <c r="B41" s="104">
        <v>38</v>
      </c>
      <c r="C41" s="248" t="s">
        <v>4824</v>
      </c>
      <c r="D41" s="248" t="s">
        <v>4824</v>
      </c>
      <c r="E41" s="212">
        <v>45460</v>
      </c>
      <c r="F41" s="258">
        <v>0.5493055555555556</v>
      </c>
      <c r="G41" s="122" t="s">
        <v>6093</v>
      </c>
      <c r="H41" s="131"/>
      <c r="I41" s="131"/>
      <c r="J41" s="104" t="s">
        <v>2443</v>
      </c>
      <c r="K41" s="131">
        <v>2000</v>
      </c>
      <c r="L41" s="131">
        <v>18000</v>
      </c>
      <c r="M41" s="28" t="s">
        <v>20</v>
      </c>
      <c r="N41" s="28" t="s">
        <v>20</v>
      </c>
      <c r="O41" s="28" t="s">
        <v>20</v>
      </c>
      <c r="P41" s="28" t="s">
        <v>20</v>
      </c>
      <c r="Q41" s="28" t="s">
        <v>20</v>
      </c>
      <c r="R41" s="28" t="s">
        <v>20</v>
      </c>
    </row>
    <row r="42" spans="2:18" ht="39" x14ac:dyDescent="0.35">
      <c r="B42" s="104">
        <v>39</v>
      </c>
      <c r="C42" s="248" t="s">
        <v>4824</v>
      </c>
      <c r="D42" s="248" t="s">
        <v>4824</v>
      </c>
      <c r="E42" s="212">
        <v>45460</v>
      </c>
      <c r="F42" s="258">
        <v>0.57430555555555551</v>
      </c>
      <c r="G42" s="122" t="s">
        <v>6094</v>
      </c>
      <c r="H42" s="131"/>
      <c r="I42" s="131"/>
      <c r="J42" s="104" t="s">
        <v>2443</v>
      </c>
      <c r="K42" s="131">
        <v>2000</v>
      </c>
      <c r="L42" s="131">
        <v>38000</v>
      </c>
      <c r="M42" s="28" t="s">
        <v>20</v>
      </c>
      <c r="N42" s="28" t="s">
        <v>20</v>
      </c>
      <c r="O42" s="28" t="s">
        <v>20</v>
      </c>
      <c r="P42" s="28" t="s">
        <v>20</v>
      </c>
      <c r="Q42" s="28" t="s">
        <v>20</v>
      </c>
      <c r="R42" s="28" t="s">
        <v>20</v>
      </c>
    </row>
    <row r="43" spans="2:18" ht="39" x14ac:dyDescent="0.35">
      <c r="B43" s="104">
        <v>40</v>
      </c>
      <c r="C43" s="248" t="s">
        <v>4824</v>
      </c>
      <c r="D43" s="248" t="s">
        <v>4824</v>
      </c>
      <c r="E43" s="212">
        <v>45460</v>
      </c>
      <c r="F43" s="258">
        <v>0.68402777777777779</v>
      </c>
      <c r="G43" s="122" t="s">
        <v>6095</v>
      </c>
      <c r="H43" s="131"/>
      <c r="I43" s="131"/>
      <c r="J43" s="104" t="s">
        <v>2443</v>
      </c>
      <c r="K43" s="131">
        <v>3000</v>
      </c>
      <c r="L43" s="131">
        <v>17000</v>
      </c>
      <c r="M43" s="28" t="s">
        <v>20</v>
      </c>
      <c r="N43" s="28" t="s">
        <v>20</v>
      </c>
      <c r="O43" s="28" t="s">
        <v>20</v>
      </c>
      <c r="P43" s="28" t="s">
        <v>20</v>
      </c>
      <c r="Q43" s="28" t="s">
        <v>20</v>
      </c>
      <c r="R43" s="28" t="s">
        <v>20</v>
      </c>
    </row>
    <row r="44" spans="2:18" ht="58.5" x14ac:dyDescent="0.35">
      <c r="B44" s="104">
        <v>41</v>
      </c>
      <c r="C44" s="248" t="s">
        <v>4824</v>
      </c>
      <c r="D44" s="248" t="s">
        <v>4824</v>
      </c>
      <c r="E44" s="212">
        <v>45460</v>
      </c>
      <c r="F44" s="258">
        <v>0.74305555555555558</v>
      </c>
      <c r="G44" s="257" t="s">
        <v>6096</v>
      </c>
      <c r="H44" s="131"/>
      <c r="I44" s="131"/>
      <c r="J44" s="104" t="s">
        <v>2443</v>
      </c>
      <c r="K44" s="131"/>
      <c r="L44" s="131"/>
      <c r="M44" s="28" t="s">
        <v>20</v>
      </c>
      <c r="N44" s="28" t="s">
        <v>20</v>
      </c>
      <c r="O44" s="28" t="s">
        <v>20</v>
      </c>
      <c r="P44" s="28" t="s">
        <v>20</v>
      </c>
      <c r="Q44" s="28" t="s">
        <v>20</v>
      </c>
      <c r="R44" s="28" t="s">
        <v>20</v>
      </c>
    </row>
    <row r="45" spans="2:18" ht="39" x14ac:dyDescent="0.35">
      <c r="B45" s="104">
        <v>42</v>
      </c>
      <c r="C45" s="248" t="s">
        <v>4824</v>
      </c>
      <c r="D45" s="248" t="s">
        <v>4824</v>
      </c>
      <c r="E45" s="212">
        <v>45461</v>
      </c>
      <c r="F45" s="258">
        <v>0.47569444444444442</v>
      </c>
      <c r="G45" s="122" t="s">
        <v>6097</v>
      </c>
      <c r="H45" s="131"/>
      <c r="I45" s="131"/>
      <c r="J45" s="104" t="s">
        <v>2443</v>
      </c>
      <c r="K45" s="131">
        <v>2000</v>
      </c>
      <c r="L45" s="131">
        <v>18000</v>
      </c>
      <c r="M45" s="28" t="s">
        <v>20</v>
      </c>
      <c r="N45" s="28" t="s">
        <v>20</v>
      </c>
      <c r="O45" s="28" t="s">
        <v>20</v>
      </c>
      <c r="P45" s="28" t="s">
        <v>20</v>
      </c>
      <c r="Q45" s="28" t="s">
        <v>20</v>
      </c>
      <c r="R45" s="28" t="s">
        <v>20</v>
      </c>
    </row>
    <row r="46" spans="2:18" ht="72" x14ac:dyDescent="0.35">
      <c r="B46" s="104">
        <v>43</v>
      </c>
      <c r="C46" s="248" t="s">
        <v>4824</v>
      </c>
      <c r="D46" s="248" t="s">
        <v>4824</v>
      </c>
      <c r="E46" s="212">
        <v>45461</v>
      </c>
      <c r="F46" s="258">
        <v>0.53541666666666665</v>
      </c>
      <c r="G46" s="253" t="s">
        <v>6098</v>
      </c>
      <c r="H46" s="131"/>
      <c r="I46" s="131"/>
      <c r="J46" s="104" t="s">
        <v>2443</v>
      </c>
      <c r="K46" s="131">
        <v>2000</v>
      </c>
      <c r="L46" s="131">
        <v>28000</v>
      </c>
      <c r="M46" s="28" t="s">
        <v>20</v>
      </c>
      <c r="N46" s="28" t="s">
        <v>20</v>
      </c>
      <c r="O46" s="28" t="s">
        <v>20</v>
      </c>
      <c r="P46" s="28" t="s">
        <v>20</v>
      </c>
      <c r="Q46" s="28" t="s">
        <v>20</v>
      </c>
      <c r="R46" s="28" t="s">
        <v>20</v>
      </c>
    </row>
    <row r="47" spans="2:18" ht="39" x14ac:dyDescent="0.35">
      <c r="B47" s="104">
        <v>44</v>
      </c>
      <c r="C47" s="248" t="s">
        <v>4824</v>
      </c>
      <c r="D47" s="248" t="s">
        <v>4824</v>
      </c>
      <c r="E47" s="212">
        <v>45461</v>
      </c>
      <c r="F47" s="258">
        <v>0.8125</v>
      </c>
      <c r="G47" s="122" t="s">
        <v>6099</v>
      </c>
      <c r="H47" s="131"/>
      <c r="I47" s="131"/>
      <c r="J47" s="104" t="s">
        <v>2443</v>
      </c>
      <c r="K47" s="131"/>
      <c r="L47" s="131"/>
      <c r="M47" s="28" t="s">
        <v>20</v>
      </c>
      <c r="N47" s="28" t="s">
        <v>20</v>
      </c>
      <c r="O47" s="28" t="s">
        <v>20</v>
      </c>
      <c r="P47" s="28" t="s">
        <v>20</v>
      </c>
      <c r="Q47" s="28" t="s">
        <v>20</v>
      </c>
      <c r="R47" s="28" t="s">
        <v>20</v>
      </c>
    </row>
    <row r="48" spans="2:18" ht="39" x14ac:dyDescent="0.35">
      <c r="B48" s="104">
        <v>45</v>
      </c>
      <c r="C48" s="248" t="s">
        <v>4824</v>
      </c>
      <c r="D48" s="248" t="s">
        <v>4824</v>
      </c>
      <c r="E48" s="212">
        <v>45462</v>
      </c>
      <c r="F48" s="258">
        <v>0.44097222222222221</v>
      </c>
      <c r="G48" s="122" t="s">
        <v>6072</v>
      </c>
      <c r="H48" s="131"/>
      <c r="I48" s="131"/>
      <c r="J48" s="104" t="s">
        <v>2443</v>
      </c>
      <c r="K48" s="131">
        <v>3000</v>
      </c>
      <c r="L48" s="131">
        <v>22000</v>
      </c>
      <c r="M48" s="28" t="s">
        <v>20</v>
      </c>
      <c r="N48" s="28" t="s">
        <v>20</v>
      </c>
      <c r="O48" s="28" t="s">
        <v>20</v>
      </c>
      <c r="P48" s="28" t="s">
        <v>20</v>
      </c>
      <c r="Q48" s="28" t="s">
        <v>20</v>
      </c>
      <c r="R48" s="28" t="s">
        <v>20</v>
      </c>
    </row>
    <row r="49" spans="2:18" ht="39" x14ac:dyDescent="0.35">
      <c r="B49" s="104">
        <v>46</v>
      </c>
      <c r="C49" s="248" t="s">
        <v>4824</v>
      </c>
      <c r="D49" s="248" t="s">
        <v>4824</v>
      </c>
      <c r="E49" s="212">
        <v>45462</v>
      </c>
      <c r="F49" s="258">
        <v>0.50277777777777777</v>
      </c>
      <c r="G49" s="122" t="s">
        <v>6100</v>
      </c>
      <c r="H49" s="131"/>
      <c r="I49" s="131"/>
      <c r="J49" s="104" t="s">
        <v>2443</v>
      </c>
      <c r="K49" s="131">
        <v>4000</v>
      </c>
      <c r="L49" s="131">
        <v>56000</v>
      </c>
      <c r="M49" s="28" t="s">
        <v>20</v>
      </c>
      <c r="N49" s="28" t="s">
        <v>20</v>
      </c>
      <c r="O49" s="28" t="s">
        <v>20</v>
      </c>
      <c r="P49" s="28" t="s">
        <v>20</v>
      </c>
      <c r="Q49" s="28" t="s">
        <v>20</v>
      </c>
      <c r="R49" s="28" t="s">
        <v>20</v>
      </c>
    </row>
    <row r="50" spans="2:18" ht="39" x14ac:dyDescent="0.35">
      <c r="B50" s="104">
        <v>47</v>
      </c>
      <c r="C50" s="248" t="s">
        <v>4824</v>
      </c>
      <c r="D50" s="248" t="s">
        <v>4824</v>
      </c>
      <c r="E50" s="212">
        <v>45462</v>
      </c>
      <c r="F50" s="258">
        <v>0.67152777777777772</v>
      </c>
      <c r="G50" s="122" t="s">
        <v>6101</v>
      </c>
      <c r="H50" s="131"/>
      <c r="I50" s="131"/>
      <c r="J50" s="104" t="s">
        <v>2443</v>
      </c>
      <c r="K50" s="131">
        <v>2000</v>
      </c>
      <c r="L50" s="131">
        <v>18000</v>
      </c>
      <c r="M50" s="28" t="s">
        <v>20</v>
      </c>
      <c r="N50" s="28" t="s">
        <v>20</v>
      </c>
      <c r="O50" s="28" t="s">
        <v>20</v>
      </c>
      <c r="P50" s="28" t="s">
        <v>20</v>
      </c>
      <c r="Q50" s="28" t="s">
        <v>20</v>
      </c>
      <c r="R50" s="28" t="s">
        <v>20</v>
      </c>
    </row>
    <row r="51" spans="2:18" ht="39" x14ac:dyDescent="0.35">
      <c r="B51" s="104">
        <v>48</v>
      </c>
      <c r="C51" s="248" t="s">
        <v>4824</v>
      </c>
      <c r="D51" s="248" t="s">
        <v>4824</v>
      </c>
      <c r="E51" s="212">
        <v>45462</v>
      </c>
      <c r="F51" s="258">
        <v>0.72222222222222221</v>
      </c>
      <c r="G51" s="122" t="s">
        <v>6102</v>
      </c>
      <c r="H51" s="131"/>
      <c r="I51" s="131"/>
      <c r="J51" s="104" t="s">
        <v>2443</v>
      </c>
      <c r="K51" s="131"/>
      <c r="L51" s="131"/>
      <c r="M51" s="28" t="s">
        <v>20</v>
      </c>
      <c r="N51" s="28" t="s">
        <v>20</v>
      </c>
      <c r="O51" s="28" t="s">
        <v>20</v>
      </c>
      <c r="P51" s="28" t="s">
        <v>20</v>
      </c>
      <c r="Q51" s="28" t="s">
        <v>20</v>
      </c>
      <c r="R51" s="28" t="s">
        <v>20</v>
      </c>
    </row>
    <row r="52" spans="2:18" ht="39" x14ac:dyDescent="0.35">
      <c r="B52" s="104">
        <v>49</v>
      </c>
      <c r="C52" s="248" t="s">
        <v>4824</v>
      </c>
      <c r="D52" s="248" t="s">
        <v>4824</v>
      </c>
      <c r="E52" s="212">
        <v>45463</v>
      </c>
      <c r="F52" s="258">
        <v>0.3888888888888889</v>
      </c>
      <c r="G52" s="122" t="s">
        <v>6103</v>
      </c>
      <c r="H52" s="131"/>
      <c r="I52" s="131"/>
      <c r="J52" s="104" t="s">
        <v>2443</v>
      </c>
      <c r="K52" s="131"/>
      <c r="L52" s="131"/>
      <c r="M52" s="28" t="s">
        <v>20</v>
      </c>
      <c r="N52" s="28" t="s">
        <v>20</v>
      </c>
      <c r="O52" s="28" t="s">
        <v>20</v>
      </c>
      <c r="P52" s="28" t="s">
        <v>20</v>
      </c>
      <c r="Q52" s="28" t="s">
        <v>20</v>
      </c>
      <c r="R52" s="28" t="s">
        <v>20</v>
      </c>
    </row>
    <row r="53" spans="2:18" ht="39" x14ac:dyDescent="0.35">
      <c r="B53" s="104">
        <v>50</v>
      </c>
      <c r="C53" s="248" t="s">
        <v>4824</v>
      </c>
      <c r="D53" s="248" t="s">
        <v>4824</v>
      </c>
      <c r="E53" s="212">
        <v>45464</v>
      </c>
      <c r="F53" s="258">
        <v>0.54513888888888884</v>
      </c>
      <c r="G53" s="122" t="s">
        <v>6104</v>
      </c>
      <c r="H53" s="131"/>
      <c r="I53" s="131"/>
      <c r="J53" s="104" t="s">
        <v>2443</v>
      </c>
      <c r="K53" s="131"/>
      <c r="L53" s="131"/>
      <c r="M53" s="28" t="s">
        <v>20</v>
      </c>
      <c r="N53" s="28" t="s">
        <v>20</v>
      </c>
      <c r="O53" s="28" t="s">
        <v>20</v>
      </c>
      <c r="P53" s="28" t="s">
        <v>20</v>
      </c>
      <c r="Q53" s="28" t="s">
        <v>20</v>
      </c>
      <c r="R53" s="28" t="s">
        <v>20</v>
      </c>
    </row>
    <row r="54" spans="2:18" ht="39" x14ac:dyDescent="0.35">
      <c r="B54" s="104">
        <v>51</v>
      </c>
      <c r="C54" s="248" t="s">
        <v>4824</v>
      </c>
      <c r="D54" s="248" t="s">
        <v>4824</v>
      </c>
      <c r="E54" s="212">
        <v>45464</v>
      </c>
      <c r="F54" s="258">
        <v>0.57291666666666663</v>
      </c>
      <c r="G54" s="122" t="s">
        <v>6105</v>
      </c>
      <c r="H54" s="131"/>
      <c r="I54" s="131"/>
      <c r="J54" s="104" t="s">
        <v>2443</v>
      </c>
      <c r="K54" s="131">
        <v>2000</v>
      </c>
      <c r="L54" s="131">
        <v>38000</v>
      </c>
      <c r="M54" s="28" t="s">
        <v>20</v>
      </c>
      <c r="N54" s="28" t="s">
        <v>20</v>
      </c>
      <c r="O54" s="28" t="s">
        <v>20</v>
      </c>
      <c r="P54" s="28" t="s">
        <v>20</v>
      </c>
      <c r="Q54" s="28" t="s">
        <v>20</v>
      </c>
      <c r="R54" s="28" t="s">
        <v>20</v>
      </c>
    </row>
    <row r="55" spans="2:18" ht="58.5" x14ac:dyDescent="0.35">
      <c r="B55" s="104">
        <v>52</v>
      </c>
      <c r="C55" s="248" t="s">
        <v>4824</v>
      </c>
      <c r="D55" s="248" t="s">
        <v>5614</v>
      </c>
      <c r="E55" s="212">
        <v>45444</v>
      </c>
      <c r="F55" s="258">
        <v>0.57013888888888886</v>
      </c>
      <c r="G55" s="122" t="s">
        <v>6107</v>
      </c>
      <c r="H55" s="211" t="s">
        <v>6110</v>
      </c>
      <c r="I55" s="131"/>
      <c r="J55" s="104" t="s">
        <v>6106</v>
      </c>
      <c r="K55" s="131">
        <v>300000</v>
      </c>
      <c r="L55" s="131">
        <v>1700000</v>
      </c>
      <c r="M55" s="28" t="s">
        <v>20</v>
      </c>
      <c r="N55" s="28" t="s">
        <v>20</v>
      </c>
      <c r="O55" s="28" t="s">
        <v>20</v>
      </c>
      <c r="P55" s="28" t="s">
        <v>20</v>
      </c>
      <c r="Q55" s="28" t="s">
        <v>20</v>
      </c>
      <c r="R55" s="28" t="s">
        <v>20</v>
      </c>
    </row>
    <row r="56" spans="2:18" ht="58.5" x14ac:dyDescent="0.35">
      <c r="B56" s="104">
        <v>53</v>
      </c>
      <c r="C56" s="248" t="s">
        <v>4824</v>
      </c>
      <c r="D56" s="248" t="s">
        <v>5614</v>
      </c>
      <c r="E56" s="212">
        <v>45456</v>
      </c>
      <c r="F56" s="258">
        <v>0.64722222222222225</v>
      </c>
      <c r="G56" s="122" t="s">
        <v>6108</v>
      </c>
      <c r="H56" s="211" t="s">
        <v>6110</v>
      </c>
      <c r="I56" s="191"/>
      <c r="J56" s="104" t="s">
        <v>6106</v>
      </c>
      <c r="K56" s="131">
        <v>100000</v>
      </c>
      <c r="L56" s="131">
        <v>400000</v>
      </c>
      <c r="M56" s="28" t="s">
        <v>20</v>
      </c>
      <c r="N56" s="28" t="s">
        <v>20</v>
      </c>
      <c r="O56" s="28" t="s">
        <v>20</v>
      </c>
      <c r="P56" s="28" t="s">
        <v>20</v>
      </c>
      <c r="Q56" s="28" t="s">
        <v>20</v>
      </c>
      <c r="R56" s="28" t="s">
        <v>20</v>
      </c>
    </row>
    <row r="57" spans="2:18" ht="39" x14ac:dyDescent="0.35">
      <c r="B57" s="104">
        <v>54</v>
      </c>
      <c r="C57" s="248" t="s">
        <v>4824</v>
      </c>
      <c r="D57" s="248" t="s">
        <v>5614</v>
      </c>
      <c r="E57" s="212">
        <v>45459</v>
      </c>
      <c r="F57" s="258">
        <v>2.6388888888888889E-2</v>
      </c>
      <c r="G57" s="122" t="s">
        <v>6109</v>
      </c>
      <c r="H57" s="131" t="s">
        <v>362</v>
      </c>
      <c r="I57" s="211"/>
      <c r="J57" s="104" t="s">
        <v>525</v>
      </c>
      <c r="K57" s="131">
        <v>300000</v>
      </c>
      <c r="L57" s="131">
        <v>1000000</v>
      </c>
      <c r="M57" s="28" t="s">
        <v>20</v>
      </c>
      <c r="N57" s="28" t="s">
        <v>20</v>
      </c>
      <c r="O57" s="28" t="s">
        <v>20</v>
      </c>
      <c r="P57" s="28" t="s">
        <v>20</v>
      </c>
      <c r="Q57" s="28" t="s">
        <v>20</v>
      </c>
      <c r="R57" s="28" t="s">
        <v>20</v>
      </c>
    </row>
    <row r="58" spans="2:18" ht="39" x14ac:dyDescent="0.35">
      <c r="B58" s="104">
        <v>55</v>
      </c>
      <c r="C58" s="248" t="s">
        <v>4824</v>
      </c>
      <c r="D58" s="248" t="s">
        <v>5614</v>
      </c>
      <c r="E58" s="212">
        <v>45444</v>
      </c>
      <c r="F58" s="258">
        <v>0.94791666666666663</v>
      </c>
      <c r="G58" s="122" t="s">
        <v>6111</v>
      </c>
      <c r="H58" s="131"/>
      <c r="I58" s="131"/>
      <c r="J58" s="104" t="s">
        <v>2443</v>
      </c>
      <c r="K58" s="131">
        <v>10000</v>
      </c>
      <c r="L58" s="131">
        <v>90000</v>
      </c>
      <c r="M58" s="28" t="s">
        <v>20</v>
      </c>
      <c r="N58" s="28" t="s">
        <v>20</v>
      </c>
      <c r="O58" s="28" t="s">
        <v>20</v>
      </c>
      <c r="P58" s="28" t="s">
        <v>20</v>
      </c>
      <c r="Q58" s="28" t="s">
        <v>20</v>
      </c>
      <c r="R58" s="28" t="s">
        <v>20</v>
      </c>
    </row>
    <row r="59" spans="2:18" ht="39" x14ac:dyDescent="0.35">
      <c r="B59" s="104">
        <v>56</v>
      </c>
      <c r="C59" s="248" t="s">
        <v>4824</v>
      </c>
      <c r="D59" s="248" t="s">
        <v>5614</v>
      </c>
      <c r="E59" s="212">
        <v>45444</v>
      </c>
      <c r="F59" s="258">
        <v>8.1250000000000003E-2</v>
      </c>
      <c r="G59" s="122" t="s">
        <v>6111</v>
      </c>
      <c r="H59" s="131"/>
      <c r="I59" s="131"/>
      <c r="J59" s="104" t="s">
        <v>2443</v>
      </c>
      <c r="K59" s="131"/>
      <c r="L59" s="131"/>
      <c r="M59" s="28" t="s">
        <v>20</v>
      </c>
      <c r="N59" s="28" t="s">
        <v>20</v>
      </c>
      <c r="O59" s="28" t="s">
        <v>20</v>
      </c>
      <c r="P59" s="28" t="s">
        <v>20</v>
      </c>
      <c r="Q59" s="28" t="s">
        <v>20</v>
      </c>
      <c r="R59" s="28" t="s">
        <v>20</v>
      </c>
    </row>
    <row r="60" spans="2:18" ht="39" x14ac:dyDescent="0.35">
      <c r="B60" s="104">
        <v>57</v>
      </c>
      <c r="C60" s="248" t="s">
        <v>4824</v>
      </c>
      <c r="D60" s="248" t="s">
        <v>5614</v>
      </c>
      <c r="E60" s="212">
        <v>45444</v>
      </c>
      <c r="F60" s="258">
        <v>0.41041666666666665</v>
      </c>
      <c r="G60" s="122" t="s">
        <v>6112</v>
      </c>
      <c r="H60" s="131"/>
      <c r="I60" s="131"/>
      <c r="J60" s="104" t="s">
        <v>2443</v>
      </c>
      <c r="K60" s="131"/>
      <c r="L60" s="131"/>
      <c r="M60" s="28" t="s">
        <v>20</v>
      </c>
      <c r="N60" s="28" t="s">
        <v>20</v>
      </c>
      <c r="O60" s="28" t="s">
        <v>20</v>
      </c>
      <c r="P60" s="28" t="s">
        <v>20</v>
      </c>
      <c r="Q60" s="28" t="s">
        <v>20</v>
      </c>
      <c r="R60" s="28" t="s">
        <v>20</v>
      </c>
    </row>
    <row r="61" spans="2:18" ht="39" x14ac:dyDescent="0.35">
      <c r="B61" s="104">
        <v>58</v>
      </c>
      <c r="C61" s="248" t="s">
        <v>4824</v>
      </c>
      <c r="D61" s="248" t="s">
        <v>5614</v>
      </c>
      <c r="E61" s="212">
        <v>45444</v>
      </c>
      <c r="F61" s="258">
        <v>0.47291666666666665</v>
      </c>
      <c r="G61" s="122" t="s">
        <v>6113</v>
      </c>
      <c r="H61" s="131"/>
      <c r="I61" s="131"/>
      <c r="J61" s="104" t="s">
        <v>2443</v>
      </c>
      <c r="K61" s="131">
        <v>10000</v>
      </c>
      <c r="L61" s="131">
        <v>90000</v>
      </c>
      <c r="M61" s="28" t="s">
        <v>20</v>
      </c>
      <c r="N61" s="28" t="s">
        <v>20</v>
      </c>
      <c r="O61" s="28" t="s">
        <v>20</v>
      </c>
      <c r="P61" s="28" t="s">
        <v>20</v>
      </c>
      <c r="Q61" s="28" t="s">
        <v>20</v>
      </c>
      <c r="R61" s="28" t="s">
        <v>20</v>
      </c>
    </row>
    <row r="62" spans="2:18" ht="39" x14ac:dyDescent="0.35">
      <c r="B62" s="104">
        <v>59</v>
      </c>
      <c r="C62" s="248" t="s">
        <v>4824</v>
      </c>
      <c r="D62" s="248" t="s">
        <v>5614</v>
      </c>
      <c r="E62" s="212">
        <v>45444</v>
      </c>
      <c r="F62" s="258">
        <v>0.5083333333333333</v>
      </c>
      <c r="G62" s="122" t="s">
        <v>6114</v>
      </c>
      <c r="H62" s="131"/>
      <c r="I62" s="131"/>
      <c r="J62" s="104" t="s">
        <v>2443</v>
      </c>
      <c r="K62" s="131"/>
      <c r="L62" s="131"/>
      <c r="M62" s="28" t="s">
        <v>20</v>
      </c>
      <c r="N62" s="28" t="s">
        <v>20</v>
      </c>
      <c r="O62" s="28" t="s">
        <v>20</v>
      </c>
      <c r="P62" s="28" t="s">
        <v>20</v>
      </c>
      <c r="Q62" s="28" t="s">
        <v>20</v>
      </c>
      <c r="R62" s="28" t="s">
        <v>20</v>
      </c>
    </row>
    <row r="63" spans="2:18" ht="39" x14ac:dyDescent="0.35">
      <c r="B63" s="104">
        <v>60</v>
      </c>
      <c r="C63" s="248" t="s">
        <v>4824</v>
      </c>
      <c r="D63" s="248" t="s">
        <v>5614</v>
      </c>
      <c r="E63" s="212">
        <v>45445</v>
      </c>
      <c r="F63" s="258">
        <v>0.60972222222222228</v>
      </c>
      <c r="G63" s="122" t="s">
        <v>6115</v>
      </c>
      <c r="H63" s="131"/>
      <c r="I63" s="131"/>
      <c r="J63" s="104" t="s">
        <v>2443</v>
      </c>
      <c r="K63" s="131"/>
      <c r="L63" s="131"/>
      <c r="M63" s="28" t="s">
        <v>20</v>
      </c>
      <c r="N63" s="28" t="s">
        <v>20</v>
      </c>
      <c r="O63" s="28" t="s">
        <v>20</v>
      </c>
      <c r="P63" s="28" t="s">
        <v>20</v>
      </c>
      <c r="Q63" s="28" t="s">
        <v>20</v>
      </c>
      <c r="R63" s="28" t="s">
        <v>20</v>
      </c>
    </row>
    <row r="64" spans="2:18" ht="39" x14ac:dyDescent="0.35">
      <c r="B64" s="104">
        <v>61</v>
      </c>
      <c r="C64" s="248" t="s">
        <v>4824</v>
      </c>
      <c r="D64" s="248" t="s">
        <v>5614</v>
      </c>
      <c r="E64" s="212">
        <v>45446</v>
      </c>
      <c r="F64" s="258">
        <v>0.56388888888888888</v>
      </c>
      <c r="G64" s="122" t="s">
        <v>6116</v>
      </c>
      <c r="H64" s="131"/>
      <c r="I64" s="131"/>
      <c r="J64" s="104" t="s">
        <v>2443</v>
      </c>
      <c r="K64" s="131"/>
      <c r="L64" s="131"/>
      <c r="M64" s="28" t="s">
        <v>20</v>
      </c>
      <c r="N64" s="28" t="s">
        <v>20</v>
      </c>
      <c r="O64" s="28" t="s">
        <v>20</v>
      </c>
      <c r="P64" s="28" t="s">
        <v>20</v>
      </c>
      <c r="Q64" s="28" t="s">
        <v>20</v>
      </c>
      <c r="R64" s="28" t="s">
        <v>20</v>
      </c>
    </row>
    <row r="65" spans="2:18" ht="39" x14ac:dyDescent="0.35">
      <c r="B65" s="104">
        <v>62</v>
      </c>
      <c r="C65" s="248" t="s">
        <v>4824</v>
      </c>
      <c r="D65" s="248" t="s">
        <v>5614</v>
      </c>
      <c r="E65" s="212">
        <v>45448</v>
      </c>
      <c r="F65" s="258">
        <v>0.53749999999999998</v>
      </c>
      <c r="G65" s="122" t="s">
        <v>6117</v>
      </c>
      <c r="H65" s="131"/>
      <c r="I65" s="131"/>
      <c r="J65" s="104" t="s">
        <v>2443</v>
      </c>
      <c r="K65" s="131"/>
      <c r="L65" s="131"/>
      <c r="M65" s="28" t="s">
        <v>20</v>
      </c>
      <c r="N65" s="28" t="s">
        <v>20</v>
      </c>
      <c r="O65" s="28" t="s">
        <v>20</v>
      </c>
      <c r="P65" s="28" t="s">
        <v>20</v>
      </c>
      <c r="Q65" s="28" t="s">
        <v>20</v>
      </c>
      <c r="R65" s="28" t="s">
        <v>20</v>
      </c>
    </row>
    <row r="66" spans="2:18" ht="39" x14ac:dyDescent="0.35">
      <c r="B66" s="104">
        <v>63</v>
      </c>
      <c r="C66" s="248" t="s">
        <v>4824</v>
      </c>
      <c r="D66" s="248" t="s">
        <v>5614</v>
      </c>
      <c r="E66" s="212">
        <v>45450</v>
      </c>
      <c r="F66" s="258">
        <v>0.73263888888888884</v>
      </c>
      <c r="G66" s="122" t="s">
        <v>6118</v>
      </c>
      <c r="H66" s="131"/>
      <c r="I66" s="131"/>
      <c r="J66" s="104" t="s">
        <v>2443</v>
      </c>
      <c r="K66" s="131"/>
      <c r="L66" s="131"/>
      <c r="M66" s="28" t="s">
        <v>20</v>
      </c>
      <c r="N66" s="28" t="s">
        <v>20</v>
      </c>
      <c r="O66" s="28" t="s">
        <v>20</v>
      </c>
      <c r="P66" s="28" t="s">
        <v>20</v>
      </c>
      <c r="Q66" s="28" t="s">
        <v>20</v>
      </c>
      <c r="R66" s="28" t="s">
        <v>20</v>
      </c>
    </row>
    <row r="67" spans="2:18" ht="39" x14ac:dyDescent="0.35">
      <c r="B67" s="104">
        <v>64</v>
      </c>
      <c r="C67" s="248" t="s">
        <v>4824</v>
      </c>
      <c r="D67" s="248" t="s">
        <v>5614</v>
      </c>
      <c r="E67" s="212">
        <v>45454</v>
      </c>
      <c r="F67" s="258">
        <v>0.43472222222222223</v>
      </c>
      <c r="G67" s="122" t="s">
        <v>6119</v>
      </c>
      <c r="H67" s="131"/>
      <c r="I67" s="131"/>
      <c r="J67" s="104" t="s">
        <v>2443</v>
      </c>
      <c r="K67" s="131">
        <v>10000</v>
      </c>
      <c r="L67" s="131">
        <v>90000</v>
      </c>
      <c r="M67" s="28" t="s">
        <v>20</v>
      </c>
      <c r="N67" s="28" t="s">
        <v>20</v>
      </c>
      <c r="O67" s="28" t="s">
        <v>20</v>
      </c>
      <c r="P67" s="28" t="s">
        <v>20</v>
      </c>
      <c r="Q67" s="28" t="s">
        <v>20</v>
      </c>
      <c r="R67" s="28" t="s">
        <v>20</v>
      </c>
    </row>
    <row r="68" spans="2:18" ht="39" x14ac:dyDescent="0.35">
      <c r="B68" s="104">
        <v>65</v>
      </c>
      <c r="C68" s="248" t="s">
        <v>4824</v>
      </c>
      <c r="D68" s="248" t="s">
        <v>5614</v>
      </c>
      <c r="E68" s="212">
        <v>45454</v>
      </c>
      <c r="F68" s="258">
        <v>0.50486111111111109</v>
      </c>
      <c r="G68" s="122" t="s">
        <v>6120</v>
      </c>
      <c r="H68" s="131"/>
      <c r="I68" s="131"/>
      <c r="J68" s="104" t="s">
        <v>2443</v>
      </c>
      <c r="K68" s="131">
        <v>10000</v>
      </c>
      <c r="L68" s="131">
        <v>90000</v>
      </c>
      <c r="M68" s="28" t="s">
        <v>20</v>
      </c>
      <c r="N68" s="28" t="s">
        <v>20</v>
      </c>
      <c r="O68" s="28" t="s">
        <v>20</v>
      </c>
      <c r="P68" s="28" t="s">
        <v>20</v>
      </c>
      <c r="Q68" s="28" t="s">
        <v>20</v>
      </c>
      <c r="R68" s="28" t="s">
        <v>20</v>
      </c>
    </row>
    <row r="69" spans="2:18" ht="39" x14ac:dyDescent="0.35">
      <c r="B69" s="104">
        <v>66</v>
      </c>
      <c r="C69" s="248" t="s">
        <v>4824</v>
      </c>
      <c r="D69" s="248" t="s">
        <v>5614</v>
      </c>
      <c r="E69" s="212">
        <v>45454</v>
      </c>
      <c r="F69" s="258">
        <v>0.57708333333333328</v>
      </c>
      <c r="G69" s="122" t="s">
        <v>6121</v>
      </c>
      <c r="H69" s="131"/>
      <c r="I69" s="131"/>
      <c r="J69" s="104" t="s">
        <v>2443</v>
      </c>
      <c r="K69" s="131">
        <v>10000</v>
      </c>
      <c r="L69" s="131">
        <v>90000</v>
      </c>
      <c r="M69" s="28" t="s">
        <v>20</v>
      </c>
      <c r="N69" s="28" t="s">
        <v>20</v>
      </c>
      <c r="O69" s="28" t="s">
        <v>20</v>
      </c>
      <c r="P69" s="28" t="s">
        <v>20</v>
      </c>
      <c r="Q69" s="28" t="s">
        <v>20</v>
      </c>
      <c r="R69" s="28" t="s">
        <v>20</v>
      </c>
    </row>
    <row r="70" spans="2:18" ht="39" x14ac:dyDescent="0.35">
      <c r="B70" s="104">
        <v>67</v>
      </c>
      <c r="C70" s="248" t="s">
        <v>4824</v>
      </c>
      <c r="D70" s="248" t="s">
        <v>5614</v>
      </c>
      <c r="E70" s="212">
        <v>45454</v>
      </c>
      <c r="F70" s="258">
        <v>0.69027777777777777</v>
      </c>
      <c r="G70" s="122" t="s">
        <v>6122</v>
      </c>
      <c r="H70" s="131"/>
      <c r="I70" s="131"/>
      <c r="J70" s="104" t="s">
        <v>2443</v>
      </c>
      <c r="K70" s="131">
        <v>10000</v>
      </c>
      <c r="L70" s="131">
        <v>90000</v>
      </c>
      <c r="M70" s="28" t="s">
        <v>20</v>
      </c>
      <c r="N70" s="28" t="s">
        <v>20</v>
      </c>
      <c r="O70" s="28" t="s">
        <v>20</v>
      </c>
      <c r="P70" s="28" t="s">
        <v>20</v>
      </c>
      <c r="Q70" s="28" t="s">
        <v>20</v>
      </c>
      <c r="R70" s="28" t="s">
        <v>20</v>
      </c>
    </row>
    <row r="71" spans="2:18" ht="39" x14ac:dyDescent="0.35">
      <c r="B71" s="104">
        <v>68</v>
      </c>
      <c r="C71" s="248" t="s">
        <v>4824</v>
      </c>
      <c r="D71" s="248" t="s">
        <v>5614</v>
      </c>
      <c r="E71" s="212">
        <v>45454</v>
      </c>
      <c r="F71" s="258">
        <v>0.80277777777777781</v>
      </c>
      <c r="G71" s="122" t="s">
        <v>6123</v>
      </c>
      <c r="H71" s="131"/>
      <c r="I71" s="131"/>
      <c r="J71" s="104" t="s">
        <v>2443</v>
      </c>
      <c r="K71" s="131">
        <v>10000</v>
      </c>
      <c r="L71" s="131">
        <v>90000</v>
      </c>
      <c r="M71" s="28" t="s">
        <v>20</v>
      </c>
      <c r="N71" s="28" t="s">
        <v>20</v>
      </c>
      <c r="O71" s="28" t="s">
        <v>20</v>
      </c>
      <c r="P71" s="28" t="s">
        <v>20</v>
      </c>
      <c r="Q71" s="28" t="s">
        <v>20</v>
      </c>
      <c r="R71" s="28" t="s">
        <v>20</v>
      </c>
    </row>
    <row r="72" spans="2:18" ht="39" x14ac:dyDescent="0.35">
      <c r="B72" s="104">
        <v>69</v>
      </c>
      <c r="C72" s="248" t="s">
        <v>4824</v>
      </c>
      <c r="D72" s="248" t="s">
        <v>5614</v>
      </c>
      <c r="E72" s="212">
        <v>45454</v>
      </c>
      <c r="F72" s="258">
        <v>0.98333333333333328</v>
      </c>
      <c r="G72" s="122" t="s">
        <v>6124</v>
      </c>
      <c r="H72" s="131"/>
      <c r="I72" s="131"/>
      <c r="J72" s="104" t="s">
        <v>2443</v>
      </c>
      <c r="K72" s="131"/>
      <c r="L72" s="131"/>
      <c r="M72" s="28" t="s">
        <v>20</v>
      </c>
      <c r="N72" s="28" t="s">
        <v>20</v>
      </c>
      <c r="O72" s="28" t="s">
        <v>20</v>
      </c>
      <c r="P72" s="28" t="s">
        <v>20</v>
      </c>
      <c r="Q72" s="28" t="s">
        <v>20</v>
      </c>
      <c r="R72" s="28" t="s">
        <v>20</v>
      </c>
    </row>
    <row r="73" spans="2:18" ht="39" x14ac:dyDescent="0.35">
      <c r="B73" s="104">
        <v>70</v>
      </c>
      <c r="C73" s="248" t="s">
        <v>4824</v>
      </c>
      <c r="D73" s="248" t="s">
        <v>5614</v>
      </c>
      <c r="E73" s="212">
        <v>45455</v>
      </c>
      <c r="F73" s="258">
        <v>0.25486111111111109</v>
      </c>
      <c r="G73" s="122" t="s">
        <v>6124</v>
      </c>
      <c r="H73" s="131"/>
      <c r="I73" s="131"/>
      <c r="J73" s="104" t="s">
        <v>2443</v>
      </c>
      <c r="K73" s="131"/>
      <c r="L73" s="131"/>
      <c r="M73" s="28" t="s">
        <v>20</v>
      </c>
      <c r="N73" s="28" t="s">
        <v>20</v>
      </c>
      <c r="O73" s="28" t="s">
        <v>20</v>
      </c>
      <c r="P73" s="28" t="s">
        <v>20</v>
      </c>
      <c r="Q73" s="28" t="s">
        <v>20</v>
      </c>
      <c r="R73" s="28" t="s">
        <v>20</v>
      </c>
    </row>
    <row r="74" spans="2:18" ht="39" x14ac:dyDescent="0.35">
      <c r="B74" s="104">
        <v>71</v>
      </c>
      <c r="C74" s="248" t="s">
        <v>4824</v>
      </c>
      <c r="D74" s="248" t="s">
        <v>5614</v>
      </c>
      <c r="E74" s="212">
        <v>45455</v>
      </c>
      <c r="F74" s="258">
        <v>0.31874999999999998</v>
      </c>
      <c r="G74" s="122" t="s">
        <v>6125</v>
      </c>
      <c r="H74" s="131"/>
      <c r="I74" s="131"/>
      <c r="J74" s="104" t="s">
        <v>2443</v>
      </c>
      <c r="K74" s="131"/>
      <c r="L74" s="131"/>
      <c r="M74" s="28" t="s">
        <v>20</v>
      </c>
      <c r="N74" s="28" t="s">
        <v>20</v>
      </c>
      <c r="O74" s="28" t="s">
        <v>20</v>
      </c>
      <c r="P74" s="28" t="s">
        <v>20</v>
      </c>
      <c r="Q74" s="28" t="s">
        <v>20</v>
      </c>
      <c r="R74" s="28" t="s">
        <v>20</v>
      </c>
    </row>
    <row r="75" spans="2:18" ht="39" x14ac:dyDescent="0.35">
      <c r="B75" s="104">
        <v>72</v>
      </c>
      <c r="C75" s="248" t="s">
        <v>4824</v>
      </c>
      <c r="D75" s="248" t="s">
        <v>5614</v>
      </c>
      <c r="E75" s="212">
        <v>45455</v>
      </c>
      <c r="F75" s="258">
        <v>0.49027777777777776</v>
      </c>
      <c r="G75" s="122" t="s">
        <v>6126</v>
      </c>
      <c r="H75" s="131"/>
      <c r="I75" s="131"/>
      <c r="J75" s="104" t="s">
        <v>2443</v>
      </c>
      <c r="K75" s="131">
        <v>20000</v>
      </c>
      <c r="L75" s="131">
        <v>180000</v>
      </c>
      <c r="M75" s="28" t="s">
        <v>20</v>
      </c>
      <c r="N75" s="28" t="s">
        <v>20</v>
      </c>
      <c r="O75" s="28" t="s">
        <v>20</v>
      </c>
      <c r="P75" s="28" t="s">
        <v>20</v>
      </c>
      <c r="Q75" s="28" t="s">
        <v>20</v>
      </c>
      <c r="R75" s="28" t="s">
        <v>20</v>
      </c>
    </row>
    <row r="76" spans="2:18" ht="39" x14ac:dyDescent="0.35">
      <c r="B76" s="104">
        <v>73</v>
      </c>
      <c r="C76" s="248" t="s">
        <v>4824</v>
      </c>
      <c r="D76" s="248" t="s">
        <v>5614</v>
      </c>
      <c r="E76" s="212">
        <v>45455</v>
      </c>
      <c r="F76" s="258">
        <v>0.49236111111111114</v>
      </c>
      <c r="G76" s="122" t="s">
        <v>6127</v>
      </c>
      <c r="H76" s="131"/>
      <c r="I76" s="131"/>
      <c r="J76" s="104" t="s">
        <v>2443</v>
      </c>
      <c r="K76" s="131"/>
      <c r="L76" s="131"/>
      <c r="M76" s="28" t="s">
        <v>20</v>
      </c>
      <c r="N76" s="28" t="s">
        <v>20</v>
      </c>
      <c r="O76" s="28" t="s">
        <v>20</v>
      </c>
      <c r="P76" s="28" t="s">
        <v>20</v>
      </c>
      <c r="Q76" s="28" t="s">
        <v>20</v>
      </c>
      <c r="R76" s="28" t="s">
        <v>20</v>
      </c>
    </row>
    <row r="77" spans="2:18" ht="39" x14ac:dyDescent="0.35">
      <c r="B77" s="104">
        <v>74</v>
      </c>
      <c r="C77" s="248" t="s">
        <v>4824</v>
      </c>
      <c r="D77" s="248" t="s">
        <v>5614</v>
      </c>
      <c r="E77" s="212">
        <v>45455</v>
      </c>
      <c r="F77" s="258">
        <v>0.67986111111111114</v>
      </c>
      <c r="G77" s="122" t="s">
        <v>6128</v>
      </c>
      <c r="H77" s="131"/>
      <c r="I77" s="131"/>
      <c r="J77" s="104" t="s">
        <v>2443</v>
      </c>
      <c r="K77" s="131"/>
      <c r="L77" s="131"/>
      <c r="M77" s="28" t="s">
        <v>20</v>
      </c>
      <c r="N77" s="28" t="s">
        <v>20</v>
      </c>
      <c r="O77" s="28" t="s">
        <v>20</v>
      </c>
      <c r="P77" s="28" t="s">
        <v>20</v>
      </c>
      <c r="Q77" s="28" t="s">
        <v>20</v>
      </c>
      <c r="R77" s="28" t="s">
        <v>20</v>
      </c>
    </row>
    <row r="78" spans="2:18" ht="39" x14ac:dyDescent="0.35">
      <c r="B78" s="104">
        <v>75</v>
      </c>
      <c r="C78" s="248" t="s">
        <v>4824</v>
      </c>
      <c r="D78" s="248" t="s">
        <v>5614</v>
      </c>
      <c r="E78" s="212">
        <v>45456</v>
      </c>
      <c r="F78" s="258">
        <v>0.61111111111111116</v>
      </c>
      <c r="G78" s="122" t="s">
        <v>6129</v>
      </c>
      <c r="H78" s="131"/>
      <c r="I78" s="131"/>
      <c r="J78" s="104" t="s">
        <v>2443</v>
      </c>
      <c r="K78" s="131"/>
      <c r="L78" s="131"/>
      <c r="M78" s="28" t="s">
        <v>20</v>
      </c>
      <c r="N78" s="28" t="s">
        <v>20</v>
      </c>
      <c r="O78" s="28" t="s">
        <v>20</v>
      </c>
      <c r="P78" s="28" t="s">
        <v>20</v>
      </c>
      <c r="Q78" s="28" t="s">
        <v>20</v>
      </c>
      <c r="R78" s="28" t="s">
        <v>20</v>
      </c>
    </row>
    <row r="79" spans="2:18" ht="39" x14ac:dyDescent="0.35">
      <c r="B79" s="104">
        <v>76</v>
      </c>
      <c r="C79" s="248" t="s">
        <v>4824</v>
      </c>
      <c r="D79" s="248" t="s">
        <v>5614</v>
      </c>
      <c r="E79" s="212">
        <v>45456</v>
      </c>
      <c r="F79" s="258">
        <v>0.45416666666666666</v>
      </c>
      <c r="G79" s="122" t="s">
        <v>6130</v>
      </c>
      <c r="H79" s="131"/>
      <c r="I79" s="131"/>
      <c r="J79" s="104" t="s">
        <v>2443</v>
      </c>
      <c r="K79" s="131"/>
      <c r="L79" s="131"/>
      <c r="M79" s="28" t="s">
        <v>20</v>
      </c>
      <c r="N79" s="28" t="s">
        <v>20</v>
      </c>
      <c r="O79" s="28" t="s">
        <v>20</v>
      </c>
      <c r="P79" s="28" t="s">
        <v>20</v>
      </c>
      <c r="Q79" s="28" t="s">
        <v>20</v>
      </c>
      <c r="R79" s="28" t="s">
        <v>20</v>
      </c>
    </row>
    <row r="80" spans="2:18" ht="39" x14ac:dyDescent="0.35">
      <c r="B80" s="104">
        <v>77</v>
      </c>
      <c r="C80" s="248" t="s">
        <v>4824</v>
      </c>
      <c r="D80" s="248" t="s">
        <v>5614</v>
      </c>
      <c r="E80" s="212">
        <v>45456</v>
      </c>
      <c r="F80" s="258">
        <v>0.50555555555555554</v>
      </c>
      <c r="G80" s="122" t="s">
        <v>6131</v>
      </c>
      <c r="H80" s="131"/>
      <c r="I80" s="131"/>
      <c r="J80" s="104" t="s">
        <v>2443</v>
      </c>
      <c r="K80" s="131"/>
      <c r="L80" s="131"/>
      <c r="M80" s="28" t="s">
        <v>20</v>
      </c>
      <c r="N80" s="28" t="s">
        <v>20</v>
      </c>
      <c r="O80" s="28" t="s">
        <v>20</v>
      </c>
      <c r="P80" s="28" t="s">
        <v>20</v>
      </c>
      <c r="Q80" s="28" t="s">
        <v>20</v>
      </c>
      <c r="R80" s="28" t="s">
        <v>20</v>
      </c>
    </row>
    <row r="81" spans="2:18" ht="39" x14ac:dyDescent="0.35">
      <c r="B81" s="104">
        <v>78</v>
      </c>
      <c r="C81" s="248" t="s">
        <v>4824</v>
      </c>
      <c r="D81" s="248" t="s">
        <v>5614</v>
      </c>
      <c r="E81" s="212">
        <v>45456</v>
      </c>
      <c r="F81" s="258">
        <v>0.64583333333333337</v>
      </c>
      <c r="G81" s="122" t="s">
        <v>6132</v>
      </c>
      <c r="H81" s="131"/>
      <c r="I81" s="131"/>
      <c r="J81" s="104" t="s">
        <v>2443</v>
      </c>
      <c r="K81" s="131"/>
      <c r="L81" s="131"/>
      <c r="M81" s="28" t="s">
        <v>20</v>
      </c>
      <c r="N81" s="28" t="s">
        <v>20</v>
      </c>
      <c r="O81" s="28" t="s">
        <v>20</v>
      </c>
      <c r="P81" s="28" t="s">
        <v>20</v>
      </c>
      <c r="Q81" s="28" t="s">
        <v>20</v>
      </c>
      <c r="R81" s="28" t="s">
        <v>20</v>
      </c>
    </row>
    <row r="82" spans="2:18" ht="39" x14ac:dyDescent="0.35">
      <c r="B82" s="104">
        <v>79</v>
      </c>
      <c r="C82" s="248" t="s">
        <v>4824</v>
      </c>
      <c r="D82" s="248" t="s">
        <v>5614</v>
      </c>
      <c r="E82" s="212">
        <v>45457</v>
      </c>
      <c r="F82" s="258">
        <v>0.47847222222222224</v>
      </c>
      <c r="G82" s="122" t="s">
        <v>6133</v>
      </c>
      <c r="H82" s="131"/>
      <c r="I82" s="131"/>
      <c r="J82" s="104" t="s">
        <v>2443</v>
      </c>
      <c r="K82" s="131"/>
      <c r="L82" s="131"/>
      <c r="M82" s="28" t="s">
        <v>20</v>
      </c>
      <c r="N82" s="28" t="s">
        <v>20</v>
      </c>
      <c r="O82" s="28" t="s">
        <v>20</v>
      </c>
      <c r="P82" s="28" t="s">
        <v>20</v>
      </c>
      <c r="Q82" s="28" t="s">
        <v>20</v>
      </c>
      <c r="R82" s="28" t="s">
        <v>20</v>
      </c>
    </row>
    <row r="83" spans="2:18" ht="39" x14ac:dyDescent="0.35">
      <c r="B83" s="104">
        <v>80</v>
      </c>
      <c r="C83" s="248" t="s">
        <v>4824</v>
      </c>
      <c r="D83" s="248" t="s">
        <v>5614</v>
      </c>
      <c r="E83" s="212">
        <v>45457</v>
      </c>
      <c r="F83" s="258">
        <v>0.86250000000000004</v>
      </c>
      <c r="G83" s="122" t="s">
        <v>6134</v>
      </c>
      <c r="H83" s="131"/>
      <c r="I83" s="131"/>
      <c r="J83" s="104" t="s">
        <v>2443</v>
      </c>
      <c r="K83" s="131"/>
      <c r="L83" s="131"/>
      <c r="M83" s="28" t="s">
        <v>20</v>
      </c>
      <c r="N83" s="28" t="s">
        <v>20</v>
      </c>
      <c r="O83" s="28" t="s">
        <v>20</v>
      </c>
      <c r="P83" s="28" t="s">
        <v>20</v>
      </c>
      <c r="Q83" s="28" t="s">
        <v>20</v>
      </c>
      <c r="R83" s="28" t="s">
        <v>20</v>
      </c>
    </row>
    <row r="84" spans="2:18" ht="39" x14ac:dyDescent="0.35">
      <c r="B84" s="104">
        <v>81</v>
      </c>
      <c r="C84" s="248" t="s">
        <v>4824</v>
      </c>
      <c r="D84" s="248" t="s">
        <v>5614</v>
      </c>
      <c r="E84" s="212">
        <v>45460</v>
      </c>
      <c r="F84" s="258">
        <v>3.1944444444444442E-2</v>
      </c>
      <c r="G84" s="122" t="s">
        <v>6135</v>
      </c>
      <c r="H84" s="131"/>
      <c r="I84" s="131"/>
      <c r="J84" s="104" t="s">
        <v>2443</v>
      </c>
      <c r="K84" s="131"/>
      <c r="L84" s="131"/>
      <c r="M84" s="28" t="s">
        <v>20</v>
      </c>
      <c r="N84" s="28" t="s">
        <v>20</v>
      </c>
      <c r="O84" s="28" t="s">
        <v>20</v>
      </c>
      <c r="P84" s="28" t="s">
        <v>20</v>
      </c>
      <c r="Q84" s="28" t="s">
        <v>20</v>
      </c>
      <c r="R84" s="28" t="s">
        <v>20</v>
      </c>
    </row>
    <row r="85" spans="2:18" ht="39" x14ac:dyDescent="0.35">
      <c r="B85" s="104">
        <v>82</v>
      </c>
      <c r="C85" s="248" t="s">
        <v>4824</v>
      </c>
      <c r="D85" s="248" t="s">
        <v>5614</v>
      </c>
      <c r="E85" s="212">
        <v>45460</v>
      </c>
      <c r="F85" s="258">
        <v>3.3333333333333333E-2</v>
      </c>
      <c r="G85" s="122" t="s">
        <v>6136</v>
      </c>
      <c r="H85" s="131"/>
      <c r="I85" s="131"/>
      <c r="J85" s="104" t="s">
        <v>2443</v>
      </c>
      <c r="K85" s="131"/>
      <c r="L85" s="131"/>
      <c r="M85" s="28" t="s">
        <v>20</v>
      </c>
      <c r="N85" s="28" t="s">
        <v>20</v>
      </c>
      <c r="O85" s="28" t="s">
        <v>20</v>
      </c>
      <c r="P85" s="28" t="s">
        <v>20</v>
      </c>
      <c r="Q85" s="28" t="s">
        <v>20</v>
      </c>
      <c r="R85" s="28" t="s">
        <v>20</v>
      </c>
    </row>
    <row r="86" spans="2:18" ht="39" x14ac:dyDescent="0.35">
      <c r="B86" s="104">
        <v>83</v>
      </c>
      <c r="C86" s="248" t="s">
        <v>4824</v>
      </c>
      <c r="D86" s="248" t="s">
        <v>5614</v>
      </c>
      <c r="E86" s="212">
        <v>45462</v>
      </c>
      <c r="F86" s="258">
        <v>0.56874999999999998</v>
      </c>
      <c r="G86" s="122" t="s">
        <v>6137</v>
      </c>
      <c r="H86" s="131"/>
      <c r="I86" s="131"/>
      <c r="J86" s="104" t="s">
        <v>2443</v>
      </c>
      <c r="K86" s="131"/>
      <c r="L86" s="131"/>
      <c r="M86" s="28" t="s">
        <v>20</v>
      </c>
      <c r="N86" s="28" t="s">
        <v>20</v>
      </c>
      <c r="O86" s="28" t="s">
        <v>20</v>
      </c>
      <c r="P86" s="28" t="s">
        <v>20</v>
      </c>
      <c r="Q86" s="28" t="s">
        <v>20</v>
      </c>
      <c r="R86" s="28" t="s">
        <v>20</v>
      </c>
    </row>
    <row r="87" spans="2:18" ht="19.5" x14ac:dyDescent="0.35">
      <c r="B87" s="104">
        <v>84</v>
      </c>
      <c r="C87" s="131"/>
      <c r="D87" s="131"/>
      <c r="E87" s="104"/>
      <c r="F87" s="131"/>
      <c r="G87" s="131"/>
      <c r="H87" s="131"/>
      <c r="I87" s="131"/>
      <c r="J87" s="131"/>
      <c r="K87" s="131"/>
      <c r="L87" s="131"/>
      <c r="M87" s="131"/>
      <c r="N87" s="131"/>
      <c r="O87" s="131"/>
      <c r="P87" s="131"/>
      <c r="Q87" s="131"/>
      <c r="R87" s="131"/>
    </row>
    <row r="88" spans="2:18" ht="19.5" x14ac:dyDescent="0.35">
      <c r="B88" s="104">
        <v>85</v>
      </c>
      <c r="C88" s="131"/>
      <c r="D88" s="131"/>
      <c r="E88" s="104"/>
      <c r="F88" s="131"/>
      <c r="G88" s="131"/>
      <c r="H88" s="131"/>
      <c r="I88" s="131"/>
      <c r="J88" s="131"/>
      <c r="K88" s="131"/>
      <c r="L88" s="131"/>
      <c r="M88" s="131"/>
      <c r="N88" s="131"/>
      <c r="O88" s="131"/>
      <c r="P88" s="131"/>
      <c r="Q88" s="131"/>
      <c r="R88" s="131"/>
    </row>
    <row r="89" spans="2:18" ht="19.5" x14ac:dyDescent="0.35">
      <c r="B89" s="104">
        <v>86</v>
      </c>
      <c r="C89" s="131"/>
      <c r="D89" s="131"/>
      <c r="E89" s="104"/>
      <c r="F89" s="131"/>
      <c r="G89" s="131"/>
      <c r="H89" s="131"/>
      <c r="I89" s="131"/>
      <c r="J89" s="131"/>
      <c r="K89" s="131"/>
      <c r="L89" s="131"/>
      <c r="M89" s="131"/>
      <c r="N89" s="131"/>
      <c r="O89" s="131"/>
      <c r="P89" s="131"/>
      <c r="Q89" s="131"/>
      <c r="R89" s="131"/>
    </row>
    <row r="90" spans="2:18" ht="19.5" x14ac:dyDescent="0.35">
      <c r="B90" s="104">
        <v>87</v>
      </c>
      <c r="C90" s="131"/>
      <c r="D90" s="131"/>
      <c r="E90" s="104"/>
      <c r="F90" s="131"/>
      <c r="G90" s="131"/>
      <c r="H90" s="131"/>
      <c r="I90" s="131"/>
      <c r="J90" s="131"/>
      <c r="K90" s="131"/>
      <c r="L90" s="131"/>
      <c r="M90" s="131"/>
      <c r="N90" s="131"/>
      <c r="O90" s="131"/>
      <c r="P90" s="131"/>
      <c r="Q90" s="131"/>
      <c r="R90" s="131"/>
    </row>
    <row r="91" spans="2:18" ht="19.5" x14ac:dyDescent="0.35">
      <c r="B91" s="104">
        <v>88</v>
      </c>
      <c r="C91" s="131"/>
      <c r="D91" s="131"/>
      <c r="E91" s="104"/>
      <c r="F91" s="131"/>
      <c r="G91" s="131"/>
      <c r="H91" s="131"/>
      <c r="I91" s="131"/>
      <c r="J91" s="131"/>
      <c r="K91" s="131"/>
      <c r="L91" s="131"/>
      <c r="M91" s="131"/>
      <c r="N91" s="131"/>
      <c r="O91" s="131"/>
      <c r="P91" s="131"/>
      <c r="Q91" s="131"/>
      <c r="R91" s="131"/>
    </row>
    <row r="92" spans="2:18" ht="19.5" x14ac:dyDescent="0.35">
      <c r="B92" s="104">
        <v>89</v>
      </c>
      <c r="C92" s="131"/>
      <c r="D92" s="131"/>
      <c r="E92" s="104"/>
      <c r="F92" s="131"/>
      <c r="G92" s="131"/>
      <c r="H92" s="131"/>
      <c r="I92" s="131"/>
      <c r="J92" s="131"/>
      <c r="K92" s="131"/>
      <c r="L92" s="131"/>
      <c r="M92" s="131"/>
      <c r="N92" s="131"/>
      <c r="O92" s="131"/>
      <c r="P92" s="131"/>
      <c r="Q92" s="131"/>
      <c r="R92" s="131"/>
    </row>
    <row r="93" spans="2:18" ht="19.5" x14ac:dyDescent="0.35">
      <c r="B93" s="104">
        <v>90</v>
      </c>
      <c r="C93" s="131"/>
      <c r="D93" s="131"/>
      <c r="E93" s="104"/>
      <c r="F93" s="131"/>
      <c r="G93" s="131"/>
      <c r="H93" s="131"/>
      <c r="I93" s="131"/>
      <c r="J93" s="131"/>
      <c r="K93" s="131"/>
      <c r="L93" s="131"/>
      <c r="M93" s="131"/>
      <c r="N93" s="131"/>
      <c r="O93" s="131"/>
      <c r="P93" s="131"/>
      <c r="Q93" s="131"/>
      <c r="R93" s="131"/>
    </row>
    <row r="94" spans="2:18" ht="19.5" x14ac:dyDescent="0.35">
      <c r="B94" s="104">
        <v>91</v>
      </c>
      <c r="C94" s="131"/>
      <c r="D94" s="131"/>
      <c r="E94" s="104"/>
      <c r="F94" s="131"/>
      <c r="G94" s="131"/>
      <c r="H94" s="131"/>
      <c r="I94" s="131"/>
      <c r="J94" s="131"/>
      <c r="K94" s="131"/>
      <c r="L94" s="131"/>
      <c r="M94" s="131"/>
      <c r="N94" s="131"/>
      <c r="O94" s="131"/>
      <c r="P94" s="131"/>
      <c r="Q94" s="131"/>
      <c r="R94" s="131"/>
    </row>
    <row r="95" spans="2:18" ht="19.5" x14ac:dyDescent="0.35">
      <c r="B95" s="104">
        <v>92</v>
      </c>
      <c r="C95" s="131"/>
      <c r="D95" s="131"/>
      <c r="E95" s="104"/>
      <c r="F95" s="131"/>
      <c r="G95" s="131"/>
      <c r="H95" s="131"/>
      <c r="I95" s="131"/>
      <c r="J95" s="131"/>
      <c r="K95" s="131"/>
      <c r="L95" s="131"/>
      <c r="M95" s="131"/>
      <c r="N95" s="131"/>
      <c r="O95" s="131"/>
      <c r="P95" s="131"/>
      <c r="Q95" s="131"/>
      <c r="R95" s="131"/>
    </row>
    <row r="96" spans="2:18" ht="19.5" x14ac:dyDescent="0.35">
      <c r="B96" s="104">
        <v>93</v>
      </c>
      <c r="C96" s="131"/>
      <c r="D96" s="131"/>
      <c r="E96" s="104"/>
      <c r="F96" s="131"/>
      <c r="G96" s="131"/>
      <c r="H96" s="131"/>
      <c r="I96" s="131"/>
      <c r="J96" s="131"/>
      <c r="K96" s="131"/>
      <c r="L96" s="131"/>
      <c r="M96" s="131"/>
      <c r="N96" s="131"/>
      <c r="O96" s="131"/>
      <c r="P96" s="131"/>
      <c r="Q96" s="131"/>
      <c r="R96" s="131"/>
    </row>
    <row r="97" spans="2:18" ht="19.5" x14ac:dyDescent="0.35">
      <c r="B97" s="104">
        <v>94</v>
      </c>
      <c r="C97" s="131"/>
      <c r="D97" s="131"/>
      <c r="E97" s="104"/>
      <c r="F97" s="131"/>
      <c r="G97" s="131"/>
      <c r="H97" s="131"/>
      <c r="I97" s="131"/>
      <c r="J97" s="131"/>
      <c r="K97" s="131"/>
      <c r="L97" s="131"/>
      <c r="M97" s="131"/>
      <c r="N97" s="131"/>
      <c r="O97" s="131"/>
      <c r="P97" s="131"/>
      <c r="Q97" s="131"/>
      <c r="R97" s="131"/>
    </row>
    <row r="98" spans="2:18" ht="19.5" x14ac:dyDescent="0.35">
      <c r="B98" s="104">
        <v>95</v>
      </c>
      <c r="C98" s="131"/>
      <c r="D98" s="131"/>
      <c r="E98" s="104"/>
      <c r="F98" s="131"/>
      <c r="G98" s="131"/>
      <c r="H98" s="131"/>
      <c r="I98" s="131"/>
      <c r="J98" s="131"/>
      <c r="K98" s="131"/>
      <c r="L98" s="131"/>
      <c r="M98" s="131"/>
      <c r="N98" s="131"/>
      <c r="O98" s="131"/>
      <c r="P98" s="131"/>
      <c r="Q98" s="131"/>
      <c r="R98" s="131"/>
    </row>
    <row r="99" spans="2:18" ht="19.5" x14ac:dyDescent="0.35">
      <c r="B99" s="104">
        <v>96</v>
      </c>
      <c r="C99" s="131"/>
      <c r="D99" s="131"/>
      <c r="E99" s="104"/>
      <c r="F99" s="131"/>
      <c r="G99" s="131"/>
      <c r="H99" s="131"/>
      <c r="I99" s="131"/>
      <c r="J99" s="131"/>
      <c r="K99" s="131"/>
      <c r="L99" s="131"/>
      <c r="M99" s="131"/>
      <c r="N99" s="131"/>
      <c r="O99" s="131"/>
      <c r="P99" s="131"/>
      <c r="Q99" s="131"/>
      <c r="R99" s="131"/>
    </row>
    <row r="100" spans="2:18" ht="19.5" x14ac:dyDescent="0.35">
      <c r="B100" s="104">
        <v>97</v>
      </c>
      <c r="C100" s="131"/>
      <c r="D100" s="131"/>
      <c r="E100" s="104"/>
      <c r="F100" s="131"/>
      <c r="G100" s="131"/>
      <c r="H100" s="131"/>
      <c r="I100" s="131"/>
      <c r="J100" s="131"/>
      <c r="K100" s="131"/>
      <c r="L100" s="131"/>
      <c r="M100" s="131"/>
      <c r="N100" s="131"/>
      <c r="O100" s="131"/>
      <c r="P100" s="131"/>
      <c r="Q100" s="131"/>
      <c r="R100" s="131"/>
    </row>
    <row r="101" spans="2:18" ht="19.5" x14ac:dyDescent="0.35">
      <c r="B101" s="104">
        <v>98</v>
      </c>
      <c r="C101" s="131"/>
      <c r="D101" s="131"/>
      <c r="E101" s="104"/>
      <c r="F101" s="131"/>
      <c r="G101" s="131"/>
      <c r="H101" s="131"/>
      <c r="I101" s="131"/>
      <c r="J101" s="131"/>
      <c r="K101" s="131"/>
      <c r="L101" s="131"/>
      <c r="M101" s="131"/>
      <c r="N101" s="131"/>
      <c r="O101" s="131"/>
      <c r="P101" s="131"/>
      <c r="Q101" s="131"/>
      <c r="R101" s="131"/>
    </row>
    <row r="102" spans="2:18" ht="19.5" x14ac:dyDescent="0.35">
      <c r="B102" s="104">
        <v>99</v>
      </c>
      <c r="C102" s="131"/>
      <c r="D102" s="131"/>
      <c r="E102" s="104"/>
      <c r="F102" s="131"/>
      <c r="G102" s="131"/>
      <c r="H102" s="131"/>
      <c r="I102" s="131"/>
      <c r="J102" s="131"/>
      <c r="K102" s="131"/>
      <c r="L102" s="131"/>
      <c r="M102" s="131"/>
      <c r="N102" s="131"/>
      <c r="O102" s="131"/>
      <c r="P102" s="131"/>
      <c r="Q102" s="131"/>
      <c r="R102" s="131"/>
    </row>
    <row r="103" spans="2:18" ht="19.5" x14ac:dyDescent="0.35">
      <c r="B103" s="104">
        <v>100</v>
      </c>
      <c r="C103" s="131"/>
      <c r="D103" s="131"/>
      <c r="E103" s="104"/>
      <c r="F103" s="131"/>
      <c r="G103" s="131"/>
      <c r="H103" s="131"/>
      <c r="I103" s="131"/>
      <c r="J103" s="131"/>
      <c r="K103" s="131"/>
      <c r="L103" s="131"/>
      <c r="M103" s="131"/>
      <c r="N103" s="131"/>
      <c r="O103" s="131"/>
      <c r="P103" s="131"/>
      <c r="Q103" s="131"/>
      <c r="R103" s="131"/>
    </row>
    <row r="104" spans="2:18" ht="19.5" x14ac:dyDescent="0.35">
      <c r="B104" s="104">
        <v>101</v>
      </c>
      <c r="C104" s="131"/>
      <c r="D104" s="131"/>
      <c r="E104" s="104"/>
      <c r="F104" s="131"/>
      <c r="G104" s="131"/>
      <c r="H104" s="131"/>
      <c r="I104" s="131"/>
      <c r="J104" s="131"/>
      <c r="K104" s="131"/>
      <c r="L104" s="131"/>
      <c r="M104" s="131"/>
      <c r="N104" s="131"/>
      <c r="O104" s="131"/>
      <c r="P104" s="131"/>
      <c r="Q104" s="131"/>
      <c r="R104" s="131"/>
    </row>
    <row r="105" spans="2:18" ht="19.5" x14ac:dyDescent="0.35">
      <c r="B105" s="104">
        <v>102</v>
      </c>
      <c r="C105" s="131"/>
      <c r="D105" s="131"/>
      <c r="E105" s="104"/>
      <c r="F105" s="131"/>
      <c r="G105" s="131"/>
      <c r="H105" s="131"/>
      <c r="I105" s="131"/>
      <c r="J105" s="131"/>
      <c r="K105" s="131"/>
      <c r="L105" s="131"/>
      <c r="M105" s="131"/>
      <c r="N105" s="131"/>
      <c r="O105" s="131"/>
      <c r="P105" s="131"/>
      <c r="Q105" s="131"/>
      <c r="R105" s="131"/>
    </row>
    <row r="106" spans="2:18" ht="19.5" x14ac:dyDescent="0.35">
      <c r="B106" s="104">
        <v>103</v>
      </c>
      <c r="C106" s="131"/>
      <c r="D106" s="131"/>
      <c r="E106" s="104"/>
      <c r="F106" s="131"/>
      <c r="G106" s="131"/>
      <c r="H106" s="131"/>
      <c r="I106" s="131"/>
      <c r="J106" s="131"/>
      <c r="K106" s="131"/>
      <c r="L106" s="131"/>
      <c r="M106" s="131"/>
      <c r="N106" s="131"/>
      <c r="O106" s="131"/>
      <c r="P106" s="131"/>
      <c r="Q106" s="131"/>
      <c r="R106" s="131"/>
    </row>
    <row r="107" spans="2:18" ht="19.5" x14ac:dyDescent="0.35">
      <c r="B107" s="104">
        <v>104</v>
      </c>
      <c r="C107" s="131"/>
      <c r="D107" s="131"/>
      <c r="E107" s="104"/>
      <c r="F107" s="131"/>
      <c r="G107" s="131"/>
      <c r="H107" s="131"/>
      <c r="I107" s="131"/>
      <c r="J107" s="131"/>
      <c r="K107" s="131"/>
      <c r="L107" s="131"/>
      <c r="M107" s="131"/>
      <c r="N107" s="131"/>
      <c r="O107" s="131"/>
      <c r="P107" s="131"/>
      <c r="Q107" s="131"/>
      <c r="R107" s="131"/>
    </row>
    <row r="108" spans="2:18" ht="19.5" x14ac:dyDescent="0.35">
      <c r="B108" s="104">
        <v>105</v>
      </c>
      <c r="C108" s="131"/>
      <c r="D108" s="131"/>
      <c r="E108" s="104"/>
      <c r="F108" s="131"/>
      <c r="G108" s="131"/>
      <c r="H108" s="131"/>
      <c r="I108" s="131"/>
      <c r="J108" s="131"/>
      <c r="K108" s="131"/>
      <c r="L108" s="131"/>
      <c r="M108" s="131"/>
      <c r="N108" s="131"/>
      <c r="O108" s="131"/>
      <c r="P108" s="131"/>
      <c r="Q108" s="131"/>
      <c r="R108" s="131"/>
    </row>
    <row r="109" spans="2:18" ht="19.5" x14ac:dyDescent="0.35">
      <c r="B109" s="104">
        <v>106</v>
      </c>
      <c r="C109" s="131"/>
      <c r="D109" s="131"/>
      <c r="E109" s="104"/>
      <c r="F109" s="131"/>
      <c r="G109" s="131"/>
      <c r="H109" s="131"/>
      <c r="I109" s="131"/>
      <c r="J109" s="131"/>
      <c r="K109" s="131"/>
      <c r="L109" s="131"/>
      <c r="M109" s="131"/>
      <c r="N109" s="131"/>
      <c r="O109" s="131"/>
      <c r="P109" s="131"/>
      <c r="Q109" s="131"/>
      <c r="R109" s="131"/>
    </row>
    <row r="110" spans="2:18" ht="19.5" x14ac:dyDescent="0.35">
      <c r="B110" s="104">
        <v>107</v>
      </c>
      <c r="C110" s="131"/>
      <c r="D110" s="131"/>
      <c r="E110" s="104"/>
      <c r="F110" s="131"/>
      <c r="G110" s="131"/>
      <c r="H110" s="131"/>
      <c r="I110" s="131"/>
      <c r="J110" s="131"/>
      <c r="K110" s="131"/>
      <c r="L110" s="131"/>
      <c r="M110" s="131"/>
      <c r="N110" s="131"/>
      <c r="O110" s="131"/>
      <c r="P110" s="131"/>
      <c r="Q110" s="131"/>
      <c r="R110" s="131"/>
    </row>
    <row r="111" spans="2:18" ht="19.5" x14ac:dyDescent="0.35">
      <c r="B111" s="104">
        <v>108</v>
      </c>
      <c r="C111" s="131"/>
      <c r="D111" s="131"/>
      <c r="E111" s="104"/>
      <c r="F111" s="131"/>
      <c r="G111" s="131"/>
      <c r="H111" s="131"/>
      <c r="I111" s="131"/>
      <c r="J111" s="131"/>
      <c r="K111" s="131"/>
      <c r="L111" s="131"/>
      <c r="M111" s="131"/>
      <c r="N111" s="131"/>
      <c r="O111" s="131"/>
      <c r="P111" s="131"/>
      <c r="Q111" s="131"/>
      <c r="R111" s="131"/>
    </row>
    <row r="112" spans="2:18" ht="19.5" x14ac:dyDescent="0.35">
      <c r="B112" s="104">
        <v>109</v>
      </c>
      <c r="C112" s="131"/>
      <c r="D112" s="131"/>
      <c r="E112" s="104"/>
      <c r="F112" s="131"/>
      <c r="G112" s="131"/>
      <c r="H112" s="131"/>
      <c r="I112" s="131"/>
      <c r="J112" s="131"/>
      <c r="K112" s="131"/>
      <c r="L112" s="131"/>
      <c r="M112" s="131"/>
      <c r="N112" s="131"/>
      <c r="O112" s="131"/>
      <c r="P112" s="131"/>
      <c r="Q112" s="131"/>
      <c r="R112" s="131"/>
    </row>
    <row r="113" spans="2:18" ht="19.5" x14ac:dyDescent="0.35">
      <c r="B113" s="104">
        <v>110</v>
      </c>
      <c r="C113" s="131"/>
      <c r="D113" s="131"/>
      <c r="E113" s="104"/>
      <c r="F113" s="131"/>
      <c r="G113" s="131"/>
      <c r="H113" s="131"/>
      <c r="I113" s="131"/>
      <c r="J113" s="131"/>
      <c r="K113" s="131"/>
      <c r="L113" s="131"/>
      <c r="M113" s="131"/>
      <c r="N113" s="131"/>
      <c r="O113" s="131"/>
      <c r="P113" s="131"/>
      <c r="Q113" s="131"/>
      <c r="R113" s="131"/>
    </row>
    <row r="114" spans="2:18" ht="19.5" x14ac:dyDescent="0.35">
      <c r="B114" s="104">
        <v>111</v>
      </c>
      <c r="C114" s="131"/>
      <c r="D114" s="131"/>
      <c r="E114" s="104"/>
      <c r="F114" s="131"/>
      <c r="G114" s="131"/>
      <c r="H114" s="131"/>
      <c r="I114" s="131"/>
      <c r="J114" s="131"/>
      <c r="K114" s="131"/>
      <c r="L114" s="131"/>
      <c r="M114" s="131"/>
      <c r="N114" s="131"/>
      <c r="O114" s="131"/>
      <c r="P114" s="131"/>
      <c r="Q114" s="131"/>
      <c r="R114" s="131"/>
    </row>
    <row r="115" spans="2:18" ht="19.5" x14ac:dyDescent="0.35">
      <c r="B115" s="104">
        <v>112</v>
      </c>
      <c r="C115" s="131"/>
      <c r="D115" s="131"/>
      <c r="E115" s="104"/>
      <c r="F115" s="131"/>
      <c r="G115" s="131"/>
      <c r="H115" s="131"/>
      <c r="I115" s="131"/>
      <c r="J115" s="131"/>
      <c r="K115" s="131"/>
      <c r="L115" s="131"/>
      <c r="M115" s="131"/>
      <c r="N115" s="131"/>
      <c r="O115" s="131"/>
      <c r="P115" s="131"/>
      <c r="Q115" s="131"/>
      <c r="R115" s="131"/>
    </row>
    <row r="116" spans="2:18" ht="19.5" x14ac:dyDescent="0.35">
      <c r="B116" s="104">
        <v>113</v>
      </c>
      <c r="C116" s="131"/>
      <c r="D116" s="131"/>
      <c r="E116" s="104"/>
      <c r="F116" s="131"/>
      <c r="G116" s="131"/>
      <c r="H116" s="131"/>
      <c r="I116" s="131"/>
      <c r="J116" s="131"/>
      <c r="K116" s="131"/>
      <c r="L116" s="131"/>
      <c r="M116" s="131"/>
      <c r="N116" s="131"/>
      <c r="O116" s="131"/>
      <c r="P116" s="131"/>
      <c r="Q116" s="131"/>
      <c r="R116" s="131"/>
    </row>
    <row r="117" spans="2:18" ht="19.5" x14ac:dyDescent="0.35">
      <c r="B117" s="104">
        <v>114</v>
      </c>
      <c r="C117" s="131"/>
      <c r="D117" s="131"/>
      <c r="E117" s="104"/>
      <c r="F117" s="131"/>
      <c r="G117" s="131"/>
      <c r="H117" s="131"/>
      <c r="I117" s="131"/>
      <c r="J117" s="131"/>
      <c r="K117" s="131"/>
      <c r="L117" s="131"/>
      <c r="M117" s="131"/>
      <c r="N117" s="131"/>
      <c r="O117" s="131"/>
      <c r="P117" s="131"/>
      <c r="Q117" s="131"/>
      <c r="R117" s="131"/>
    </row>
    <row r="118" spans="2:18" ht="19.5" x14ac:dyDescent="0.35">
      <c r="B118" s="104">
        <v>115</v>
      </c>
      <c r="C118" s="131"/>
      <c r="D118" s="131"/>
      <c r="E118" s="104"/>
      <c r="F118" s="131"/>
      <c r="G118" s="131"/>
      <c r="H118" s="131"/>
      <c r="I118" s="131"/>
      <c r="J118" s="131"/>
      <c r="K118" s="131"/>
      <c r="L118" s="131"/>
      <c r="M118" s="131"/>
      <c r="N118" s="131"/>
      <c r="O118" s="131"/>
      <c r="P118" s="131"/>
      <c r="Q118" s="131"/>
      <c r="R118" s="131"/>
    </row>
    <row r="119" spans="2:18" ht="19.5" x14ac:dyDescent="0.35">
      <c r="B119" s="104">
        <v>116</v>
      </c>
      <c r="C119" s="131"/>
      <c r="D119" s="131"/>
      <c r="E119" s="104"/>
      <c r="F119" s="131"/>
      <c r="G119" s="131"/>
      <c r="H119" s="131"/>
      <c r="I119" s="131"/>
      <c r="J119" s="131"/>
      <c r="K119" s="131"/>
      <c r="L119" s="131"/>
      <c r="M119" s="131"/>
      <c r="N119" s="131"/>
      <c r="O119" s="131"/>
      <c r="P119" s="131"/>
      <c r="Q119" s="131"/>
      <c r="R119" s="131"/>
    </row>
    <row r="120" spans="2:18" ht="19.5" x14ac:dyDescent="0.35">
      <c r="B120" s="104">
        <v>117</v>
      </c>
      <c r="C120" s="131"/>
      <c r="D120" s="131"/>
      <c r="E120" s="104"/>
      <c r="F120" s="131"/>
      <c r="G120" s="131"/>
      <c r="H120" s="131"/>
      <c r="I120" s="131"/>
      <c r="J120" s="131"/>
      <c r="K120" s="131"/>
      <c r="L120" s="131"/>
      <c r="M120" s="131"/>
      <c r="N120" s="131"/>
      <c r="O120" s="131"/>
      <c r="P120" s="131"/>
      <c r="Q120" s="131"/>
      <c r="R120" s="131"/>
    </row>
    <row r="121" spans="2:18" ht="19.5" x14ac:dyDescent="0.35">
      <c r="B121" s="104">
        <v>118</v>
      </c>
      <c r="C121" s="131"/>
      <c r="D121" s="131"/>
      <c r="E121" s="104"/>
      <c r="F121" s="131"/>
      <c r="G121" s="131"/>
      <c r="H121" s="131"/>
      <c r="I121" s="131"/>
      <c r="J121" s="131"/>
      <c r="K121" s="131"/>
      <c r="L121" s="131"/>
      <c r="M121" s="131"/>
      <c r="N121" s="131"/>
      <c r="O121" s="131"/>
      <c r="P121" s="131"/>
      <c r="Q121" s="131"/>
      <c r="R121" s="131"/>
    </row>
    <row r="122" spans="2:18" ht="19.5" x14ac:dyDescent="0.35">
      <c r="B122" s="104">
        <v>119</v>
      </c>
      <c r="C122" s="131"/>
      <c r="D122" s="131"/>
      <c r="E122" s="104"/>
      <c r="F122" s="131"/>
      <c r="G122" s="131"/>
      <c r="H122" s="131"/>
      <c r="I122" s="131"/>
      <c r="J122" s="131"/>
      <c r="K122" s="131"/>
      <c r="L122" s="131"/>
      <c r="M122" s="131"/>
      <c r="N122" s="131"/>
      <c r="O122" s="131"/>
      <c r="P122" s="131"/>
      <c r="Q122" s="131"/>
      <c r="R122" s="131"/>
    </row>
    <row r="123" spans="2:18" ht="19.5" x14ac:dyDescent="0.35">
      <c r="B123" s="104">
        <v>120</v>
      </c>
      <c r="C123" s="131"/>
      <c r="D123" s="131"/>
      <c r="E123" s="104"/>
      <c r="F123" s="131"/>
      <c r="G123" s="131"/>
      <c r="H123" s="131"/>
      <c r="I123" s="131"/>
      <c r="J123" s="131"/>
      <c r="K123" s="131"/>
      <c r="L123" s="131"/>
      <c r="M123" s="131"/>
      <c r="N123" s="131"/>
      <c r="O123" s="131"/>
      <c r="P123" s="131"/>
      <c r="Q123" s="131"/>
      <c r="R123" s="131"/>
    </row>
    <row r="124" spans="2:18" ht="19.5" x14ac:dyDescent="0.35">
      <c r="B124" s="104">
        <v>121</v>
      </c>
      <c r="C124" s="131"/>
      <c r="D124" s="131"/>
      <c r="E124" s="104"/>
      <c r="F124" s="131"/>
      <c r="G124" s="131"/>
      <c r="H124" s="131"/>
      <c r="I124" s="131"/>
      <c r="J124" s="131"/>
      <c r="K124" s="131"/>
      <c r="L124" s="131"/>
      <c r="M124" s="131"/>
      <c r="N124" s="131"/>
      <c r="O124" s="131"/>
      <c r="P124" s="131"/>
      <c r="Q124" s="131"/>
      <c r="R124" s="131"/>
    </row>
    <row r="125" spans="2:18" ht="19.5" x14ac:dyDescent="0.35">
      <c r="B125" s="104">
        <v>122</v>
      </c>
      <c r="C125" s="131"/>
      <c r="D125" s="131"/>
      <c r="E125" s="104"/>
      <c r="F125" s="131"/>
      <c r="G125" s="131"/>
      <c r="H125" s="131"/>
      <c r="I125" s="131"/>
      <c r="J125" s="131"/>
      <c r="K125" s="131"/>
      <c r="L125" s="131"/>
      <c r="M125" s="131"/>
      <c r="N125" s="131"/>
      <c r="O125" s="131"/>
      <c r="P125" s="131"/>
      <c r="Q125" s="131"/>
      <c r="R125" s="131"/>
    </row>
    <row r="126" spans="2:18" ht="19.5" x14ac:dyDescent="0.35">
      <c r="B126" s="104">
        <v>123</v>
      </c>
      <c r="C126" s="131"/>
      <c r="D126" s="131"/>
      <c r="E126" s="104"/>
      <c r="F126" s="131"/>
      <c r="G126" s="131"/>
      <c r="H126" s="131"/>
      <c r="I126" s="131"/>
      <c r="J126" s="131"/>
      <c r="K126" s="131"/>
      <c r="L126" s="131"/>
      <c r="M126" s="131"/>
      <c r="N126" s="131"/>
      <c r="O126" s="131"/>
      <c r="P126" s="131"/>
      <c r="Q126" s="131"/>
      <c r="R126" s="131"/>
    </row>
    <row r="127" spans="2:18" ht="19.5" x14ac:dyDescent="0.35">
      <c r="B127" s="104">
        <v>124</v>
      </c>
      <c r="C127" s="131"/>
      <c r="D127" s="131"/>
      <c r="E127" s="104"/>
      <c r="F127" s="131"/>
      <c r="G127" s="131"/>
      <c r="H127" s="131"/>
      <c r="I127" s="131"/>
      <c r="J127" s="131"/>
      <c r="K127" s="131"/>
      <c r="L127" s="131"/>
      <c r="M127" s="131"/>
      <c r="N127" s="131"/>
      <c r="O127" s="131"/>
      <c r="P127" s="131"/>
      <c r="Q127" s="131"/>
      <c r="R127" s="131"/>
    </row>
    <row r="128" spans="2:18" ht="19.5" x14ac:dyDescent="0.35">
      <c r="B128" s="104">
        <v>125</v>
      </c>
      <c r="C128" s="131"/>
      <c r="D128" s="131"/>
      <c r="E128" s="104"/>
      <c r="F128" s="131"/>
      <c r="G128" s="131"/>
      <c r="H128" s="131"/>
      <c r="I128" s="131"/>
      <c r="J128" s="131"/>
      <c r="K128" s="131"/>
      <c r="L128" s="131"/>
      <c r="M128" s="131"/>
      <c r="N128" s="131"/>
      <c r="O128" s="131"/>
      <c r="P128" s="131"/>
      <c r="Q128" s="131"/>
      <c r="R128" s="131"/>
    </row>
    <row r="129" spans="2:18" ht="19.5" x14ac:dyDescent="0.35">
      <c r="B129" s="104">
        <v>126</v>
      </c>
      <c r="C129" s="131"/>
      <c r="D129" s="131"/>
      <c r="E129" s="104"/>
      <c r="F129" s="131"/>
      <c r="G129" s="131"/>
      <c r="H129" s="131"/>
      <c r="I129" s="131"/>
      <c r="J129" s="131"/>
      <c r="K129" s="131"/>
      <c r="L129" s="131"/>
      <c r="M129" s="131"/>
      <c r="N129" s="131"/>
      <c r="O129" s="131"/>
      <c r="P129" s="131"/>
      <c r="Q129" s="131"/>
      <c r="R129" s="131"/>
    </row>
    <row r="130" spans="2:18" ht="19.5" x14ac:dyDescent="0.35">
      <c r="B130" s="104">
        <v>127</v>
      </c>
      <c r="C130" s="131"/>
      <c r="D130" s="131"/>
      <c r="E130" s="104"/>
      <c r="F130" s="131"/>
      <c r="G130" s="131"/>
      <c r="H130" s="131"/>
      <c r="I130" s="131"/>
      <c r="J130" s="131"/>
      <c r="K130" s="131"/>
      <c r="L130" s="131"/>
      <c r="M130" s="131"/>
      <c r="N130" s="131"/>
      <c r="O130" s="131"/>
      <c r="P130" s="131"/>
      <c r="Q130" s="131"/>
      <c r="R130" s="131"/>
    </row>
    <row r="131" spans="2:18" ht="19.5" x14ac:dyDescent="0.35">
      <c r="B131" s="104">
        <v>128</v>
      </c>
      <c r="C131" s="131"/>
      <c r="D131" s="131"/>
      <c r="E131" s="104"/>
      <c r="F131" s="131"/>
      <c r="G131" s="131"/>
      <c r="H131" s="131"/>
      <c r="I131" s="131"/>
      <c r="J131" s="131"/>
      <c r="K131" s="131"/>
      <c r="L131" s="131"/>
      <c r="M131" s="131"/>
      <c r="N131" s="131"/>
      <c r="O131" s="131"/>
      <c r="P131" s="131"/>
      <c r="Q131" s="131"/>
      <c r="R131" s="131"/>
    </row>
    <row r="132" spans="2:18" ht="19.5" x14ac:dyDescent="0.35">
      <c r="B132" s="104">
        <v>129</v>
      </c>
      <c r="C132" s="131"/>
      <c r="D132" s="131"/>
      <c r="E132" s="104"/>
      <c r="F132" s="131"/>
      <c r="G132" s="131"/>
      <c r="H132" s="131"/>
      <c r="I132" s="131"/>
      <c r="J132" s="131"/>
      <c r="K132" s="131"/>
      <c r="L132" s="131"/>
      <c r="M132" s="131"/>
      <c r="N132" s="131"/>
      <c r="O132" s="131"/>
      <c r="P132" s="131"/>
      <c r="Q132" s="131"/>
      <c r="R132" s="131"/>
    </row>
    <row r="133" spans="2:18" ht="19.5" x14ac:dyDescent="0.35">
      <c r="B133" s="104">
        <v>130</v>
      </c>
      <c r="C133" s="131"/>
      <c r="D133" s="131"/>
      <c r="E133" s="104"/>
      <c r="F133" s="131"/>
      <c r="G133" s="131"/>
      <c r="H133" s="131"/>
      <c r="I133" s="131"/>
      <c r="J133" s="131"/>
      <c r="K133" s="131"/>
      <c r="L133" s="131"/>
      <c r="M133" s="131"/>
      <c r="N133" s="131"/>
      <c r="O133" s="131"/>
      <c r="P133" s="131"/>
      <c r="Q133" s="131"/>
      <c r="R133" s="131"/>
    </row>
    <row r="134" spans="2:18" ht="19.5" x14ac:dyDescent="0.35">
      <c r="B134" s="104">
        <v>131</v>
      </c>
      <c r="C134" s="131"/>
      <c r="D134" s="131"/>
      <c r="E134" s="104"/>
      <c r="F134" s="131"/>
      <c r="G134" s="131"/>
      <c r="H134" s="131"/>
      <c r="I134" s="131"/>
      <c r="J134" s="131"/>
      <c r="K134" s="131"/>
      <c r="L134" s="131"/>
      <c r="M134" s="131"/>
      <c r="N134" s="131"/>
      <c r="O134" s="131"/>
      <c r="P134" s="131"/>
      <c r="Q134" s="131"/>
      <c r="R134" s="131"/>
    </row>
    <row r="135" spans="2:18" ht="19.5" x14ac:dyDescent="0.35">
      <c r="B135" s="104">
        <v>132</v>
      </c>
      <c r="C135" s="131"/>
      <c r="D135" s="131"/>
      <c r="E135" s="104"/>
      <c r="F135" s="131"/>
      <c r="G135" s="131"/>
      <c r="H135" s="131"/>
      <c r="I135" s="131"/>
      <c r="J135" s="131"/>
      <c r="K135" s="131"/>
      <c r="L135" s="131"/>
      <c r="M135" s="131"/>
      <c r="N135" s="131"/>
      <c r="O135" s="131"/>
      <c r="P135" s="131"/>
      <c r="Q135" s="131"/>
      <c r="R135" s="131"/>
    </row>
    <row r="136" spans="2:18" ht="19.5" x14ac:dyDescent="0.35">
      <c r="B136" s="104">
        <v>133</v>
      </c>
      <c r="C136" s="131"/>
      <c r="D136" s="131"/>
      <c r="E136" s="104"/>
      <c r="F136" s="131"/>
      <c r="G136" s="131"/>
      <c r="H136" s="131"/>
      <c r="I136" s="131"/>
      <c r="J136" s="131"/>
      <c r="K136" s="131"/>
      <c r="L136" s="131"/>
      <c r="M136" s="131"/>
      <c r="N136" s="131"/>
      <c r="O136" s="131"/>
      <c r="P136" s="131"/>
      <c r="Q136" s="131"/>
      <c r="R136" s="131"/>
    </row>
    <row r="137" spans="2:18" ht="19.5" x14ac:dyDescent="0.35">
      <c r="B137" s="104">
        <v>134</v>
      </c>
      <c r="C137" s="131"/>
      <c r="D137" s="131"/>
      <c r="E137" s="104"/>
      <c r="F137" s="131"/>
      <c r="G137" s="131"/>
      <c r="H137" s="131"/>
      <c r="I137" s="131"/>
      <c r="J137" s="131"/>
      <c r="K137" s="131"/>
      <c r="L137" s="131"/>
      <c r="M137" s="131"/>
      <c r="N137" s="131"/>
      <c r="O137" s="131"/>
      <c r="P137" s="131"/>
      <c r="Q137" s="131"/>
      <c r="R137" s="131"/>
    </row>
    <row r="138" spans="2:18" ht="19.5" x14ac:dyDescent="0.35">
      <c r="B138" s="104">
        <v>135</v>
      </c>
      <c r="C138" s="131"/>
      <c r="D138" s="131"/>
      <c r="E138" s="104"/>
      <c r="F138" s="131"/>
      <c r="G138" s="131"/>
      <c r="H138" s="131"/>
      <c r="I138" s="131"/>
      <c r="J138" s="131"/>
      <c r="K138" s="131"/>
      <c r="L138" s="131"/>
      <c r="M138" s="131"/>
      <c r="N138" s="131"/>
      <c r="O138" s="131"/>
      <c r="P138" s="131"/>
      <c r="Q138" s="131"/>
      <c r="R138" s="131"/>
    </row>
    <row r="139" spans="2:18" ht="19.5" x14ac:dyDescent="0.35">
      <c r="B139" s="104">
        <v>136</v>
      </c>
      <c r="C139" s="131"/>
      <c r="D139" s="131"/>
      <c r="E139" s="104"/>
      <c r="F139" s="131"/>
      <c r="G139" s="131"/>
      <c r="H139" s="131"/>
      <c r="I139" s="131"/>
      <c r="J139" s="131"/>
      <c r="K139" s="131"/>
      <c r="L139" s="131"/>
      <c r="M139" s="131"/>
      <c r="N139" s="131"/>
      <c r="O139" s="131"/>
      <c r="P139" s="131"/>
      <c r="Q139" s="131"/>
      <c r="R139" s="131"/>
    </row>
    <row r="140" spans="2:18" ht="19.5" x14ac:dyDescent="0.35">
      <c r="B140" s="104">
        <v>137</v>
      </c>
      <c r="C140" s="131"/>
      <c r="D140" s="131"/>
      <c r="E140" s="104"/>
      <c r="F140" s="131"/>
      <c r="G140" s="131"/>
      <c r="H140" s="131"/>
      <c r="I140" s="131"/>
      <c r="J140" s="131"/>
      <c r="K140" s="131"/>
      <c r="L140" s="131"/>
      <c r="M140" s="131"/>
      <c r="N140" s="131"/>
      <c r="O140" s="131"/>
      <c r="P140" s="131"/>
      <c r="Q140" s="131"/>
      <c r="R140" s="131"/>
    </row>
    <row r="141" spans="2:18" ht="19.5" x14ac:dyDescent="0.35">
      <c r="B141" s="104">
        <v>138</v>
      </c>
      <c r="C141" s="131"/>
      <c r="D141" s="131"/>
      <c r="E141" s="104"/>
      <c r="F141" s="131"/>
      <c r="G141" s="131"/>
      <c r="H141" s="131"/>
      <c r="I141" s="131"/>
      <c r="J141" s="131"/>
      <c r="K141" s="131"/>
      <c r="L141" s="131"/>
      <c r="M141" s="131"/>
      <c r="N141" s="131"/>
      <c r="O141" s="131"/>
      <c r="P141" s="131"/>
      <c r="Q141" s="131"/>
      <c r="R141" s="131"/>
    </row>
    <row r="142" spans="2:18" ht="19.5" x14ac:dyDescent="0.35">
      <c r="B142" s="104">
        <v>139</v>
      </c>
      <c r="C142" s="131"/>
      <c r="D142" s="131"/>
      <c r="E142" s="104"/>
      <c r="F142" s="131"/>
      <c r="G142" s="131"/>
      <c r="H142" s="131"/>
      <c r="I142" s="131"/>
      <c r="J142" s="131"/>
      <c r="K142" s="131"/>
      <c r="L142" s="131"/>
      <c r="M142" s="131"/>
      <c r="N142" s="131"/>
      <c r="O142" s="131"/>
      <c r="P142" s="131"/>
      <c r="Q142" s="131"/>
      <c r="R142" s="131"/>
    </row>
    <row r="143" spans="2:18" ht="19.5" x14ac:dyDescent="0.35">
      <c r="B143" s="104">
        <v>140</v>
      </c>
      <c r="C143" s="131"/>
      <c r="D143" s="131"/>
      <c r="E143" s="104"/>
      <c r="F143" s="131"/>
      <c r="G143" s="131"/>
      <c r="H143" s="131"/>
      <c r="I143" s="131"/>
      <c r="J143" s="131"/>
      <c r="K143" s="131"/>
      <c r="L143" s="131"/>
      <c r="M143" s="131"/>
      <c r="N143" s="131"/>
      <c r="O143" s="131"/>
      <c r="P143" s="131"/>
      <c r="Q143" s="131"/>
      <c r="R143" s="131"/>
    </row>
    <row r="144" spans="2:18" ht="19.5" x14ac:dyDescent="0.35">
      <c r="B144" s="104">
        <v>141</v>
      </c>
      <c r="C144" s="131"/>
      <c r="D144" s="131"/>
      <c r="E144" s="104"/>
      <c r="F144" s="131"/>
      <c r="G144" s="131"/>
      <c r="H144" s="131"/>
      <c r="I144" s="131"/>
      <c r="J144" s="131"/>
      <c r="K144" s="131"/>
      <c r="L144" s="131"/>
      <c r="M144" s="131"/>
      <c r="N144" s="131"/>
      <c r="O144" s="131"/>
      <c r="P144" s="131"/>
      <c r="Q144" s="131"/>
      <c r="R144" s="131"/>
    </row>
    <row r="145" spans="2:18" ht="19.5" x14ac:dyDescent="0.35">
      <c r="B145" s="104">
        <v>142</v>
      </c>
      <c r="C145" s="131"/>
      <c r="D145" s="131"/>
      <c r="E145" s="104"/>
      <c r="F145" s="131"/>
      <c r="G145" s="131"/>
      <c r="H145" s="131"/>
      <c r="I145" s="131"/>
      <c r="J145" s="131"/>
      <c r="K145" s="131"/>
      <c r="L145" s="131"/>
      <c r="M145" s="131"/>
      <c r="N145" s="131"/>
      <c r="O145" s="131"/>
      <c r="P145" s="131"/>
      <c r="Q145" s="131"/>
      <c r="R145" s="131"/>
    </row>
    <row r="146" spans="2:18" ht="19.5" x14ac:dyDescent="0.35">
      <c r="B146" s="104">
        <v>143</v>
      </c>
      <c r="C146" s="131"/>
      <c r="D146" s="131"/>
      <c r="E146" s="104"/>
      <c r="F146" s="131"/>
      <c r="G146" s="131"/>
      <c r="H146" s="131"/>
      <c r="I146" s="131"/>
      <c r="J146" s="131"/>
      <c r="K146" s="131"/>
      <c r="L146" s="131"/>
      <c r="M146" s="131"/>
      <c r="N146" s="131"/>
      <c r="O146" s="131"/>
      <c r="P146" s="131"/>
      <c r="Q146" s="131"/>
      <c r="R146" s="131"/>
    </row>
    <row r="147" spans="2:18" ht="19.5" x14ac:dyDescent="0.35">
      <c r="B147" s="104">
        <v>144</v>
      </c>
      <c r="C147" s="131"/>
      <c r="D147" s="131"/>
      <c r="E147" s="104"/>
      <c r="F147" s="131"/>
      <c r="G147" s="131"/>
      <c r="H147" s="131"/>
      <c r="I147" s="131"/>
      <c r="J147" s="131"/>
      <c r="K147" s="131"/>
      <c r="L147" s="131"/>
      <c r="M147" s="131"/>
      <c r="N147" s="131"/>
      <c r="O147" s="131"/>
      <c r="P147" s="131"/>
      <c r="Q147" s="131"/>
      <c r="R147" s="131"/>
    </row>
    <row r="148" spans="2:18" ht="19.5" x14ac:dyDescent="0.35">
      <c r="B148" s="104">
        <v>145</v>
      </c>
      <c r="C148" s="131"/>
      <c r="D148" s="131"/>
      <c r="E148" s="104"/>
      <c r="F148" s="131"/>
      <c r="G148" s="131"/>
      <c r="H148" s="131"/>
      <c r="I148" s="131"/>
      <c r="J148" s="131"/>
      <c r="K148" s="131"/>
      <c r="L148" s="131"/>
      <c r="M148" s="131"/>
      <c r="N148" s="131"/>
      <c r="O148" s="131"/>
      <c r="P148" s="131"/>
      <c r="Q148" s="131"/>
      <c r="R148" s="131"/>
    </row>
    <row r="149" spans="2:18" ht="19.5" x14ac:dyDescent="0.35">
      <c r="B149" s="104">
        <v>146</v>
      </c>
      <c r="C149" s="131"/>
      <c r="D149" s="131"/>
      <c r="E149" s="104"/>
      <c r="F149" s="131"/>
      <c r="G149" s="131"/>
      <c r="H149" s="131"/>
      <c r="I149" s="131"/>
      <c r="J149" s="131"/>
      <c r="K149" s="131"/>
      <c r="L149" s="131"/>
      <c r="M149" s="131"/>
      <c r="N149" s="131"/>
      <c r="O149" s="131"/>
      <c r="P149" s="131"/>
      <c r="Q149" s="131"/>
      <c r="R149" s="131"/>
    </row>
    <row r="150" spans="2:18" ht="19.5" x14ac:dyDescent="0.35">
      <c r="B150" s="104">
        <v>147</v>
      </c>
      <c r="C150" s="131"/>
      <c r="D150" s="131"/>
      <c r="E150" s="104"/>
      <c r="F150" s="131"/>
      <c r="G150" s="131"/>
      <c r="H150" s="131"/>
      <c r="I150" s="131"/>
      <c r="J150" s="131"/>
      <c r="K150" s="131"/>
      <c r="L150" s="131"/>
      <c r="M150" s="131"/>
      <c r="N150" s="131"/>
      <c r="O150" s="131"/>
      <c r="P150" s="131"/>
      <c r="Q150" s="131"/>
      <c r="R150" s="131"/>
    </row>
    <row r="151" spans="2:18" ht="19.5" x14ac:dyDescent="0.35">
      <c r="B151" s="104">
        <v>148</v>
      </c>
      <c r="C151" s="131"/>
      <c r="D151" s="131"/>
      <c r="E151" s="104"/>
      <c r="F151" s="131"/>
      <c r="G151" s="131"/>
      <c r="H151" s="131"/>
      <c r="I151" s="131"/>
      <c r="J151" s="131"/>
      <c r="K151" s="131"/>
      <c r="L151" s="131"/>
      <c r="M151" s="131"/>
      <c r="N151" s="131"/>
      <c r="O151" s="131"/>
      <c r="P151" s="131"/>
      <c r="Q151" s="131"/>
      <c r="R151" s="131"/>
    </row>
    <row r="152" spans="2:18" ht="19.5" x14ac:dyDescent="0.35">
      <c r="B152" s="104">
        <v>149</v>
      </c>
      <c r="C152" s="131"/>
      <c r="D152" s="131"/>
      <c r="E152" s="104"/>
      <c r="F152" s="131"/>
      <c r="G152" s="131"/>
      <c r="H152" s="131"/>
      <c r="I152" s="131"/>
      <c r="J152" s="131"/>
      <c r="K152" s="131"/>
      <c r="L152" s="131"/>
      <c r="M152" s="131"/>
      <c r="N152" s="131"/>
      <c r="O152" s="131"/>
      <c r="P152" s="131"/>
      <c r="Q152" s="131"/>
      <c r="R152" s="131"/>
    </row>
    <row r="153" spans="2:18" ht="19.5" x14ac:dyDescent="0.35">
      <c r="B153" s="104">
        <v>150</v>
      </c>
      <c r="C153" s="131"/>
      <c r="D153" s="131"/>
      <c r="E153" s="104"/>
      <c r="F153" s="131"/>
      <c r="G153" s="131"/>
      <c r="H153" s="131"/>
      <c r="I153" s="131"/>
      <c r="J153" s="131"/>
      <c r="K153" s="131"/>
      <c r="L153" s="131"/>
      <c r="M153" s="131"/>
      <c r="N153" s="131"/>
      <c r="O153" s="131"/>
      <c r="P153" s="131"/>
      <c r="Q153" s="131"/>
      <c r="R153" s="131"/>
    </row>
    <row r="154" spans="2:18" ht="19.5" x14ac:dyDescent="0.35">
      <c r="B154" s="104">
        <v>151</v>
      </c>
      <c r="C154" s="131"/>
      <c r="D154" s="131"/>
      <c r="E154" s="104"/>
      <c r="F154" s="131"/>
      <c r="G154" s="131"/>
      <c r="H154" s="131"/>
      <c r="I154" s="131"/>
      <c r="J154" s="131"/>
      <c r="K154" s="131"/>
      <c r="L154" s="131"/>
      <c r="M154" s="131"/>
      <c r="N154" s="131"/>
      <c r="O154" s="131"/>
      <c r="P154" s="131"/>
      <c r="Q154" s="131"/>
      <c r="R154" s="131"/>
    </row>
    <row r="155" spans="2:18" ht="19.5" x14ac:dyDescent="0.35">
      <c r="B155" s="104">
        <v>152</v>
      </c>
      <c r="C155" s="131"/>
      <c r="D155" s="131"/>
      <c r="E155" s="104"/>
      <c r="F155" s="131"/>
      <c r="G155" s="131"/>
      <c r="H155" s="131"/>
      <c r="I155" s="131"/>
      <c r="J155" s="131"/>
      <c r="K155" s="131"/>
      <c r="L155" s="131"/>
      <c r="M155" s="131"/>
      <c r="N155" s="131"/>
      <c r="O155" s="131"/>
      <c r="P155" s="131"/>
      <c r="Q155" s="131"/>
      <c r="R155" s="131"/>
    </row>
    <row r="156" spans="2:18" ht="19.5" x14ac:dyDescent="0.35">
      <c r="B156" s="104">
        <v>153</v>
      </c>
      <c r="C156" s="131"/>
      <c r="D156" s="131"/>
      <c r="E156" s="104"/>
      <c r="F156" s="131"/>
      <c r="G156" s="131"/>
      <c r="H156" s="131"/>
      <c r="I156" s="131"/>
      <c r="J156" s="131"/>
      <c r="K156" s="131"/>
      <c r="L156" s="131"/>
      <c r="M156" s="131"/>
      <c r="N156" s="131"/>
      <c r="O156" s="131"/>
      <c r="P156" s="131"/>
      <c r="Q156" s="131"/>
      <c r="R156" s="131"/>
    </row>
    <row r="157" spans="2:18" ht="19.5" x14ac:dyDescent="0.35">
      <c r="B157" s="104">
        <v>154</v>
      </c>
      <c r="C157" s="131"/>
      <c r="D157" s="131"/>
      <c r="E157" s="104"/>
      <c r="F157" s="131"/>
      <c r="G157" s="131"/>
      <c r="H157" s="131"/>
      <c r="I157" s="131"/>
      <c r="J157" s="131"/>
      <c r="K157" s="131"/>
      <c r="L157" s="131"/>
      <c r="M157" s="131"/>
      <c r="N157" s="131"/>
      <c r="O157" s="131"/>
      <c r="P157" s="131"/>
      <c r="Q157" s="131"/>
      <c r="R157" s="131"/>
    </row>
    <row r="158" spans="2:18" ht="19.5" x14ac:dyDescent="0.35">
      <c r="B158" s="104">
        <v>155</v>
      </c>
      <c r="C158" s="131"/>
      <c r="D158" s="131"/>
      <c r="E158" s="104"/>
      <c r="F158" s="131"/>
      <c r="G158" s="131"/>
      <c r="H158" s="131"/>
      <c r="I158" s="131"/>
      <c r="J158" s="131"/>
      <c r="K158" s="131"/>
      <c r="L158" s="131"/>
      <c r="M158" s="131"/>
      <c r="N158" s="131"/>
      <c r="O158" s="131"/>
      <c r="P158" s="131"/>
      <c r="Q158" s="131"/>
      <c r="R158" s="131"/>
    </row>
    <row r="159" spans="2:18" ht="19.5" x14ac:dyDescent="0.35">
      <c r="B159" s="104">
        <v>156</v>
      </c>
      <c r="C159" s="131"/>
      <c r="D159" s="131"/>
      <c r="E159" s="104"/>
      <c r="F159" s="131"/>
      <c r="G159" s="131"/>
      <c r="H159" s="131"/>
      <c r="I159" s="131"/>
      <c r="J159" s="131"/>
      <c r="K159" s="131"/>
      <c r="L159" s="131"/>
      <c r="M159" s="131"/>
      <c r="N159" s="131"/>
      <c r="O159" s="131"/>
      <c r="P159" s="131"/>
      <c r="Q159" s="131"/>
      <c r="R159" s="131"/>
    </row>
    <row r="160" spans="2:18" ht="19.5" x14ac:dyDescent="0.35">
      <c r="B160" s="104">
        <v>157</v>
      </c>
      <c r="C160" s="131"/>
      <c r="D160" s="131"/>
      <c r="E160" s="104"/>
      <c r="F160" s="131"/>
      <c r="G160" s="131"/>
      <c r="H160" s="131"/>
      <c r="I160" s="131"/>
      <c r="J160" s="131"/>
      <c r="K160" s="131"/>
      <c r="L160" s="131"/>
      <c r="M160" s="131"/>
      <c r="N160" s="131"/>
      <c r="O160" s="131"/>
      <c r="P160" s="131"/>
      <c r="Q160" s="131"/>
      <c r="R160" s="131"/>
    </row>
    <row r="161" spans="2:18" ht="19.5" x14ac:dyDescent="0.35">
      <c r="B161" s="104">
        <v>158</v>
      </c>
      <c r="C161" s="131"/>
      <c r="D161" s="131"/>
      <c r="E161" s="104"/>
      <c r="F161" s="131"/>
      <c r="G161" s="131"/>
      <c r="H161" s="131"/>
      <c r="I161" s="131"/>
      <c r="J161" s="131"/>
      <c r="K161" s="131"/>
      <c r="L161" s="131"/>
      <c r="M161" s="131"/>
      <c r="N161" s="131"/>
      <c r="O161" s="131"/>
      <c r="P161" s="131"/>
      <c r="Q161" s="131"/>
      <c r="R161" s="131"/>
    </row>
    <row r="162" spans="2:18" ht="19.5" x14ac:dyDescent="0.35">
      <c r="B162" s="104">
        <v>159</v>
      </c>
      <c r="C162" s="131"/>
      <c r="D162" s="131"/>
      <c r="E162" s="104"/>
      <c r="F162" s="131"/>
      <c r="G162" s="131"/>
      <c r="H162" s="131"/>
      <c r="I162" s="131"/>
      <c r="J162" s="131"/>
      <c r="K162" s="131"/>
      <c r="L162" s="131"/>
      <c r="M162" s="131"/>
      <c r="N162" s="131"/>
      <c r="O162" s="131"/>
      <c r="P162" s="131"/>
      <c r="Q162" s="131"/>
      <c r="R162" s="131"/>
    </row>
    <row r="163" spans="2:18" ht="19.5" x14ac:dyDescent="0.35">
      <c r="B163" s="104">
        <v>160</v>
      </c>
      <c r="C163" s="131"/>
      <c r="D163" s="131"/>
      <c r="E163" s="104"/>
      <c r="F163" s="131"/>
      <c r="G163" s="131"/>
      <c r="H163" s="131"/>
      <c r="I163" s="131"/>
      <c r="J163" s="131"/>
      <c r="K163" s="131"/>
      <c r="L163" s="131"/>
      <c r="M163" s="131"/>
      <c r="N163" s="131"/>
      <c r="O163" s="131"/>
      <c r="P163" s="131"/>
      <c r="Q163" s="131"/>
      <c r="R163" s="131"/>
    </row>
    <row r="164" spans="2:18" ht="19.5" x14ac:dyDescent="0.35">
      <c r="B164" s="104">
        <v>161</v>
      </c>
      <c r="C164" s="131"/>
      <c r="D164" s="131"/>
      <c r="E164" s="104"/>
      <c r="F164" s="131"/>
      <c r="G164" s="131"/>
      <c r="H164" s="131"/>
      <c r="I164" s="131"/>
      <c r="J164" s="131"/>
      <c r="K164" s="131"/>
      <c r="L164" s="131"/>
      <c r="M164" s="131"/>
      <c r="N164" s="131"/>
      <c r="O164" s="131"/>
      <c r="P164" s="131"/>
      <c r="Q164" s="131"/>
      <c r="R164" s="131"/>
    </row>
    <row r="165" spans="2:18" ht="19.5" x14ac:dyDescent="0.35">
      <c r="B165" s="104">
        <v>162</v>
      </c>
      <c r="C165" s="131"/>
      <c r="D165" s="131"/>
      <c r="E165" s="104"/>
      <c r="F165" s="131"/>
      <c r="G165" s="131"/>
      <c r="H165" s="131"/>
      <c r="I165" s="131"/>
      <c r="J165" s="131"/>
      <c r="K165" s="131"/>
      <c r="L165" s="131"/>
      <c r="M165" s="131"/>
      <c r="N165" s="131"/>
      <c r="O165" s="131"/>
      <c r="P165" s="131"/>
      <c r="Q165" s="131"/>
      <c r="R165" s="131"/>
    </row>
    <row r="166" spans="2:18" ht="19.5" x14ac:dyDescent="0.35">
      <c r="B166" s="104">
        <v>163</v>
      </c>
      <c r="C166" s="131"/>
      <c r="D166" s="131"/>
      <c r="E166" s="104"/>
      <c r="F166" s="131"/>
      <c r="G166" s="131"/>
      <c r="H166" s="131"/>
      <c r="I166" s="131"/>
      <c r="J166" s="131"/>
      <c r="K166" s="131"/>
      <c r="L166" s="131"/>
      <c r="M166" s="131"/>
      <c r="N166" s="131"/>
      <c r="O166" s="131"/>
      <c r="P166" s="131"/>
      <c r="Q166" s="131"/>
      <c r="R166" s="131"/>
    </row>
    <row r="167" spans="2:18" ht="19.5" x14ac:dyDescent="0.35">
      <c r="B167" s="104">
        <v>164</v>
      </c>
      <c r="C167" s="131"/>
      <c r="D167" s="131"/>
      <c r="E167" s="104"/>
      <c r="F167" s="131"/>
      <c r="G167" s="131"/>
      <c r="H167" s="131"/>
      <c r="I167" s="131"/>
      <c r="J167" s="131"/>
      <c r="K167" s="131"/>
      <c r="L167" s="131"/>
      <c r="M167" s="131"/>
      <c r="N167" s="131"/>
      <c r="O167" s="131"/>
      <c r="P167" s="131"/>
      <c r="Q167" s="131"/>
      <c r="R167" s="131"/>
    </row>
    <row r="168" spans="2:18" ht="19.5" x14ac:dyDescent="0.35">
      <c r="B168" s="104">
        <v>165</v>
      </c>
      <c r="C168" s="131"/>
      <c r="D168" s="131"/>
      <c r="E168" s="104"/>
      <c r="F168" s="131"/>
      <c r="G168" s="131"/>
      <c r="H168" s="131"/>
      <c r="I168" s="131"/>
      <c r="J168" s="131"/>
      <c r="K168" s="131"/>
      <c r="L168" s="131"/>
      <c r="M168" s="131"/>
      <c r="N168" s="131"/>
      <c r="O168" s="131"/>
      <c r="P168" s="131"/>
      <c r="Q168" s="131"/>
      <c r="R168" s="131"/>
    </row>
    <row r="169" spans="2:18" ht="19.5" x14ac:dyDescent="0.35">
      <c r="B169" s="104">
        <v>166</v>
      </c>
      <c r="C169" s="131"/>
      <c r="D169" s="131"/>
      <c r="E169" s="104"/>
      <c r="F169" s="131"/>
      <c r="G169" s="131"/>
      <c r="H169" s="131"/>
      <c r="I169" s="131"/>
      <c r="J169" s="131"/>
      <c r="K169" s="131"/>
      <c r="L169" s="131"/>
      <c r="M169" s="131"/>
      <c r="N169" s="131"/>
      <c r="O169" s="131"/>
      <c r="P169" s="131"/>
      <c r="Q169" s="131"/>
      <c r="R169" s="131"/>
    </row>
    <row r="170" spans="2:18" ht="19.5" x14ac:dyDescent="0.35">
      <c r="B170" s="104">
        <v>167</v>
      </c>
      <c r="C170" s="131"/>
      <c r="D170" s="131"/>
      <c r="E170" s="104"/>
      <c r="F170" s="131"/>
      <c r="G170" s="131"/>
      <c r="H170" s="131"/>
      <c r="I170" s="131"/>
      <c r="J170" s="131"/>
      <c r="K170" s="131"/>
      <c r="L170" s="131"/>
      <c r="M170" s="131"/>
      <c r="N170" s="131"/>
      <c r="O170" s="131"/>
      <c r="P170" s="131"/>
      <c r="Q170" s="131"/>
      <c r="R170" s="131"/>
    </row>
    <row r="171" spans="2:18" ht="19.5" x14ac:dyDescent="0.35">
      <c r="B171" s="104">
        <v>168</v>
      </c>
      <c r="C171" s="131"/>
      <c r="D171" s="131"/>
      <c r="E171" s="104"/>
      <c r="F171" s="131"/>
      <c r="G171" s="131"/>
      <c r="H171" s="131"/>
      <c r="I171" s="131"/>
      <c r="J171" s="131"/>
      <c r="K171" s="131"/>
      <c r="L171" s="131"/>
      <c r="M171" s="131"/>
      <c r="N171" s="131"/>
      <c r="O171" s="131"/>
      <c r="P171" s="131"/>
      <c r="Q171" s="131"/>
      <c r="R171" s="131"/>
    </row>
    <row r="172" spans="2:18" ht="19.5" x14ac:dyDescent="0.35">
      <c r="B172" s="104">
        <v>169</v>
      </c>
      <c r="C172" s="131"/>
      <c r="D172" s="131"/>
      <c r="E172" s="104"/>
      <c r="F172" s="131"/>
      <c r="G172" s="131"/>
      <c r="H172" s="131"/>
      <c r="I172" s="131"/>
      <c r="J172" s="131"/>
      <c r="K172" s="131"/>
      <c r="L172" s="131"/>
      <c r="M172" s="131"/>
      <c r="N172" s="131"/>
      <c r="O172" s="131"/>
      <c r="P172" s="131"/>
      <c r="Q172" s="131"/>
      <c r="R172" s="131"/>
    </row>
    <row r="173" spans="2:18" ht="19.5" x14ac:dyDescent="0.35">
      <c r="B173" s="104">
        <v>170</v>
      </c>
      <c r="C173" s="131"/>
      <c r="D173" s="131"/>
      <c r="E173" s="104"/>
      <c r="F173" s="131"/>
      <c r="G173" s="131"/>
      <c r="H173" s="131"/>
      <c r="I173" s="131"/>
      <c r="J173" s="131"/>
      <c r="K173" s="131"/>
      <c r="L173" s="131"/>
      <c r="M173" s="131"/>
      <c r="N173" s="131"/>
      <c r="O173" s="131"/>
      <c r="P173" s="131"/>
      <c r="Q173" s="131"/>
      <c r="R173" s="131"/>
    </row>
    <row r="174" spans="2:18" ht="19.5" x14ac:dyDescent="0.35">
      <c r="B174" s="104">
        <v>171</v>
      </c>
      <c r="C174" s="131"/>
      <c r="D174" s="131"/>
      <c r="E174" s="104"/>
      <c r="F174" s="131"/>
      <c r="G174" s="131"/>
      <c r="H174" s="131"/>
      <c r="I174" s="131"/>
      <c r="J174" s="131"/>
      <c r="K174" s="131"/>
      <c r="L174" s="131"/>
      <c r="M174" s="131"/>
      <c r="N174" s="131"/>
      <c r="O174" s="131"/>
      <c r="P174" s="131"/>
      <c r="Q174" s="131"/>
      <c r="R174" s="131"/>
    </row>
    <row r="175" spans="2:18" ht="19.5" x14ac:dyDescent="0.35">
      <c r="B175" s="104">
        <v>172</v>
      </c>
      <c r="C175" s="131"/>
      <c r="D175" s="131"/>
      <c r="E175" s="104"/>
      <c r="F175" s="131"/>
      <c r="G175" s="131"/>
      <c r="H175" s="131"/>
      <c r="I175" s="131"/>
      <c r="J175" s="131"/>
      <c r="K175" s="131"/>
      <c r="L175" s="131"/>
      <c r="M175" s="131"/>
      <c r="N175" s="131"/>
      <c r="O175" s="131"/>
      <c r="P175" s="131"/>
      <c r="Q175" s="131"/>
      <c r="R175" s="131"/>
    </row>
    <row r="176" spans="2:18" ht="19.5" x14ac:dyDescent="0.35">
      <c r="B176" s="104">
        <v>173</v>
      </c>
      <c r="C176" s="131"/>
      <c r="D176" s="131"/>
      <c r="E176" s="104"/>
      <c r="F176" s="131"/>
      <c r="G176" s="131"/>
      <c r="H176" s="131"/>
      <c r="I176" s="131"/>
      <c r="J176" s="131"/>
      <c r="K176" s="131"/>
      <c r="L176" s="131"/>
      <c r="M176" s="131"/>
      <c r="N176" s="131"/>
      <c r="O176" s="131"/>
      <c r="P176" s="131"/>
      <c r="Q176" s="131"/>
      <c r="R176" s="131"/>
    </row>
    <row r="177" spans="2:18" ht="19.5" x14ac:dyDescent="0.35">
      <c r="B177" s="104">
        <v>174</v>
      </c>
      <c r="C177" s="131"/>
      <c r="D177" s="131"/>
      <c r="E177" s="104"/>
      <c r="F177" s="131"/>
      <c r="G177" s="131"/>
      <c r="H177" s="131"/>
      <c r="I177" s="131"/>
      <c r="J177" s="131"/>
      <c r="K177" s="131"/>
      <c r="L177" s="131"/>
      <c r="M177" s="131"/>
      <c r="N177" s="131"/>
      <c r="O177" s="131"/>
      <c r="P177" s="131"/>
      <c r="Q177" s="131"/>
      <c r="R177" s="131"/>
    </row>
    <row r="178" spans="2:18" ht="19.5" x14ac:dyDescent="0.35">
      <c r="B178" s="104">
        <v>175</v>
      </c>
      <c r="C178" s="131"/>
      <c r="D178" s="131"/>
      <c r="E178" s="104"/>
      <c r="F178" s="131"/>
      <c r="G178" s="131"/>
      <c r="H178" s="131"/>
      <c r="I178" s="131"/>
      <c r="J178" s="131"/>
      <c r="K178" s="131"/>
      <c r="L178" s="131"/>
      <c r="M178" s="131"/>
      <c r="N178" s="131"/>
      <c r="O178" s="131"/>
      <c r="P178" s="131"/>
      <c r="Q178" s="131"/>
      <c r="R178" s="131"/>
    </row>
    <row r="179" spans="2:18" ht="19.5" x14ac:dyDescent="0.35">
      <c r="B179" s="104">
        <v>176</v>
      </c>
      <c r="C179" s="131"/>
      <c r="D179" s="131"/>
      <c r="E179" s="104"/>
      <c r="F179" s="131"/>
      <c r="G179" s="131"/>
      <c r="H179" s="131"/>
      <c r="I179" s="131"/>
      <c r="J179" s="131"/>
      <c r="K179" s="131"/>
      <c r="L179" s="131"/>
      <c r="M179" s="131"/>
      <c r="N179" s="131"/>
      <c r="O179" s="131"/>
      <c r="P179" s="131"/>
      <c r="Q179" s="131"/>
      <c r="R179" s="131"/>
    </row>
    <row r="180" spans="2:18" ht="19.5" x14ac:dyDescent="0.35">
      <c r="B180" s="104">
        <v>177</v>
      </c>
      <c r="C180" s="131"/>
      <c r="D180" s="131"/>
      <c r="E180" s="104"/>
      <c r="F180" s="131"/>
      <c r="G180" s="131"/>
      <c r="H180" s="131"/>
      <c r="I180" s="131"/>
      <c r="J180" s="131"/>
      <c r="K180" s="131"/>
      <c r="L180" s="131"/>
      <c r="M180" s="131"/>
      <c r="N180" s="131"/>
      <c r="O180" s="131"/>
      <c r="P180" s="131"/>
      <c r="Q180" s="131"/>
      <c r="R180" s="131"/>
    </row>
    <row r="181" spans="2:18" ht="19.5" x14ac:dyDescent="0.35">
      <c r="B181" s="104">
        <v>178</v>
      </c>
      <c r="C181" s="131"/>
      <c r="D181" s="131"/>
      <c r="E181" s="104"/>
      <c r="F181" s="131"/>
      <c r="G181" s="131"/>
      <c r="H181" s="131"/>
      <c r="I181" s="131"/>
      <c r="J181" s="131"/>
      <c r="K181" s="131"/>
      <c r="L181" s="131"/>
      <c r="M181" s="131"/>
      <c r="N181" s="131"/>
      <c r="O181" s="131"/>
      <c r="P181" s="131"/>
      <c r="Q181" s="131"/>
      <c r="R181" s="131"/>
    </row>
    <row r="182" spans="2:18" ht="19.5" x14ac:dyDescent="0.35">
      <c r="B182" s="104">
        <v>179</v>
      </c>
      <c r="C182" s="131"/>
      <c r="D182" s="131"/>
      <c r="E182" s="104"/>
      <c r="F182" s="131"/>
      <c r="G182" s="131"/>
      <c r="H182" s="131"/>
      <c r="I182" s="131"/>
      <c r="J182" s="131"/>
      <c r="K182" s="131"/>
      <c r="L182" s="131"/>
      <c r="M182" s="131"/>
      <c r="N182" s="131"/>
      <c r="O182" s="131"/>
      <c r="P182" s="131"/>
      <c r="Q182" s="131"/>
      <c r="R182" s="131"/>
    </row>
    <row r="183" spans="2:18" ht="19.5" x14ac:dyDescent="0.35">
      <c r="B183" s="104">
        <v>180</v>
      </c>
      <c r="C183" s="131"/>
      <c r="D183" s="131"/>
      <c r="E183" s="104"/>
      <c r="F183" s="131"/>
      <c r="G183" s="131"/>
      <c r="H183" s="131"/>
      <c r="I183" s="131"/>
      <c r="J183" s="131"/>
      <c r="K183" s="131"/>
      <c r="L183" s="131"/>
      <c r="M183" s="131"/>
      <c r="N183" s="131"/>
      <c r="O183" s="131"/>
      <c r="P183" s="131"/>
      <c r="Q183" s="131"/>
      <c r="R183" s="131"/>
    </row>
    <row r="184" spans="2:18" ht="19.5" x14ac:dyDescent="0.35">
      <c r="B184" s="104">
        <v>181</v>
      </c>
      <c r="C184" s="131"/>
      <c r="D184" s="131"/>
      <c r="E184" s="104"/>
      <c r="F184" s="131"/>
      <c r="G184" s="131"/>
      <c r="H184" s="131"/>
      <c r="I184" s="131"/>
      <c r="J184" s="131"/>
      <c r="K184" s="131"/>
      <c r="L184" s="131"/>
      <c r="M184" s="131"/>
      <c r="N184" s="131"/>
      <c r="O184" s="131"/>
      <c r="P184" s="131"/>
      <c r="Q184" s="131"/>
      <c r="R184" s="131"/>
    </row>
    <row r="185" spans="2:18" ht="19.5" x14ac:dyDescent="0.35">
      <c r="B185" s="104">
        <v>182</v>
      </c>
      <c r="C185" s="131"/>
      <c r="D185" s="131"/>
      <c r="E185" s="104"/>
      <c r="F185" s="131"/>
      <c r="G185" s="131"/>
      <c r="H185" s="131"/>
      <c r="I185" s="131"/>
      <c r="J185" s="131"/>
      <c r="K185" s="131"/>
      <c r="L185" s="131"/>
      <c r="M185" s="131"/>
      <c r="N185" s="131"/>
      <c r="O185" s="131"/>
      <c r="P185" s="131"/>
      <c r="Q185" s="131"/>
      <c r="R185" s="131"/>
    </row>
    <row r="186" spans="2:18" ht="19.5" x14ac:dyDescent="0.35">
      <c r="B186" s="104">
        <v>183</v>
      </c>
      <c r="C186" s="131"/>
      <c r="D186" s="131"/>
      <c r="E186" s="104"/>
      <c r="F186" s="131"/>
      <c r="G186" s="131"/>
      <c r="H186" s="131"/>
      <c r="I186" s="131"/>
      <c r="J186" s="131"/>
      <c r="K186" s="131"/>
      <c r="L186" s="131"/>
      <c r="M186" s="131"/>
      <c r="N186" s="131"/>
      <c r="O186" s="131"/>
      <c r="P186" s="131"/>
      <c r="Q186" s="131"/>
      <c r="R186" s="131"/>
    </row>
    <row r="187" spans="2:18" ht="19.5" x14ac:dyDescent="0.35">
      <c r="B187" s="104">
        <v>184</v>
      </c>
      <c r="C187" s="131"/>
      <c r="D187" s="131"/>
      <c r="E187" s="104"/>
      <c r="F187" s="131"/>
      <c r="G187" s="131"/>
      <c r="H187" s="131"/>
      <c r="I187" s="131"/>
      <c r="J187" s="131"/>
      <c r="K187" s="131"/>
      <c r="L187" s="131"/>
      <c r="M187" s="131"/>
      <c r="N187" s="131"/>
      <c r="O187" s="131"/>
      <c r="P187" s="131"/>
      <c r="Q187" s="131"/>
      <c r="R187" s="131"/>
    </row>
    <row r="188" spans="2:18" ht="19.5" x14ac:dyDescent="0.35">
      <c r="B188" s="104">
        <v>185</v>
      </c>
      <c r="C188" s="131"/>
      <c r="D188" s="131"/>
      <c r="E188" s="104"/>
      <c r="F188" s="131"/>
      <c r="G188" s="131"/>
      <c r="H188" s="131"/>
      <c r="I188" s="131"/>
      <c r="J188" s="131"/>
      <c r="K188" s="131"/>
      <c r="L188" s="131"/>
      <c r="M188" s="131"/>
      <c r="N188" s="131"/>
      <c r="O188" s="131"/>
      <c r="P188" s="131"/>
      <c r="Q188" s="131"/>
      <c r="R188" s="131"/>
    </row>
    <row r="189" spans="2:18" ht="19.5" x14ac:dyDescent="0.35">
      <c r="B189" s="104">
        <v>186</v>
      </c>
      <c r="C189" s="131"/>
      <c r="D189" s="131"/>
      <c r="E189" s="104"/>
      <c r="F189" s="131"/>
      <c r="G189" s="131"/>
      <c r="H189" s="131"/>
      <c r="I189" s="131"/>
      <c r="J189" s="131"/>
      <c r="K189" s="131"/>
      <c r="L189" s="131"/>
      <c r="M189" s="131"/>
      <c r="N189" s="131"/>
      <c r="O189" s="131"/>
      <c r="P189" s="131"/>
      <c r="Q189" s="131"/>
      <c r="R189" s="131"/>
    </row>
    <row r="190" spans="2:18" ht="19.5" x14ac:dyDescent="0.35">
      <c r="B190" s="104">
        <v>187</v>
      </c>
      <c r="C190" s="131"/>
      <c r="D190" s="131"/>
      <c r="E190" s="104"/>
      <c r="F190" s="131"/>
      <c r="G190" s="131"/>
      <c r="H190" s="131"/>
      <c r="I190" s="131"/>
      <c r="J190" s="131"/>
      <c r="K190" s="131"/>
      <c r="L190" s="131"/>
      <c r="M190" s="131"/>
      <c r="N190" s="131"/>
      <c r="O190" s="131"/>
      <c r="P190" s="131"/>
      <c r="Q190" s="131"/>
      <c r="R190" s="131"/>
    </row>
    <row r="191" spans="2:18" ht="19.5" x14ac:dyDescent="0.35">
      <c r="B191" s="104">
        <v>188</v>
      </c>
      <c r="C191" s="131"/>
      <c r="D191" s="131"/>
      <c r="E191" s="104"/>
      <c r="F191" s="131"/>
      <c r="G191" s="131"/>
      <c r="H191" s="131"/>
      <c r="I191" s="131"/>
      <c r="J191" s="131"/>
      <c r="K191" s="131"/>
      <c r="L191" s="131"/>
      <c r="M191" s="131"/>
      <c r="N191" s="131"/>
      <c r="O191" s="131"/>
      <c r="P191" s="131"/>
      <c r="Q191" s="131"/>
      <c r="R191" s="131"/>
    </row>
    <row r="192" spans="2:18" ht="19.5" x14ac:dyDescent="0.35">
      <c r="B192" s="104">
        <v>189</v>
      </c>
      <c r="C192" s="131"/>
      <c r="D192" s="131"/>
      <c r="E192" s="104"/>
      <c r="F192" s="131"/>
      <c r="G192" s="131"/>
      <c r="H192" s="131"/>
      <c r="I192" s="131"/>
      <c r="J192" s="131"/>
      <c r="K192" s="131"/>
      <c r="L192" s="131"/>
      <c r="M192" s="131"/>
      <c r="N192" s="131"/>
      <c r="O192" s="131"/>
      <c r="P192" s="131"/>
      <c r="Q192" s="131"/>
      <c r="R192" s="131"/>
    </row>
    <row r="193" spans="2:18" ht="19.5" x14ac:dyDescent="0.35">
      <c r="B193" s="104">
        <v>190</v>
      </c>
      <c r="C193" s="131"/>
      <c r="D193" s="131"/>
      <c r="E193" s="104"/>
      <c r="F193" s="131"/>
      <c r="G193" s="131"/>
      <c r="H193" s="131"/>
      <c r="I193" s="131"/>
      <c r="J193" s="131"/>
      <c r="K193" s="131"/>
      <c r="L193" s="131"/>
      <c r="M193" s="131"/>
      <c r="N193" s="131"/>
      <c r="O193" s="131"/>
      <c r="P193" s="131"/>
      <c r="Q193" s="131"/>
      <c r="R193" s="131"/>
    </row>
    <row r="194" spans="2:18" ht="19.5" x14ac:dyDescent="0.35">
      <c r="B194" s="104">
        <v>191</v>
      </c>
      <c r="C194" s="131"/>
      <c r="D194" s="131"/>
      <c r="E194" s="104"/>
      <c r="F194" s="131"/>
      <c r="G194" s="131"/>
      <c r="H194" s="131"/>
      <c r="I194" s="131"/>
      <c r="J194" s="131"/>
      <c r="K194" s="131"/>
      <c r="L194" s="131"/>
      <c r="M194" s="131"/>
      <c r="N194" s="131"/>
      <c r="O194" s="131"/>
      <c r="P194" s="131"/>
      <c r="Q194" s="131"/>
      <c r="R194" s="131"/>
    </row>
    <row r="195" spans="2:18" ht="19.5" x14ac:dyDescent="0.35">
      <c r="B195" s="104">
        <v>192</v>
      </c>
      <c r="C195" s="131"/>
      <c r="D195" s="131"/>
      <c r="E195" s="104"/>
      <c r="F195" s="131"/>
      <c r="G195" s="131"/>
      <c r="H195" s="131"/>
      <c r="I195" s="131"/>
      <c r="J195" s="131"/>
      <c r="K195" s="131"/>
      <c r="L195" s="131"/>
      <c r="M195" s="131"/>
      <c r="N195" s="131"/>
      <c r="O195" s="131"/>
      <c r="P195" s="131"/>
      <c r="Q195" s="131"/>
      <c r="R195" s="131"/>
    </row>
    <row r="196" spans="2:18" ht="19.5" x14ac:dyDescent="0.35">
      <c r="B196" s="104">
        <v>193</v>
      </c>
      <c r="C196" s="131"/>
      <c r="D196" s="131"/>
      <c r="E196" s="104"/>
      <c r="F196" s="131"/>
      <c r="G196" s="131"/>
      <c r="H196" s="131"/>
      <c r="I196" s="131"/>
      <c r="J196" s="131"/>
      <c r="K196" s="131"/>
      <c r="L196" s="131"/>
      <c r="M196" s="131"/>
      <c r="N196" s="131"/>
      <c r="O196" s="131"/>
      <c r="P196" s="131"/>
      <c r="Q196" s="131"/>
      <c r="R196" s="131"/>
    </row>
    <row r="197" spans="2:18" ht="19.5" x14ac:dyDescent="0.35">
      <c r="B197" s="104">
        <v>194</v>
      </c>
      <c r="C197" s="131"/>
      <c r="D197" s="131"/>
      <c r="E197" s="104"/>
      <c r="F197" s="131"/>
      <c r="G197" s="131"/>
      <c r="H197" s="131"/>
      <c r="I197" s="131"/>
      <c r="J197" s="131"/>
      <c r="K197" s="131"/>
      <c r="L197" s="131"/>
      <c r="M197" s="131"/>
      <c r="N197" s="131"/>
      <c r="O197" s="131"/>
      <c r="P197" s="131"/>
      <c r="Q197" s="131"/>
      <c r="R197" s="131"/>
    </row>
    <row r="198" spans="2:18" ht="19.5" x14ac:dyDescent="0.35">
      <c r="B198" s="104">
        <v>195</v>
      </c>
      <c r="C198" s="131"/>
      <c r="D198" s="131"/>
      <c r="E198" s="104"/>
      <c r="F198" s="131"/>
      <c r="G198" s="131"/>
      <c r="H198" s="131"/>
      <c r="I198" s="131"/>
      <c r="J198" s="131"/>
      <c r="K198" s="131"/>
      <c r="L198" s="131"/>
      <c r="M198" s="131"/>
      <c r="N198" s="131"/>
      <c r="O198" s="131"/>
      <c r="P198" s="131"/>
      <c r="Q198" s="131"/>
      <c r="R198" s="131"/>
    </row>
    <row r="199" spans="2:18" ht="19.5" x14ac:dyDescent="0.35">
      <c r="B199" s="104">
        <v>196</v>
      </c>
      <c r="C199" s="131"/>
      <c r="D199" s="131"/>
      <c r="E199" s="104"/>
      <c r="F199" s="131"/>
      <c r="G199" s="131"/>
      <c r="H199" s="131"/>
      <c r="I199" s="131"/>
      <c r="J199" s="131"/>
      <c r="K199" s="131"/>
      <c r="L199" s="131"/>
      <c r="M199" s="131"/>
      <c r="N199" s="131"/>
      <c r="O199" s="131"/>
      <c r="P199" s="131"/>
      <c r="Q199" s="131"/>
      <c r="R199" s="131"/>
    </row>
    <row r="200" spans="2:18" ht="19.5" x14ac:dyDescent="0.35">
      <c r="B200" s="104">
        <v>197</v>
      </c>
      <c r="C200" s="131"/>
      <c r="D200" s="131"/>
      <c r="E200" s="104"/>
      <c r="F200" s="131"/>
      <c r="G200" s="131"/>
      <c r="H200" s="131"/>
      <c r="I200" s="131"/>
      <c r="J200" s="131"/>
      <c r="K200" s="131"/>
      <c r="L200" s="131"/>
      <c r="M200" s="131"/>
      <c r="N200" s="131"/>
      <c r="O200" s="131"/>
      <c r="P200" s="131"/>
      <c r="Q200" s="131"/>
      <c r="R200" s="131"/>
    </row>
    <row r="201" spans="2:18" ht="19.5" x14ac:dyDescent="0.35">
      <c r="B201" s="104">
        <v>198</v>
      </c>
      <c r="C201" s="131"/>
      <c r="D201" s="131"/>
      <c r="E201" s="104"/>
      <c r="F201" s="131"/>
      <c r="G201" s="131"/>
      <c r="H201" s="131"/>
      <c r="I201" s="131"/>
      <c r="J201" s="131"/>
      <c r="K201" s="131"/>
      <c r="L201" s="131"/>
      <c r="M201" s="131"/>
      <c r="N201" s="131"/>
      <c r="O201" s="131"/>
      <c r="P201" s="131"/>
      <c r="Q201" s="131"/>
      <c r="R201" s="131"/>
    </row>
    <row r="202" spans="2:18" ht="19.5" x14ac:dyDescent="0.35">
      <c r="B202" s="104">
        <v>199</v>
      </c>
      <c r="C202" s="131"/>
      <c r="D202" s="131"/>
      <c r="E202" s="104"/>
      <c r="F202" s="131"/>
      <c r="G202" s="131"/>
      <c r="H202" s="131"/>
      <c r="I202" s="131"/>
      <c r="J202" s="131"/>
      <c r="K202" s="131"/>
      <c r="L202" s="131"/>
      <c r="M202" s="131"/>
      <c r="N202" s="131"/>
      <c r="O202" s="131"/>
      <c r="P202" s="131"/>
      <c r="Q202" s="131"/>
      <c r="R202" s="131"/>
    </row>
    <row r="203" spans="2:18" ht="19.5" x14ac:dyDescent="0.35">
      <c r="B203" s="104">
        <v>200</v>
      </c>
      <c r="C203" s="131"/>
      <c r="D203" s="131"/>
      <c r="E203" s="104"/>
      <c r="F203" s="131"/>
      <c r="G203" s="131"/>
      <c r="H203" s="131"/>
      <c r="I203" s="131"/>
      <c r="J203" s="131"/>
      <c r="K203" s="131"/>
      <c r="L203" s="131"/>
      <c r="M203" s="131"/>
      <c r="N203" s="131"/>
      <c r="O203" s="131"/>
      <c r="P203" s="131"/>
      <c r="Q203" s="131"/>
      <c r="R203" s="131"/>
    </row>
    <row r="204" spans="2:18" ht="19.5" x14ac:dyDescent="0.35">
      <c r="B204" s="104">
        <v>201</v>
      </c>
      <c r="C204" s="131"/>
      <c r="D204" s="131"/>
      <c r="E204" s="104"/>
      <c r="F204" s="131"/>
      <c r="G204" s="131"/>
      <c r="H204" s="131"/>
      <c r="I204" s="131"/>
      <c r="J204" s="131"/>
      <c r="K204" s="131"/>
      <c r="L204" s="131"/>
      <c r="M204" s="131"/>
      <c r="N204" s="131"/>
      <c r="O204" s="131"/>
      <c r="P204" s="131"/>
      <c r="Q204" s="131"/>
      <c r="R204" s="131"/>
    </row>
    <row r="205" spans="2:18" ht="19.5" x14ac:dyDescent="0.35">
      <c r="B205" s="104">
        <v>202</v>
      </c>
      <c r="C205" s="131"/>
      <c r="D205" s="131"/>
      <c r="E205" s="104"/>
      <c r="F205" s="131"/>
      <c r="G205" s="131"/>
      <c r="H205" s="131"/>
      <c r="I205" s="131"/>
      <c r="J205" s="131"/>
      <c r="K205" s="131"/>
      <c r="L205" s="131"/>
      <c r="M205" s="131"/>
      <c r="N205" s="131"/>
      <c r="O205" s="131"/>
      <c r="P205" s="131"/>
      <c r="Q205" s="131"/>
      <c r="R205" s="131"/>
    </row>
    <row r="206" spans="2:18" ht="19.5" x14ac:dyDescent="0.35">
      <c r="B206" s="104">
        <v>203</v>
      </c>
      <c r="C206" s="131"/>
      <c r="D206" s="131"/>
      <c r="E206" s="104"/>
      <c r="F206" s="131"/>
      <c r="G206" s="131"/>
      <c r="H206" s="131"/>
      <c r="I206" s="131"/>
      <c r="J206" s="131"/>
      <c r="K206" s="131"/>
      <c r="L206" s="131"/>
      <c r="M206" s="131"/>
      <c r="N206" s="131"/>
      <c r="O206" s="131"/>
      <c r="P206" s="131"/>
      <c r="Q206" s="131"/>
      <c r="R206" s="131"/>
    </row>
    <row r="207" spans="2:18" ht="19.5" x14ac:dyDescent="0.35">
      <c r="B207" s="104">
        <v>204</v>
      </c>
      <c r="C207" s="131"/>
      <c r="D207" s="131"/>
      <c r="E207" s="104"/>
      <c r="F207" s="131"/>
      <c r="G207" s="131"/>
      <c r="H207" s="131"/>
      <c r="I207" s="131"/>
      <c r="J207" s="131"/>
      <c r="K207" s="131"/>
      <c r="L207" s="131"/>
      <c r="M207" s="131"/>
      <c r="N207" s="131"/>
      <c r="O207" s="131"/>
      <c r="P207" s="131"/>
      <c r="Q207" s="131"/>
      <c r="R207" s="131"/>
    </row>
    <row r="208" spans="2:18" ht="19.5" x14ac:dyDescent="0.35">
      <c r="B208" s="104">
        <v>205</v>
      </c>
      <c r="C208" s="131"/>
      <c r="D208" s="131"/>
      <c r="E208" s="104"/>
      <c r="F208" s="131"/>
      <c r="G208" s="131"/>
      <c r="H208" s="131"/>
      <c r="I208" s="131"/>
      <c r="J208" s="131"/>
      <c r="K208" s="131"/>
      <c r="L208" s="131"/>
      <c r="M208" s="131"/>
      <c r="N208" s="131"/>
      <c r="O208" s="131"/>
      <c r="P208" s="131"/>
      <c r="Q208" s="131"/>
      <c r="R208" s="131"/>
    </row>
    <row r="209" spans="2:18" ht="19.5" x14ac:dyDescent="0.35">
      <c r="B209" s="104">
        <v>206</v>
      </c>
      <c r="C209" s="131"/>
      <c r="D209" s="131"/>
      <c r="E209" s="104"/>
      <c r="F209" s="131"/>
      <c r="G209" s="131"/>
      <c r="H209" s="131"/>
      <c r="I209" s="131"/>
      <c r="J209" s="131"/>
      <c r="K209" s="131"/>
      <c r="L209" s="131"/>
      <c r="M209" s="131"/>
      <c r="N209" s="131"/>
      <c r="O209" s="131"/>
      <c r="P209" s="131"/>
      <c r="Q209" s="131"/>
      <c r="R209" s="131"/>
    </row>
    <row r="210" spans="2:18" ht="19.5" x14ac:dyDescent="0.35">
      <c r="B210" s="104">
        <v>207</v>
      </c>
      <c r="C210" s="131"/>
      <c r="D210" s="131"/>
      <c r="E210" s="104"/>
      <c r="F210" s="131"/>
      <c r="G210" s="131"/>
      <c r="H210" s="131"/>
      <c r="I210" s="131"/>
      <c r="J210" s="131"/>
      <c r="K210" s="131"/>
      <c r="L210" s="131"/>
      <c r="M210" s="131"/>
      <c r="N210" s="131"/>
      <c r="O210" s="131"/>
      <c r="P210" s="131"/>
      <c r="Q210" s="131"/>
      <c r="R210" s="131"/>
    </row>
    <row r="211" spans="2:18" ht="19.5" x14ac:dyDescent="0.35">
      <c r="B211" s="104">
        <v>208</v>
      </c>
      <c r="C211" s="131"/>
      <c r="D211" s="131"/>
      <c r="E211" s="104"/>
      <c r="F211" s="131"/>
      <c r="G211" s="131"/>
      <c r="H211" s="131"/>
      <c r="I211" s="131"/>
      <c r="J211" s="131"/>
      <c r="K211" s="131"/>
      <c r="L211" s="131"/>
      <c r="M211" s="131"/>
      <c r="N211" s="131"/>
      <c r="O211" s="131"/>
      <c r="P211" s="131"/>
      <c r="Q211" s="131"/>
      <c r="R211" s="131"/>
    </row>
    <row r="212" spans="2:18" ht="19.5" x14ac:dyDescent="0.35">
      <c r="B212" s="104">
        <v>209</v>
      </c>
      <c r="C212" s="131"/>
      <c r="D212" s="131"/>
      <c r="E212" s="104"/>
      <c r="F212" s="131"/>
      <c r="G212" s="131"/>
      <c r="H212" s="131"/>
      <c r="I212" s="131"/>
      <c r="J212" s="131"/>
      <c r="K212" s="131"/>
      <c r="L212" s="131"/>
      <c r="M212" s="131"/>
      <c r="N212" s="131"/>
      <c r="O212" s="131"/>
      <c r="P212" s="131"/>
      <c r="Q212" s="131"/>
      <c r="R212" s="131"/>
    </row>
    <row r="213" spans="2:18" ht="19.5" x14ac:dyDescent="0.35">
      <c r="B213" s="104">
        <v>210</v>
      </c>
      <c r="C213" s="131"/>
      <c r="D213" s="131"/>
      <c r="E213" s="104"/>
      <c r="F213" s="131"/>
      <c r="G213" s="131"/>
      <c r="H213" s="131"/>
      <c r="I213" s="131"/>
      <c r="J213" s="131"/>
      <c r="K213" s="131"/>
      <c r="L213" s="131"/>
      <c r="M213" s="131"/>
      <c r="N213" s="131"/>
      <c r="O213" s="131"/>
      <c r="P213" s="131"/>
      <c r="Q213" s="131"/>
      <c r="R213" s="131"/>
    </row>
    <row r="214" spans="2:18" ht="19.5" x14ac:dyDescent="0.35">
      <c r="B214" s="104">
        <v>211</v>
      </c>
      <c r="C214" s="131"/>
      <c r="D214" s="131"/>
      <c r="E214" s="104"/>
      <c r="F214" s="131"/>
      <c r="G214" s="131"/>
      <c r="H214" s="131"/>
      <c r="I214" s="131"/>
      <c r="J214" s="131"/>
      <c r="K214" s="131"/>
      <c r="L214" s="131"/>
      <c r="M214" s="131"/>
      <c r="N214" s="131"/>
      <c r="O214" s="131"/>
      <c r="P214" s="131"/>
      <c r="Q214" s="131"/>
      <c r="R214" s="131"/>
    </row>
    <row r="215" spans="2:18" ht="19.5" x14ac:dyDescent="0.35">
      <c r="B215" s="104">
        <v>212</v>
      </c>
      <c r="C215" s="131"/>
      <c r="D215" s="131"/>
      <c r="E215" s="104"/>
      <c r="F215" s="131"/>
      <c r="G215" s="131"/>
      <c r="H215" s="131"/>
      <c r="I215" s="131"/>
      <c r="J215" s="131"/>
      <c r="K215" s="131"/>
      <c r="L215" s="131"/>
      <c r="M215" s="131"/>
      <c r="N215" s="131"/>
      <c r="O215" s="131"/>
      <c r="P215" s="131"/>
      <c r="Q215" s="131"/>
      <c r="R215" s="131"/>
    </row>
    <row r="216" spans="2:18" ht="19.5" x14ac:dyDescent="0.35">
      <c r="B216" s="104">
        <v>213</v>
      </c>
      <c r="C216" s="131"/>
      <c r="D216" s="131"/>
      <c r="E216" s="104"/>
      <c r="F216" s="131"/>
      <c r="G216" s="131"/>
      <c r="H216" s="131"/>
      <c r="I216" s="131"/>
      <c r="J216" s="131"/>
      <c r="K216" s="131"/>
      <c r="L216" s="131"/>
      <c r="M216" s="131"/>
      <c r="N216" s="131"/>
      <c r="O216" s="131"/>
      <c r="P216" s="131"/>
      <c r="Q216" s="131"/>
      <c r="R216" s="131"/>
    </row>
    <row r="217" spans="2:18" ht="19.5" x14ac:dyDescent="0.35">
      <c r="B217" s="104">
        <v>214</v>
      </c>
      <c r="C217" s="131"/>
      <c r="D217" s="131"/>
      <c r="E217" s="104"/>
      <c r="F217" s="131"/>
      <c r="G217" s="131"/>
      <c r="H217" s="131"/>
      <c r="I217" s="131"/>
      <c r="J217" s="131"/>
      <c r="K217" s="131"/>
      <c r="L217" s="131"/>
      <c r="M217" s="131"/>
      <c r="N217" s="131"/>
      <c r="O217" s="131"/>
      <c r="P217" s="131"/>
      <c r="Q217" s="131"/>
      <c r="R217" s="131"/>
    </row>
    <row r="218" spans="2:18" ht="19.5" x14ac:dyDescent="0.35">
      <c r="B218" s="104">
        <v>215</v>
      </c>
      <c r="C218" s="131"/>
      <c r="D218" s="131"/>
      <c r="E218" s="104"/>
      <c r="F218" s="131"/>
      <c r="G218" s="131"/>
      <c r="H218" s="131"/>
      <c r="I218" s="131"/>
      <c r="J218" s="131"/>
      <c r="K218" s="131"/>
      <c r="L218" s="131"/>
      <c r="M218" s="131"/>
      <c r="N218" s="131"/>
      <c r="O218" s="131"/>
      <c r="P218" s="131"/>
      <c r="Q218" s="131"/>
      <c r="R218" s="131"/>
    </row>
    <row r="219" spans="2:18" ht="19.5" x14ac:dyDescent="0.35">
      <c r="B219" s="104">
        <v>216</v>
      </c>
      <c r="C219" s="131"/>
      <c r="D219" s="131"/>
      <c r="E219" s="104"/>
      <c r="F219" s="131"/>
      <c r="G219" s="131"/>
      <c r="H219" s="131"/>
      <c r="I219" s="131"/>
      <c r="J219" s="131"/>
      <c r="K219" s="131"/>
      <c r="L219" s="131"/>
      <c r="M219" s="131"/>
      <c r="N219" s="131"/>
      <c r="O219" s="131"/>
      <c r="P219" s="131"/>
      <c r="Q219" s="131"/>
      <c r="R219" s="131"/>
    </row>
    <row r="220" spans="2:18" ht="19.5" x14ac:dyDescent="0.35">
      <c r="B220" s="104">
        <v>217</v>
      </c>
      <c r="C220" s="131"/>
      <c r="D220" s="131"/>
      <c r="E220" s="104"/>
      <c r="F220" s="131"/>
      <c r="G220" s="131"/>
      <c r="H220" s="131"/>
      <c r="I220" s="131"/>
      <c r="J220" s="131"/>
      <c r="K220" s="131"/>
      <c r="L220" s="131"/>
      <c r="M220" s="131"/>
      <c r="N220" s="131"/>
      <c r="O220" s="131"/>
      <c r="P220" s="131"/>
      <c r="Q220" s="131"/>
      <c r="R220" s="131"/>
    </row>
    <row r="221" spans="2:18" ht="19.5" x14ac:dyDescent="0.35">
      <c r="B221" s="104">
        <v>218</v>
      </c>
      <c r="C221" s="131"/>
      <c r="D221" s="131"/>
      <c r="E221" s="104"/>
      <c r="F221" s="131"/>
      <c r="G221" s="131"/>
      <c r="H221" s="131"/>
      <c r="I221" s="131"/>
      <c r="J221" s="131"/>
      <c r="K221" s="131"/>
      <c r="L221" s="131"/>
      <c r="M221" s="131"/>
      <c r="N221" s="131"/>
      <c r="O221" s="131"/>
      <c r="P221" s="131"/>
      <c r="Q221" s="131"/>
      <c r="R221" s="131"/>
    </row>
    <row r="222" spans="2:18" ht="19.5" x14ac:dyDescent="0.35">
      <c r="B222" s="104">
        <v>219</v>
      </c>
      <c r="C222" s="131"/>
      <c r="D222" s="131"/>
      <c r="E222" s="104"/>
      <c r="F222" s="131"/>
      <c r="G222" s="131"/>
      <c r="H222" s="131"/>
      <c r="I222" s="131"/>
      <c r="J222" s="131"/>
      <c r="K222" s="131"/>
      <c r="L222" s="131"/>
      <c r="M222" s="131"/>
      <c r="N222" s="131"/>
      <c r="O222" s="131"/>
      <c r="P222" s="131"/>
      <c r="Q222" s="131"/>
      <c r="R222" s="131"/>
    </row>
    <row r="223" spans="2:18" ht="19.5" x14ac:dyDescent="0.35">
      <c r="B223" s="104">
        <v>220</v>
      </c>
      <c r="C223" s="131"/>
      <c r="D223" s="131"/>
      <c r="E223" s="104"/>
      <c r="F223" s="131"/>
      <c r="G223" s="131"/>
      <c r="H223" s="131"/>
      <c r="I223" s="131"/>
      <c r="J223" s="131"/>
      <c r="K223" s="131"/>
      <c r="L223" s="131"/>
      <c r="M223" s="131"/>
      <c r="N223" s="131"/>
      <c r="O223" s="131"/>
      <c r="P223" s="131"/>
      <c r="Q223" s="131"/>
      <c r="R223" s="131"/>
    </row>
    <row r="224" spans="2:18" ht="19.5" x14ac:dyDescent="0.35">
      <c r="B224" s="104">
        <v>221</v>
      </c>
      <c r="C224" s="131"/>
      <c r="D224" s="131"/>
      <c r="E224" s="104"/>
      <c r="F224" s="131"/>
      <c r="G224" s="131"/>
      <c r="H224" s="131"/>
      <c r="I224" s="131"/>
      <c r="J224" s="131"/>
      <c r="K224" s="131"/>
      <c r="L224" s="131"/>
      <c r="M224" s="131"/>
      <c r="N224" s="131"/>
      <c r="O224" s="131"/>
      <c r="P224" s="131"/>
      <c r="Q224" s="131"/>
      <c r="R224" s="131"/>
    </row>
    <row r="225" spans="2:18" ht="19.5" x14ac:dyDescent="0.35">
      <c r="B225" s="104">
        <v>222</v>
      </c>
      <c r="C225" s="131"/>
      <c r="D225" s="131"/>
      <c r="E225" s="104"/>
      <c r="F225" s="131"/>
      <c r="G225" s="131"/>
      <c r="H225" s="131"/>
      <c r="I225" s="131"/>
      <c r="J225" s="131"/>
      <c r="K225" s="131"/>
      <c r="L225" s="131"/>
      <c r="M225" s="131"/>
      <c r="N225" s="131"/>
      <c r="O225" s="131"/>
      <c r="P225" s="131"/>
      <c r="Q225" s="131"/>
      <c r="R225" s="131"/>
    </row>
    <row r="226" spans="2:18" ht="19.5" x14ac:dyDescent="0.35">
      <c r="B226" s="104">
        <v>223</v>
      </c>
      <c r="C226" s="131"/>
      <c r="D226" s="131"/>
      <c r="E226" s="104"/>
      <c r="F226" s="131"/>
      <c r="G226" s="131"/>
      <c r="H226" s="131"/>
      <c r="I226" s="131"/>
      <c r="J226" s="131"/>
      <c r="K226" s="131"/>
      <c r="L226" s="131"/>
      <c r="M226" s="131"/>
      <c r="N226" s="131"/>
      <c r="O226" s="131"/>
      <c r="P226" s="131"/>
      <c r="Q226" s="131"/>
      <c r="R226" s="131"/>
    </row>
    <row r="227" spans="2:18" ht="19.5" x14ac:dyDescent="0.35">
      <c r="B227" s="104">
        <v>224</v>
      </c>
      <c r="C227" s="131"/>
      <c r="D227" s="131"/>
      <c r="E227" s="104"/>
      <c r="F227" s="131"/>
      <c r="G227" s="131"/>
      <c r="H227" s="131"/>
      <c r="I227" s="131"/>
      <c r="J227" s="131"/>
      <c r="K227" s="131"/>
      <c r="L227" s="131"/>
      <c r="M227" s="131"/>
      <c r="N227" s="131"/>
      <c r="O227" s="131"/>
      <c r="P227" s="131"/>
      <c r="Q227" s="131"/>
      <c r="R227" s="131"/>
    </row>
    <row r="228" spans="2:18" ht="19.5" x14ac:dyDescent="0.35">
      <c r="B228" s="104">
        <v>225</v>
      </c>
      <c r="C228" s="131"/>
      <c r="D228" s="131"/>
      <c r="E228" s="104"/>
      <c r="F228" s="131"/>
      <c r="G228" s="131"/>
      <c r="H228" s="131"/>
      <c r="I228" s="131"/>
      <c r="J228" s="131"/>
      <c r="K228" s="131"/>
      <c r="L228" s="131"/>
      <c r="M228" s="131"/>
      <c r="N228" s="131"/>
      <c r="O228" s="131"/>
      <c r="P228" s="131"/>
      <c r="Q228" s="131"/>
      <c r="R228" s="131"/>
    </row>
    <row r="229" spans="2:18" ht="19.5" x14ac:dyDescent="0.35">
      <c r="B229" s="104">
        <v>226</v>
      </c>
      <c r="C229" s="131"/>
      <c r="D229" s="131"/>
      <c r="E229" s="104"/>
      <c r="F229" s="131"/>
      <c r="G229" s="131"/>
      <c r="H229" s="131"/>
      <c r="I229" s="131"/>
      <c r="J229" s="131"/>
      <c r="K229" s="131"/>
      <c r="L229" s="131"/>
      <c r="M229" s="131"/>
      <c r="N229" s="131"/>
      <c r="O229" s="131"/>
      <c r="P229" s="131"/>
      <c r="Q229" s="131"/>
      <c r="R229" s="131"/>
    </row>
    <row r="230" spans="2:18" ht="19.5" x14ac:dyDescent="0.35">
      <c r="B230" s="104">
        <v>227</v>
      </c>
      <c r="C230" s="131"/>
      <c r="D230" s="131"/>
      <c r="E230" s="104"/>
      <c r="F230" s="131"/>
      <c r="G230" s="131"/>
      <c r="H230" s="131"/>
      <c r="I230" s="131"/>
      <c r="J230" s="131"/>
      <c r="K230" s="131"/>
      <c r="L230" s="131"/>
      <c r="M230" s="131"/>
      <c r="N230" s="131"/>
      <c r="O230" s="131"/>
      <c r="P230" s="131"/>
      <c r="Q230" s="131"/>
      <c r="R230" s="131"/>
    </row>
    <row r="231" spans="2:18" ht="19.5" x14ac:dyDescent="0.35">
      <c r="B231" s="104">
        <v>228</v>
      </c>
      <c r="C231" s="131"/>
      <c r="D231" s="131"/>
      <c r="E231" s="104"/>
      <c r="F231" s="131"/>
      <c r="G231" s="131"/>
      <c r="H231" s="131"/>
      <c r="I231" s="131"/>
      <c r="J231" s="131"/>
      <c r="K231" s="131"/>
      <c r="L231" s="131"/>
      <c r="M231" s="131"/>
      <c r="N231" s="131"/>
      <c r="O231" s="131"/>
      <c r="P231" s="131"/>
      <c r="Q231" s="131"/>
      <c r="R231" s="131"/>
    </row>
    <row r="232" spans="2:18" ht="19.5" x14ac:dyDescent="0.35">
      <c r="B232" s="104">
        <v>229</v>
      </c>
      <c r="C232" s="131"/>
      <c r="D232" s="131"/>
      <c r="E232" s="104"/>
      <c r="F232" s="131"/>
      <c r="G232" s="131"/>
      <c r="H232" s="131"/>
      <c r="I232" s="131"/>
      <c r="J232" s="131"/>
      <c r="K232" s="131"/>
      <c r="L232" s="131"/>
      <c r="M232" s="131"/>
      <c r="N232" s="131"/>
      <c r="O232" s="131"/>
      <c r="P232" s="131"/>
      <c r="Q232" s="131"/>
      <c r="R232" s="131"/>
    </row>
    <row r="233" spans="2:18" ht="19.5" x14ac:dyDescent="0.35">
      <c r="B233" s="104">
        <v>230</v>
      </c>
      <c r="C233" s="131"/>
      <c r="D233" s="131"/>
      <c r="E233" s="104"/>
      <c r="F233" s="131"/>
      <c r="G233" s="131"/>
      <c r="H233" s="131"/>
      <c r="I233" s="131"/>
      <c r="J233" s="131"/>
      <c r="K233" s="131"/>
      <c r="L233" s="131"/>
      <c r="M233" s="131"/>
      <c r="N233" s="131"/>
      <c r="O233" s="131"/>
      <c r="P233" s="131"/>
      <c r="Q233" s="131"/>
      <c r="R233" s="131"/>
    </row>
    <row r="234" spans="2:18" ht="19.5" x14ac:dyDescent="0.35">
      <c r="B234" s="104">
        <v>231</v>
      </c>
      <c r="C234" s="131"/>
      <c r="D234" s="131"/>
      <c r="E234" s="104"/>
      <c r="F234" s="131"/>
      <c r="G234" s="131"/>
      <c r="H234" s="131"/>
      <c r="I234" s="131"/>
      <c r="J234" s="131"/>
      <c r="K234" s="131"/>
      <c r="L234" s="131"/>
      <c r="M234" s="131"/>
      <c r="N234" s="131"/>
      <c r="O234" s="131"/>
      <c r="P234" s="131"/>
      <c r="Q234" s="131"/>
      <c r="R234" s="131"/>
    </row>
    <row r="235" spans="2:18" ht="19.5" x14ac:dyDescent="0.35">
      <c r="B235" s="104">
        <v>232</v>
      </c>
      <c r="C235" s="131"/>
      <c r="D235" s="131"/>
      <c r="E235" s="104"/>
      <c r="F235" s="131"/>
      <c r="G235" s="131"/>
      <c r="H235" s="131"/>
      <c r="I235" s="131"/>
      <c r="J235" s="131"/>
      <c r="K235" s="131"/>
      <c r="L235" s="131"/>
      <c r="M235" s="131"/>
      <c r="N235" s="131"/>
      <c r="O235" s="131"/>
      <c r="P235" s="131"/>
      <c r="Q235" s="131"/>
      <c r="R235" s="131"/>
    </row>
    <row r="236" spans="2:18" ht="19.5" x14ac:dyDescent="0.35">
      <c r="B236" s="104">
        <v>233</v>
      </c>
      <c r="C236" s="131"/>
      <c r="D236" s="131"/>
      <c r="E236" s="104"/>
      <c r="F236" s="131"/>
      <c r="G236" s="131"/>
      <c r="H236" s="131"/>
      <c r="I236" s="131"/>
      <c r="J236" s="131"/>
      <c r="K236" s="131"/>
      <c r="L236" s="131"/>
      <c r="M236" s="131"/>
      <c r="N236" s="131"/>
      <c r="O236" s="131"/>
      <c r="P236" s="131"/>
      <c r="Q236" s="131"/>
      <c r="R236" s="131"/>
    </row>
    <row r="237" spans="2:18" ht="19.5" x14ac:dyDescent="0.35">
      <c r="B237" s="104">
        <v>234</v>
      </c>
      <c r="C237" s="131"/>
      <c r="D237" s="131"/>
      <c r="E237" s="104"/>
      <c r="F237" s="131"/>
      <c r="G237" s="131"/>
      <c r="H237" s="131"/>
      <c r="I237" s="131"/>
      <c r="J237" s="131"/>
      <c r="K237" s="131"/>
      <c r="L237" s="131"/>
      <c r="M237" s="131"/>
      <c r="N237" s="131"/>
      <c r="O237" s="131"/>
      <c r="P237" s="131"/>
      <c r="Q237" s="131"/>
      <c r="R237" s="131"/>
    </row>
    <row r="238" spans="2:18" ht="19.5" x14ac:dyDescent="0.35">
      <c r="B238" s="104">
        <v>235</v>
      </c>
      <c r="C238" s="131"/>
      <c r="D238" s="131"/>
      <c r="E238" s="104"/>
      <c r="F238" s="131"/>
      <c r="G238" s="131"/>
      <c r="H238" s="131"/>
      <c r="I238" s="131"/>
      <c r="J238" s="131"/>
      <c r="K238" s="131"/>
      <c r="L238" s="131"/>
      <c r="M238" s="131"/>
      <c r="N238" s="131"/>
      <c r="O238" s="131"/>
      <c r="P238" s="131"/>
      <c r="Q238" s="131"/>
      <c r="R238" s="131"/>
    </row>
    <row r="239" spans="2:18" ht="19.5" x14ac:dyDescent="0.35">
      <c r="B239" s="104">
        <v>236</v>
      </c>
      <c r="C239" s="131"/>
      <c r="D239" s="131"/>
      <c r="E239" s="104"/>
      <c r="F239" s="131"/>
      <c r="G239" s="131"/>
      <c r="H239" s="131"/>
      <c r="I239" s="131"/>
      <c r="J239" s="131"/>
      <c r="K239" s="131"/>
      <c r="L239" s="131"/>
      <c r="M239" s="131"/>
      <c r="N239" s="131"/>
      <c r="O239" s="131"/>
      <c r="P239" s="131"/>
      <c r="Q239" s="131"/>
      <c r="R239" s="131"/>
    </row>
    <row r="240" spans="2:18" ht="19.5" x14ac:dyDescent="0.35">
      <c r="B240" s="104">
        <v>237</v>
      </c>
      <c r="C240" s="131"/>
      <c r="D240" s="131"/>
      <c r="E240" s="104"/>
      <c r="F240" s="131"/>
      <c r="G240" s="131"/>
      <c r="H240" s="131"/>
      <c r="I240" s="131"/>
      <c r="J240" s="131"/>
      <c r="K240" s="131"/>
      <c r="L240" s="131"/>
      <c r="M240" s="131"/>
      <c r="N240" s="131"/>
      <c r="O240" s="131"/>
      <c r="P240" s="131"/>
      <c r="Q240" s="131"/>
      <c r="R240" s="131"/>
    </row>
    <row r="241" spans="2:18" ht="19.5" x14ac:dyDescent="0.35">
      <c r="B241" s="104">
        <v>238</v>
      </c>
      <c r="C241" s="131"/>
      <c r="D241" s="131"/>
      <c r="E241" s="104"/>
      <c r="F241" s="131"/>
      <c r="G241" s="131"/>
      <c r="H241" s="131"/>
      <c r="I241" s="131"/>
      <c r="J241" s="131"/>
      <c r="K241" s="131"/>
      <c r="L241" s="131"/>
      <c r="M241" s="131"/>
      <c r="N241" s="131"/>
      <c r="O241" s="131"/>
      <c r="P241" s="131"/>
      <c r="Q241" s="131"/>
      <c r="R241" s="131"/>
    </row>
    <row r="242" spans="2:18" ht="19.5" x14ac:dyDescent="0.35">
      <c r="B242" s="104">
        <v>239</v>
      </c>
      <c r="C242" s="131"/>
      <c r="D242" s="131"/>
      <c r="E242" s="104"/>
      <c r="F242" s="131"/>
      <c r="G242" s="131"/>
      <c r="H242" s="131"/>
      <c r="I242" s="131"/>
      <c r="J242" s="131"/>
      <c r="K242" s="131"/>
      <c r="L242" s="131"/>
      <c r="M242" s="131"/>
      <c r="N242" s="131"/>
      <c r="O242" s="131"/>
      <c r="P242" s="131"/>
      <c r="Q242" s="131"/>
      <c r="R242" s="131"/>
    </row>
    <row r="243" spans="2:18" ht="19.5" x14ac:dyDescent="0.35">
      <c r="B243" s="104">
        <v>240</v>
      </c>
      <c r="C243" s="131"/>
      <c r="D243" s="131"/>
      <c r="E243" s="104"/>
      <c r="F243" s="131"/>
      <c r="G243" s="131"/>
      <c r="H243" s="131"/>
      <c r="I243" s="131"/>
      <c r="J243" s="131"/>
      <c r="K243" s="131"/>
      <c r="L243" s="131"/>
      <c r="M243" s="131"/>
      <c r="N243" s="131"/>
      <c r="O243" s="131"/>
      <c r="P243" s="131"/>
      <c r="Q243" s="131"/>
      <c r="R243" s="131"/>
    </row>
    <row r="244" spans="2:18" ht="19.5" x14ac:dyDescent="0.35">
      <c r="B244" s="104">
        <v>241</v>
      </c>
      <c r="C244" s="131"/>
      <c r="D244" s="131"/>
      <c r="E244" s="104"/>
      <c r="F244" s="131"/>
      <c r="G244" s="131"/>
      <c r="H244" s="131"/>
      <c r="I244" s="131"/>
      <c r="J244" s="131"/>
      <c r="K244" s="131"/>
      <c r="L244" s="131"/>
      <c r="M244" s="131"/>
      <c r="N244" s="131"/>
      <c r="O244" s="131"/>
      <c r="P244" s="131"/>
      <c r="Q244" s="131"/>
      <c r="R244" s="131"/>
    </row>
    <row r="245" spans="2:18" ht="19.5" x14ac:dyDescent="0.35">
      <c r="B245" s="104">
        <v>242</v>
      </c>
      <c r="C245" s="131"/>
      <c r="D245" s="131"/>
      <c r="E245" s="104"/>
      <c r="F245" s="131"/>
      <c r="G245" s="131"/>
      <c r="H245" s="131"/>
      <c r="I245" s="131"/>
      <c r="J245" s="131"/>
      <c r="K245" s="131"/>
      <c r="L245" s="131"/>
      <c r="M245" s="131"/>
      <c r="N245" s="131"/>
      <c r="O245" s="131"/>
      <c r="P245" s="131"/>
      <c r="Q245" s="131"/>
      <c r="R245" s="131"/>
    </row>
    <row r="246" spans="2:18" ht="19.5" x14ac:dyDescent="0.35">
      <c r="B246" s="104">
        <v>243</v>
      </c>
      <c r="C246" s="131"/>
      <c r="D246" s="131"/>
      <c r="E246" s="104"/>
      <c r="F246" s="131"/>
      <c r="G246" s="131"/>
      <c r="H246" s="131"/>
      <c r="I246" s="131"/>
      <c r="J246" s="131"/>
      <c r="K246" s="131"/>
      <c r="L246" s="131"/>
      <c r="M246" s="131"/>
      <c r="N246" s="131"/>
      <c r="O246" s="131"/>
      <c r="P246" s="131"/>
      <c r="Q246" s="131"/>
      <c r="R246" s="131"/>
    </row>
    <row r="247" spans="2:18" ht="19.5" x14ac:dyDescent="0.35">
      <c r="B247" s="104">
        <v>244</v>
      </c>
      <c r="C247" s="131"/>
      <c r="D247" s="131"/>
      <c r="E247" s="104"/>
      <c r="F247" s="131"/>
      <c r="G247" s="131"/>
      <c r="H247" s="131"/>
      <c r="I247" s="131"/>
      <c r="J247" s="131"/>
      <c r="K247" s="131"/>
      <c r="L247" s="131"/>
      <c r="M247" s="131"/>
      <c r="N247" s="131"/>
      <c r="O247" s="131"/>
      <c r="P247" s="131"/>
      <c r="Q247" s="131"/>
      <c r="R247" s="131"/>
    </row>
    <row r="248" spans="2:18" ht="19.5" x14ac:dyDescent="0.35">
      <c r="B248" s="104">
        <v>245</v>
      </c>
      <c r="C248" s="131"/>
      <c r="D248" s="131"/>
      <c r="E248" s="104"/>
      <c r="F248" s="131"/>
      <c r="G248" s="131"/>
      <c r="H248" s="131"/>
      <c r="I248" s="131"/>
      <c r="J248" s="131"/>
      <c r="K248" s="131"/>
      <c r="L248" s="131"/>
      <c r="M248" s="131"/>
      <c r="N248" s="131"/>
      <c r="O248" s="131"/>
      <c r="P248" s="131"/>
      <c r="Q248" s="131"/>
      <c r="R248" s="131"/>
    </row>
    <row r="249" spans="2:18" ht="19.5" x14ac:dyDescent="0.35">
      <c r="B249" s="104">
        <v>246</v>
      </c>
      <c r="C249" s="131"/>
      <c r="D249" s="131"/>
      <c r="E249" s="104"/>
      <c r="F249" s="131"/>
      <c r="G249" s="131"/>
      <c r="H249" s="131"/>
      <c r="I249" s="131"/>
      <c r="J249" s="131"/>
      <c r="K249" s="131"/>
      <c r="L249" s="131"/>
      <c r="M249" s="131"/>
      <c r="N249" s="131"/>
      <c r="O249" s="131"/>
      <c r="P249" s="131"/>
      <c r="Q249" s="131"/>
      <c r="R249" s="131"/>
    </row>
    <row r="250" spans="2:18" ht="19.5" x14ac:dyDescent="0.35">
      <c r="B250" s="104">
        <v>247</v>
      </c>
      <c r="C250" s="131"/>
      <c r="D250" s="131"/>
      <c r="E250" s="104"/>
      <c r="F250" s="131"/>
      <c r="G250" s="131"/>
      <c r="H250" s="131"/>
      <c r="I250" s="131"/>
      <c r="J250" s="131"/>
      <c r="K250" s="131"/>
      <c r="L250" s="131"/>
      <c r="M250" s="131"/>
      <c r="N250" s="131"/>
      <c r="O250" s="131"/>
      <c r="P250" s="131"/>
      <c r="Q250" s="131"/>
      <c r="R250" s="131"/>
    </row>
    <row r="251" spans="2:18" ht="19.5" x14ac:dyDescent="0.35">
      <c r="B251" s="104">
        <v>248</v>
      </c>
      <c r="C251" s="131"/>
      <c r="D251" s="131"/>
      <c r="E251" s="104"/>
      <c r="F251" s="131"/>
      <c r="G251" s="131"/>
      <c r="H251" s="131"/>
      <c r="I251" s="131"/>
      <c r="J251" s="131"/>
      <c r="K251" s="131"/>
      <c r="L251" s="131"/>
      <c r="M251" s="131"/>
      <c r="N251" s="131"/>
      <c r="O251" s="131"/>
      <c r="P251" s="131"/>
      <c r="Q251" s="131"/>
      <c r="R251" s="131"/>
    </row>
    <row r="252" spans="2:18" ht="19.5" x14ac:dyDescent="0.35">
      <c r="B252" s="104">
        <v>249</v>
      </c>
      <c r="C252" s="131"/>
      <c r="D252" s="131"/>
      <c r="E252" s="104"/>
      <c r="F252" s="131"/>
      <c r="G252" s="131"/>
      <c r="H252" s="131"/>
      <c r="I252" s="131"/>
      <c r="J252" s="131"/>
      <c r="K252" s="131"/>
      <c r="L252" s="131"/>
      <c r="M252" s="131"/>
      <c r="N252" s="131"/>
      <c r="O252" s="131"/>
      <c r="P252" s="131"/>
      <c r="Q252" s="131"/>
      <c r="R252" s="131"/>
    </row>
    <row r="253" spans="2:18" ht="19.5" x14ac:dyDescent="0.35">
      <c r="B253" s="104">
        <v>250</v>
      </c>
      <c r="C253" s="131"/>
      <c r="D253" s="131"/>
      <c r="E253" s="104"/>
      <c r="F253" s="131"/>
      <c r="G253" s="131"/>
      <c r="H253" s="131"/>
      <c r="I253" s="131"/>
      <c r="J253" s="131"/>
      <c r="K253" s="131"/>
      <c r="L253" s="131"/>
      <c r="M253" s="131"/>
      <c r="N253" s="131"/>
      <c r="O253" s="131"/>
      <c r="P253" s="131"/>
      <c r="Q253" s="131"/>
      <c r="R253" s="131"/>
    </row>
    <row r="254" spans="2:18" ht="19.5" x14ac:dyDescent="0.35">
      <c r="B254" s="104">
        <v>251</v>
      </c>
      <c r="C254" s="131"/>
      <c r="D254" s="131"/>
      <c r="E254" s="104"/>
      <c r="F254" s="131"/>
      <c r="G254" s="131"/>
      <c r="H254" s="131"/>
      <c r="I254" s="131"/>
      <c r="J254" s="131"/>
      <c r="K254" s="131"/>
      <c r="L254" s="131"/>
      <c r="M254" s="131"/>
      <c r="N254" s="131"/>
      <c r="O254" s="131"/>
      <c r="P254" s="131"/>
      <c r="Q254" s="131"/>
      <c r="R254" s="131"/>
    </row>
    <row r="255" spans="2:18" ht="19.5" x14ac:dyDescent="0.35">
      <c r="B255" s="104">
        <v>252</v>
      </c>
      <c r="C255" s="131"/>
      <c r="D255" s="131"/>
      <c r="E255" s="104"/>
      <c r="F255" s="131"/>
      <c r="G255" s="131"/>
      <c r="H255" s="131"/>
      <c r="I255" s="131"/>
      <c r="J255" s="131"/>
      <c r="K255" s="131"/>
      <c r="L255" s="131"/>
      <c r="M255" s="131"/>
      <c r="N255" s="131"/>
      <c r="O255" s="131"/>
      <c r="P255" s="131"/>
      <c r="Q255" s="131"/>
      <c r="R255" s="131"/>
    </row>
    <row r="256" spans="2:18" ht="19.5" x14ac:dyDescent="0.35">
      <c r="B256" s="104">
        <v>253</v>
      </c>
      <c r="C256" s="131"/>
      <c r="D256" s="131"/>
      <c r="E256" s="104"/>
      <c r="F256" s="131"/>
      <c r="G256" s="131"/>
      <c r="H256" s="131"/>
      <c r="I256" s="131"/>
      <c r="J256" s="131"/>
      <c r="K256" s="131"/>
      <c r="L256" s="131"/>
      <c r="M256" s="131"/>
      <c r="N256" s="131"/>
      <c r="O256" s="131"/>
      <c r="P256" s="131"/>
      <c r="Q256" s="131"/>
      <c r="R256" s="131"/>
    </row>
    <row r="257" spans="2:18" ht="19.5" x14ac:dyDescent="0.35">
      <c r="B257" s="104">
        <v>254</v>
      </c>
      <c r="C257" s="131"/>
      <c r="D257" s="131"/>
      <c r="E257" s="104"/>
      <c r="F257" s="131"/>
      <c r="G257" s="131"/>
      <c r="H257" s="131"/>
      <c r="I257" s="131"/>
      <c r="J257" s="131"/>
      <c r="K257" s="131"/>
      <c r="L257" s="131"/>
      <c r="M257" s="131"/>
      <c r="N257" s="131"/>
      <c r="O257" s="131"/>
      <c r="P257" s="131"/>
      <c r="Q257" s="131"/>
      <c r="R257" s="131"/>
    </row>
    <row r="258" spans="2:18" ht="19.5" x14ac:dyDescent="0.35">
      <c r="B258" s="104">
        <v>255</v>
      </c>
      <c r="C258" s="131"/>
      <c r="D258" s="131"/>
      <c r="E258" s="104"/>
      <c r="F258" s="131"/>
      <c r="G258" s="131"/>
      <c r="H258" s="131"/>
      <c r="I258" s="131"/>
      <c r="J258" s="131"/>
      <c r="K258" s="131"/>
      <c r="L258" s="131"/>
      <c r="M258" s="131"/>
      <c r="N258" s="131"/>
      <c r="O258" s="131"/>
      <c r="P258" s="131"/>
      <c r="Q258" s="131"/>
      <c r="R258" s="131"/>
    </row>
    <row r="259" spans="2:18" ht="19.5" x14ac:dyDescent="0.35">
      <c r="B259" s="104">
        <v>256</v>
      </c>
      <c r="C259" s="131"/>
      <c r="D259" s="131"/>
      <c r="E259" s="104"/>
      <c r="F259" s="131"/>
      <c r="G259" s="131"/>
      <c r="H259" s="131"/>
      <c r="I259" s="131"/>
      <c r="J259" s="131"/>
      <c r="K259" s="131"/>
      <c r="L259" s="131"/>
      <c r="M259" s="131"/>
      <c r="N259" s="131"/>
      <c r="O259" s="131"/>
      <c r="P259" s="131"/>
      <c r="Q259" s="131"/>
      <c r="R259" s="131"/>
    </row>
    <row r="260" spans="2:18" ht="19.5" x14ac:dyDescent="0.35">
      <c r="B260" s="104">
        <v>257</v>
      </c>
      <c r="C260" s="131"/>
      <c r="D260" s="131"/>
      <c r="E260" s="104"/>
      <c r="F260" s="131"/>
      <c r="G260" s="131"/>
      <c r="H260" s="131"/>
      <c r="I260" s="131"/>
      <c r="J260" s="131"/>
      <c r="K260" s="131"/>
      <c r="L260" s="131"/>
      <c r="M260" s="131"/>
      <c r="N260" s="131"/>
      <c r="O260" s="131"/>
      <c r="P260" s="131"/>
      <c r="Q260" s="131"/>
      <c r="R260" s="131"/>
    </row>
    <row r="261" spans="2:18" ht="19.5" x14ac:dyDescent="0.35">
      <c r="B261" s="104">
        <v>258</v>
      </c>
      <c r="C261" s="131"/>
      <c r="D261" s="131"/>
      <c r="E261" s="104"/>
      <c r="F261" s="131"/>
      <c r="G261" s="131"/>
      <c r="H261" s="131"/>
      <c r="I261" s="131"/>
      <c r="J261" s="131"/>
      <c r="K261" s="131"/>
      <c r="L261" s="131"/>
      <c r="M261" s="131"/>
      <c r="N261" s="131"/>
      <c r="O261" s="131"/>
      <c r="P261" s="131"/>
      <c r="Q261" s="131"/>
      <c r="R261" s="131"/>
    </row>
    <row r="262" spans="2:18" ht="19.5" x14ac:dyDescent="0.35">
      <c r="B262" s="104">
        <v>259</v>
      </c>
      <c r="C262" s="131"/>
      <c r="D262" s="131"/>
      <c r="E262" s="104"/>
      <c r="F262" s="131"/>
      <c r="G262" s="131"/>
      <c r="H262" s="131"/>
      <c r="I262" s="131"/>
      <c r="J262" s="131"/>
      <c r="K262" s="131"/>
      <c r="L262" s="131"/>
      <c r="M262" s="131"/>
      <c r="N262" s="131"/>
      <c r="O262" s="131"/>
      <c r="P262" s="131"/>
      <c r="Q262" s="131"/>
      <c r="R262" s="131"/>
    </row>
    <row r="263" spans="2:18" ht="19.5" x14ac:dyDescent="0.35">
      <c r="B263" s="104">
        <v>260</v>
      </c>
      <c r="C263" s="131"/>
      <c r="D263" s="131"/>
      <c r="E263" s="104"/>
      <c r="F263" s="131"/>
      <c r="G263" s="131"/>
      <c r="H263" s="131"/>
      <c r="I263" s="131"/>
      <c r="J263" s="131"/>
      <c r="K263" s="131"/>
      <c r="L263" s="131"/>
      <c r="M263" s="131"/>
      <c r="N263" s="131"/>
      <c r="O263" s="131"/>
      <c r="P263" s="131"/>
      <c r="Q263" s="131"/>
      <c r="R263" s="131"/>
    </row>
    <row r="264" spans="2:18" ht="19.5" x14ac:dyDescent="0.35">
      <c r="B264" s="104">
        <v>261</v>
      </c>
      <c r="C264" s="131"/>
      <c r="D264" s="131"/>
      <c r="E264" s="104"/>
      <c r="F264" s="131"/>
      <c r="G264" s="131"/>
      <c r="H264" s="131"/>
      <c r="I264" s="131"/>
      <c r="J264" s="131"/>
      <c r="K264" s="131"/>
      <c r="L264" s="131"/>
      <c r="M264" s="131"/>
      <c r="N264" s="131"/>
      <c r="O264" s="131"/>
      <c r="P264" s="131"/>
      <c r="Q264" s="131"/>
      <c r="R264" s="131"/>
    </row>
    <row r="265" spans="2:18" ht="19.5" x14ac:dyDescent="0.35">
      <c r="B265" s="104">
        <v>262</v>
      </c>
      <c r="C265" s="131"/>
      <c r="D265" s="131"/>
      <c r="E265" s="104"/>
      <c r="F265" s="131"/>
      <c r="G265" s="131"/>
      <c r="H265" s="131"/>
      <c r="I265" s="131"/>
      <c r="J265" s="131"/>
      <c r="K265" s="131"/>
      <c r="L265" s="131"/>
      <c r="M265" s="131"/>
      <c r="N265" s="131"/>
      <c r="O265" s="131"/>
      <c r="P265" s="131"/>
      <c r="Q265" s="131"/>
      <c r="R265" s="131"/>
    </row>
    <row r="266" spans="2:18" ht="19.5" x14ac:dyDescent="0.35">
      <c r="B266" s="104">
        <v>263</v>
      </c>
      <c r="C266" s="131"/>
      <c r="D266" s="131"/>
      <c r="E266" s="104"/>
      <c r="F266" s="131"/>
      <c r="G266" s="131"/>
      <c r="H266" s="131"/>
      <c r="I266" s="131"/>
      <c r="J266" s="131"/>
      <c r="K266" s="131"/>
      <c r="L266" s="131"/>
      <c r="M266" s="131"/>
      <c r="N266" s="131"/>
      <c r="O266" s="131"/>
      <c r="P266" s="131"/>
      <c r="Q266" s="131"/>
      <c r="R266" s="131"/>
    </row>
    <row r="267" spans="2:18" ht="19.5" x14ac:dyDescent="0.35">
      <c r="B267" s="104">
        <v>264</v>
      </c>
      <c r="C267" s="131"/>
      <c r="D267" s="131"/>
      <c r="E267" s="104"/>
      <c r="F267" s="131"/>
      <c r="G267" s="131"/>
      <c r="H267" s="131"/>
      <c r="I267" s="131"/>
      <c r="J267" s="131"/>
      <c r="K267" s="131"/>
      <c r="L267" s="131"/>
      <c r="M267" s="131"/>
      <c r="N267" s="131"/>
      <c r="O267" s="131"/>
      <c r="P267" s="131"/>
      <c r="Q267" s="131"/>
      <c r="R267" s="131"/>
    </row>
    <row r="268" spans="2:18" ht="19.5" x14ac:dyDescent="0.35">
      <c r="B268" s="104">
        <v>265</v>
      </c>
      <c r="C268" s="131"/>
      <c r="D268" s="131"/>
      <c r="E268" s="104"/>
      <c r="F268" s="131"/>
      <c r="G268" s="131"/>
      <c r="H268" s="131"/>
      <c r="I268" s="131"/>
      <c r="J268" s="131"/>
      <c r="K268" s="131"/>
      <c r="L268" s="131"/>
      <c r="M268" s="131"/>
      <c r="N268" s="131"/>
      <c r="O268" s="131"/>
      <c r="P268" s="131"/>
      <c r="Q268" s="131"/>
      <c r="R268" s="131"/>
    </row>
    <row r="269" spans="2:18" ht="19.5" x14ac:dyDescent="0.35">
      <c r="B269" s="104">
        <v>266</v>
      </c>
      <c r="C269" s="131"/>
      <c r="D269" s="131"/>
      <c r="E269" s="104"/>
      <c r="F269" s="131"/>
      <c r="G269" s="131"/>
      <c r="H269" s="131"/>
      <c r="I269" s="131"/>
      <c r="J269" s="131"/>
      <c r="K269" s="131"/>
      <c r="L269" s="131"/>
      <c r="M269" s="131"/>
      <c r="N269" s="131"/>
      <c r="O269" s="131"/>
      <c r="P269" s="131"/>
      <c r="Q269" s="131"/>
      <c r="R269" s="131"/>
    </row>
    <row r="270" spans="2:18" ht="19.5" x14ac:dyDescent="0.35">
      <c r="B270" s="104">
        <v>267</v>
      </c>
      <c r="C270" s="131"/>
      <c r="D270" s="131"/>
      <c r="E270" s="104"/>
      <c r="F270" s="131"/>
      <c r="G270" s="131"/>
      <c r="H270" s="131"/>
      <c r="I270" s="131"/>
      <c r="J270" s="131"/>
      <c r="K270" s="131"/>
      <c r="L270" s="131"/>
      <c r="M270" s="131"/>
      <c r="N270" s="131"/>
      <c r="O270" s="131"/>
      <c r="P270" s="131"/>
      <c r="Q270" s="131"/>
      <c r="R270" s="131"/>
    </row>
    <row r="271" spans="2:18" ht="19.5" x14ac:dyDescent="0.35">
      <c r="B271" s="104">
        <v>268</v>
      </c>
      <c r="C271" s="131"/>
      <c r="D271" s="131"/>
      <c r="E271" s="104"/>
      <c r="F271" s="131"/>
      <c r="G271" s="131"/>
      <c r="H271" s="131"/>
      <c r="I271" s="131"/>
      <c r="J271" s="131"/>
      <c r="K271" s="131"/>
      <c r="L271" s="131"/>
      <c r="M271" s="131"/>
      <c r="N271" s="131"/>
      <c r="O271" s="131"/>
      <c r="P271" s="131"/>
      <c r="Q271" s="131"/>
      <c r="R271" s="131"/>
    </row>
    <row r="272" spans="2:18" ht="19.5" x14ac:dyDescent="0.35">
      <c r="B272" s="104">
        <v>269</v>
      </c>
      <c r="C272" s="131"/>
      <c r="D272" s="131"/>
      <c r="E272" s="104"/>
      <c r="F272" s="131"/>
      <c r="G272" s="131"/>
      <c r="H272" s="131"/>
      <c r="I272" s="131"/>
      <c r="J272" s="131"/>
      <c r="K272" s="131"/>
      <c r="L272" s="131"/>
      <c r="M272" s="131"/>
      <c r="N272" s="131"/>
      <c r="O272" s="131"/>
      <c r="P272" s="131"/>
      <c r="Q272" s="131"/>
      <c r="R272" s="131"/>
    </row>
    <row r="273" spans="2:18" ht="19.5" x14ac:dyDescent="0.35">
      <c r="B273" s="104">
        <v>270</v>
      </c>
      <c r="C273" s="131"/>
      <c r="D273" s="131"/>
      <c r="E273" s="104"/>
      <c r="F273" s="131"/>
      <c r="G273" s="131"/>
      <c r="H273" s="131"/>
      <c r="I273" s="131"/>
      <c r="J273" s="131"/>
      <c r="K273" s="131"/>
      <c r="L273" s="131"/>
      <c r="M273" s="131"/>
      <c r="N273" s="131"/>
      <c r="O273" s="131"/>
      <c r="P273" s="131"/>
      <c r="Q273" s="131"/>
      <c r="R273" s="131"/>
    </row>
    <row r="274" spans="2:18" ht="19.5" x14ac:dyDescent="0.35">
      <c r="B274" s="104">
        <v>271</v>
      </c>
      <c r="C274" s="131"/>
      <c r="D274" s="131"/>
      <c r="E274" s="104"/>
      <c r="F274" s="131"/>
      <c r="G274" s="131"/>
      <c r="H274" s="131"/>
      <c r="I274" s="131"/>
      <c r="J274" s="131"/>
      <c r="K274" s="131"/>
      <c r="L274" s="131"/>
      <c r="M274" s="131"/>
      <c r="N274" s="131"/>
      <c r="O274" s="131"/>
      <c r="P274" s="131"/>
      <c r="Q274" s="131"/>
      <c r="R274" s="131"/>
    </row>
    <row r="275" spans="2:18" ht="19.5" x14ac:dyDescent="0.35">
      <c r="B275" s="104">
        <v>272</v>
      </c>
      <c r="C275" s="131"/>
      <c r="D275" s="131"/>
      <c r="E275" s="104"/>
      <c r="F275" s="131"/>
      <c r="G275" s="131"/>
      <c r="H275" s="131"/>
      <c r="I275" s="131"/>
      <c r="J275" s="131"/>
      <c r="K275" s="131"/>
      <c r="L275" s="131"/>
      <c r="M275" s="131"/>
      <c r="N275" s="131"/>
      <c r="O275" s="131"/>
      <c r="P275" s="131"/>
      <c r="Q275" s="131"/>
      <c r="R275" s="131"/>
    </row>
    <row r="276" spans="2:18" ht="19.5" x14ac:dyDescent="0.35">
      <c r="B276" s="104">
        <v>273</v>
      </c>
      <c r="C276" s="131"/>
      <c r="D276" s="131"/>
      <c r="E276" s="104"/>
      <c r="F276" s="131"/>
      <c r="G276" s="131"/>
      <c r="H276" s="131"/>
      <c r="I276" s="131"/>
      <c r="J276" s="131"/>
      <c r="K276" s="131"/>
      <c r="L276" s="131"/>
      <c r="M276" s="131"/>
      <c r="N276" s="131"/>
      <c r="O276" s="131"/>
      <c r="P276" s="131"/>
      <c r="Q276" s="131"/>
      <c r="R276" s="131"/>
    </row>
    <row r="277" spans="2:18" ht="19.5" x14ac:dyDescent="0.35">
      <c r="B277" s="104">
        <v>274</v>
      </c>
      <c r="C277" s="131"/>
      <c r="D277" s="131"/>
      <c r="E277" s="104"/>
      <c r="F277" s="131"/>
      <c r="G277" s="131"/>
      <c r="H277" s="131"/>
      <c r="I277" s="131"/>
      <c r="J277" s="131"/>
      <c r="K277" s="131"/>
      <c r="L277" s="131"/>
      <c r="M277" s="131"/>
      <c r="N277" s="131"/>
      <c r="O277" s="131"/>
      <c r="P277" s="131"/>
      <c r="Q277" s="131"/>
      <c r="R277" s="131"/>
    </row>
    <row r="278" spans="2:18" ht="19.5" x14ac:dyDescent="0.35">
      <c r="B278" s="104">
        <v>275</v>
      </c>
      <c r="C278" s="131"/>
      <c r="D278" s="131"/>
      <c r="E278" s="104"/>
      <c r="F278" s="131"/>
      <c r="G278" s="131"/>
      <c r="H278" s="131"/>
      <c r="I278" s="131"/>
      <c r="J278" s="131"/>
      <c r="K278" s="131"/>
      <c r="L278" s="131"/>
      <c r="M278" s="131"/>
      <c r="N278" s="131"/>
      <c r="O278" s="131"/>
      <c r="P278" s="131"/>
      <c r="Q278" s="131"/>
      <c r="R278" s="131"/>
    </row>
    <row r="279" spans="2:18" ht="19.5" x14ac:dyDescent="0.35">
      <c r="B279" s="104">
        <v>276</v>
      </c>
      <c r="C279" s="131"/>
      <c r="D279" s="131"/>
      <c r="E279" s="104"/>
      <c r="F279" s="131"/>
      <c r="G279" s="131"/>
      <c r="H279" s="131"/>
      <c r="I279" s="131"/>
      <c r="J279" s="131"/>
      <c r="K279" s="131"/>
      <c r="L279" s="131"/>
      <c r="M279" s="131"/>
      <c r="N279" s="131"/>
      <c r="O279" s="131"/>
      <c r="P279" s="131"/>
      <c r="Q279" s="131"/>
      <c r="R279" s="131"/>
    </row>
    <row r="280" spans="2:18" ht="19.5" x14ac:dyDescent="0.35">
      <c r="B280" s="104">
        <v>277</v>
      </c>
      <c r="C280" s="131"/>
      <c r="D280" s="131"/>
      <c r="E280" s="104"/>
      <c r="F280" s="131"/>
      <c r="G280" s="131"/>
      <c r="H280" s="131"/>
      <c r="I280" s="131"/>
      <c r="J280" s="131"/>
      <c r="K280" s="131"/>
      <c r="L280" s="131"/>
      <c r="M280" s="131"/>
      <c r="N280" s="131"/>
      <c r="O280" s="131"/>
      <c r="P280" s="131"/>
      <c r="Q280" s="131"/>
      <c r="R280" s="131"/>
    </row>
    <row r="281" spans="2:18" ht="19.5" x14ac:dyDescent="0.35">
      <c r="B281" s="104">
        <v>278</v>
      </c>
      <c r="C281" s="131"/>
      <c r="D281" s="131"/>
      <c r="E281" s="104"/>
      <c r="F281" s="131"/>
      <c r="G281" s="131"/>
      <c r="H281" s="131"/>
      <c r="I281" s="131"/>
      <c r="J281" s="131"/>
      <c r="K281" s="131"/>
      <c r="L281" s="131"/>
      <c r="M281" s="131"/>
      <c r="N281" s="131"/>
      <c r="O281" s="131"/>
      <c r="P281" s="131"/>
      <c r="Q281" s="131"/>
      <c r="R281" s="131"/>
    </row>
    <row r="282" spans="2:18" ht="19.5" x14ac:dyDescent="0.35">
      <c r="B282" s="104">
        <v>279</v>
      </c>
      <c r="C282" s="131"/>
      <c r="D282" s="131"/>
      <c r="E282" s="104"/>
      <c r="F282" s="131"/>
      <c r="G282" s="131"/>
      <c r="H282" s="131"/>
      <c r="I282" s="131"/>
      <c r="J282" s="131"/>
      <c r="K282" s="131"/>
      <c r="L282" s="131"/>
      <c r="M282" s="131"/>
      <c r="N282" s="131"/>
      <c r="O282" s="131"/>
      <c r="P282" s="131"/>
      <c r="Q282" s="131"/>
      <c r="R282" s="131"/>
    </row>
    <row r="283" spans="2:18" ht="19.5" x14ac:dyDescent="0.35">
      <c r="B283" s="104">
        <v>280</v>
      </c>
      <c r="C283" s="131"/>
      <c r="D283" s="131"/>
      <c r="E283" s="104"/>
      <c r="F283" s="131"/>
      <c r="G283" s="131"/>
      <c r="H283" s="131"/>
      <c r="I283" s="131"/>
      <c r="J283" s="131"/>
      <c r="K283" s="131"/>
      <c r="L283" s="131"/>
      <c r="M283" s="131"/>
      <c r="N283" s="131"/>
      <c r="O283" s="131"/>
      <c r="P283" s="131"/>
      <c r="Q283" s="131"/>
      <c r="R283" s="131"/>
    </row>
    <row r="284" spans="2:18" ht="19.5" x14ac:dyDescent="0.35">
      <c r="B284" s="104">
        <v>281</v>
      </c>
      <c r="C284" s="131"/>
      <c r="D284" s="131"/>
      <c r="E284" s="104"/>
      <c r="F284" s="131"/>
      <c r="G284" s="131"/>
      <c r="H284" s="131"/>
      <c r="I284" s="131"/>
      <c r="J284" s="131"/>
      <c r="K284" s="131"/>
      <c r="L284" s="131"/>
      <c r="M284" s="131"/>
      <c r="N284" s="131"/>
      <c r="O284" s="131"/>
      <c r="P284" s="131"/>
      <c r="Q284" s="131"/>
      <c r="R284" s="131"/>
    </row>
    <row r="285" spans="2:18" ht="19.5" x14ac:dyDescent="0.35">
      <c r="B285" s="104">
        <v>282</v>
      </c>
      <c r="C285" s="131"/>
      <c r="D285" s="131"/>
      <c r="E285" s="104"/>
      <c r="F285" s="131"/>
      <c r="G285" s="131"/>
      <c r="H285" s="131"/>
      <c r="I285" s="131"/>
      <c r="J285" s="131"/>
      <c r="K285" s="131"/>
      <c r="L285" s="131"/>
      <c r="M285" s="131"/>
      <c r="N285" s="131"/>
      <c r="O285" s="131"/>
      <c r="P285" s="131"/>
      <c r="Q285" s="131"/>
      <c r="R285" s="131"/>
    </row>
    <row r="286" spans="2:18" ht="19.5" x14ac:dyDescent="0.35">
      <c r="B286" s="104">
        <v>283</v>
      </c>
      <c r="C286" s="131"/>
      <c r="D286" s="131"/>
      <c r="E286" s="104"/>
      <c r="F286" s="131"/>
      <c r="G286" s="131"/>
      <c r="H286" s="131"/>
      <c r="I286" s="131"/>
      <c r="J286" s="131"/>
      <c r="K286" s="131"/>
      <c r="L286" s="131"/>
      <c r="M286" s="131"/>
      <c r="N286" s="131"/>
      <c r="O286" s="131"/>
      <c r="P286" s="131"/>
      <c r="Q286" s="131"/>
      <c r="R286" s="131"/>
    </row>
    <row r="287" spans="2:18" ht="19.5" x14ac:dyDescent="0.35">
      <c r="B287" s="104">
        <v>284</v>
      </c>
      <c r="C287" s="131"/>
      <c r="D287" s="131"/>
      <c r="E287" s="104"/>
      <c r="F287" s="131"/>
      <c r="G287" s="131"/>
      <c r="H287" s="131"/>
      <c r="I287" s="131"/>
      <c r="J287" s="131"/>
      <c r="K287" s="131"/>
      <c r="L287" s="131"/>
      <c r="M287" s="131"/>
      <c r="N287" s="131"/>
      <c r="O287" s="131"/>
      <c r="P287" s="131"/>
      <c r="Q287" s="131"/>
      <c r="R287" s="131"/>
    </row>
    <row r="288" spans="2:18" ht="19.5" x14ac:dyDescent="0.35">
      <c r="B288" s="104">
        <v>285</v>
      </c>
      <c r="C288" s="131"/>
      <c r="D288" s="131"/>
      <c r="E288" s="104"/>
      <c r="F288" s="131"/>
      <c r="G288" s="131"/>
      <c r="H288" s="131"/>
      <c r="I288" s="131"/>
      <c r="J288" s="131"/>
      <c r="K288" s="131"/>
      <c r="L288" s="131"/>
      <c r="M288" s="131"/>
      <c r="N288" s="131"/>
      <c r="O288" s="131"/>
      <c r="P288" s="131"/>
      <c r="Q288" s="131"/>
      <c r="R288" s="131"/>
    </row>
    <row r="289" spans="2:18" ht="19.5" x14ac:dyDescent="0.35">
      <c r="B289" s="104">
        <v>286</v>
      </c>
      <c r="C289" s="131"/>
      <c r="D289" s="131"/>
      <c r="E289" s="104"/>
      <c r="F289" s="131"/>
      <c r="G289" s="131"/>
      <c r="H289" s="131"/>
      <c r="I289" s="131"/>
      <c r="J289" s="131"/>
      <c r="K289" s="131"/>
      <c r="L289" s="131"/>
      <c r="M289" s="131"/>
      <c r="N289" s="131"/>
      <c r="O289" s="131"/>
      <c r="P289" s="131"/>
      <c r="Q289" s="131"/>
      <c r="R289" s="131"/>
    </row>
    <row r="290" spans="2:18" ht="19.5" x14ac:dyDescent="0.35">
      <c r="B290" s="104">
        <v>287</v>
      </c>
      <c r="C290" s="131"/>
      <c r="D290" s="131"/>
      <c r="E290" s="104"/>
      <c r="F290" s="131"/>
      <c r="G290" s="131"/>
      <c r="H290" s="131"/>
      <c r="I290" s="131"/>
      <c r="J290" s="131"/>
      <c r="K290" s="131"/>
      <c r="L290" s="131"/>
      <c r="M290" s="131"/>
      <c r="N290" s="131"/>
      <c r="O290" s="131"/>
      <c r="P290" s="131"/>
      <c r="Q290" s="131"/>
      <c r="R290" s="131"/>
    </row>
    <row r="291" spans="2:18" ht="19.5" x14ac:dyDescent="0.35">
      <c r="B291" s="104">
        <v>288</v>
      </c>
      <c r="C291" s="131"/>
      <c r="D291" s="131"/>
      <c r="E291" s="104"/>
      <c r="F291" s="131"/>
      <c r="G291" s="131"/>
      <c r="H291" s="131"/>
      <c r="I291" s="131"/>
      <c r="J291" s="131"/>
      <c r="K291" s="131"/>
      <c r="L291" s="131"/>
      <c r="M291" s="131"/>
      <c r="N291" s="131"/>
      <c r="O291" s="131"/>
      <c r="P291" s="131"/>
      <c r="Q291" s="131"/>
      <c r="R291" s="131"/>
    </row>
    <row r="292" spans="2:18" ht="19.5" x14ac:dyDescent="0.35">
      <c r="B292" s="104">
        <v>289</v>
      </c>
      <c r="C292" s="131"/>
      <c r="D292" s="131"/>
      <c r="E292" s="104"/>
      <c r="F292" s="131"/>
      <c r="G292" s="131"/>
      <c r="H292" s="131"/>
      <c r="I292" s="131"/>
      <c r="J292" s="131"/>
      <c r="K292" s="131"/>
      <c r="L292" s="131"/>
      <c r="M292" s="131"/>
      <c r="N292" s="131"/>
      <c r="O292" s="131"/>
      <c r="P292" s="131"/>
      <c r="Q292" s="131"/>
      <c r="R292" s="131"/>
    </row>
    <row r="293" spans="2:18" ht="19.5" x14ac:dyDescent="0.35">
      <c r="B293" s="104">
        <v>290</v>
      </c>
      <c r="C293" s="131"/>
      <c r="D293" s="131"/>
      <c r="E293" s="104"/>
      <c r="F293" s="131"/>
      <c r="G293" s="131"/>
      <c r="H293" s="131"/>
      <c r="I293" s="131"/>
      <c r="J293" s="131"/>
      <c r="K293" s="131"/>
      <c r="L293" s="131"/>
      <c r="M293" s="131"/>
      <c r="N293" s="131"/>
      <c r="O293" s="131"/>
      <c r="P293" s="131"/>
      <c r="Q293" s="131"/>
      <c r="R293" s="131"/>
    </row>
    <row r="294" spans="2:18" ht="19.5" x14ac:dyDescent="0.35">
      <c r="B294" s="104">
        <v>291</v>
      </c>
      <c r="C294" s="131"/>
      <c r="D294" s="131"/>
      <c r="E294" s="104"/>
      <c r="F294" s="131"/>
      <c r="G294" s="131"/>
      <c r="H294" s="131"/>
      <c r="I294" s="131"/>
      <c r="J294" s="131"/>
      <c r="K294" s="131"/>
      <c r="L294" s="131"/>
      <c r="M294" s="131"/>
      <c r="N294" s="131"/>
      <c r="O294" s="131"/>
      <c r="P294" s="131"/>
      <c r="Q294" s="131"/>
      <c r="R294" s="131"/>
    </row>
    <row r="295" spans="2:18" ht="19.5" x14ac:dyDescent="0.35">
      <c r="B295" s="104">
        <v>292</v>
      </c>
      <c r="C295" s="131"/>
      <c r="D295" s="131"/>
      <c r="E295" s="104"/>
      <c r="F295" s="131"/>
      <c r="G295" s="131"/>
      <c r="H295" s="131"/>
      <c r="I295" s="131"/>
      <c r="J295" s="131"/>
      <c r="K295" s="131"/>
      <c r="L295" s="131"/>
      <c r="M295" s="131"/>
      <c r="N295" s="131"/>
      <c r="O295" s="131"/>
      <c r="P295" s="131"/>
      <c r="Q295" s="131"/>
      <c r="R295" s="131"/>
    </row>
    <row r="296" spans="2:18" ht="19.5" x14ac:dyDescent="0.35">
      <c r="B296" s="104">
        <v>293</v>
      </c>
      <c r="C296" s="131"/>
      <c r="D296" s="131"/>
      <c r="E296" s="104"/>
      <c r="F296" s="131"/>
      <c r="G296" s="131"/>
      <c r="H296" s="131"/>
      <c r="I296" s="131"/>
      <c r="J296" s="131"/>
      <c r="K296" s="131"/>
      <c r="L296" s="131"/>
      <c r="M296" s="131"/>
      <c r="N296" s="131"/>
      <c r="O296" s="131"/>
      <c r="P296" s="131"/>
      <c r="Q296" s="131"/>
      <c r="R296" s="131"/>
    </row>
    <row r="297" spans="2:18" ht="19.5" x14ac:dyDescent="0.35">
      <c r="B297" s="104">
        <v>294</v>
      </c>
      <c r="C297" s="131"/>
      <c r="D297" s="131"/>
      <c r="E297" s="104"/>
      <c r="F297" s="131"/>
      <c r="G297" s="131"/>
      <c r="H297" s="131"/>
      <c r="I297" s="131"/>
      <c r="J297" s="131"/>
      <c r="K297" s="131"/>
      <c r="L297" s="131"/>
      <c r="M297" s="131"/>
      <c r="N297" s="131"/>
      <c r="O297" s="131"/>
      <c r="P297" s="131"/>
      <c r="Q297" s="131"/>
      <c r="R297" s="131"/>
    </row>
    <row r="298" spans="2:18" ht="19.5" x14ac:dyDescent="0.35">
      <c r="B298" s="104">
        <v>295</v>
      </c>
      <c r="C298" s="131"/>
      <c r="D298" s="131"/>
      <c r="E298" s="104"/>
      <c r="F298" s="131"/>
      <c r="G298" s="131"/>
      <c r="H298" s="131"/>
      <c r="I298" s="131"/>
      <c r="J298" s="131"/>
      <c r="K298" s="131"/>
      <c r="L298" s="131"/>
      <c r="M298" s="131"/>
      <c r="N298" s="131"/>
      <c r="O298" s="131"/>
      <c r="P298" s="131"/>
      <c r="Q298" s="131"/>
      <c r="R298" s="131"/>
    </row>
    <row r="299" spans="2:18" ht="19.5" x14ac:dyDescent="0.35">
      <c r="B299" s="104">
        <v>296</v>
      </c>
      <c r="C299" s="131"/>
      <c r="D299" s="131"/>
      <c r="E299" s="104"/>
      <c r="F299" s="131"/>
      <c r="G299" s="131"/>
      <c r="H299" s="131"/>
      <c r="I299" s="131"/>
      <c r="J299" s="131"/>
      <c r="K299" s="131"/>
      <c r="L299" s="131"/>
      <c r="M299" s="131"/>
      <c r="N299" s="131"/>
      <c r="O299" s="131"/>
      <c r="P299" s="131"/>
      <c r="Q299" s="131"/>
      <c r="R299" s="131"/>
    </row>
    <row r="300" spans="2:18" ht="19.5" x14ac:dyDescent="0.35">
      <c r="B300" s="104">
        <v>297</v>
      </c>
      <c r="C300" s="131"/>
      <c r="D300" s="131"/>
      <c r="E300" s="104"/>
      <c r="F300" s="131"/>
      <c r="G300" s="131"/>
      <c r="H300" s="131"/>
      <c r="I300" s="131"/>
      <c r="J300" s="131"/>
      <c r="K300" s="131"/>
      <c r="L300" s="131"/>
      <c r="M300" s="131"/>
      <c r="N300" s="131"/>
      <c r="O300" s="131"/>
      <c r="P300" s="131"/>
      <c r="Q300" s="131"/>
      <c r="R300" s="131"/>
    </row>
    <row r="301" spans="2:18" ht="19.5" x14ac:dyDescent="0.35">
      <c r="B301" s="104">
        <v>298</v>
      </c>
      <c r="C301" s="131"/>
      <c r="D301" s="131"/>
      <c r="E301" s="104"/>
      <c r="F301" s="131"/>
      <c r="G301" s="131"/>
      <c r="H301" s="131"/>
      <c r="I301" s="131"/>
      <c r="J301" s="131"/>
      <c r="K301" s="131"/>
      <c r="L301" s="131"/>
      <c r="M301" s="131"/>
      <c r="N301" s="131"/>
      <c r="O301" s="131"/>
      <c r="P301" s="131"/>
      <c r="Q301" s="131"/>
      <c r="R301" s="131"/>
    </row>
    <row r="302" spans="2:18" ht="19.5" x14ac:dyDescent="0.35">
      <c r="B302" s="104">
        <v>299</v>
      </c>
      <c r="C302" s="131"/>
      <c r="D302" s="131"/>
      <c r="E302" s="104"/>
      <c r="F302" s="131"/>
      <c r="G302" s="131"/>
      <c r="H302" s="131"/>
      <c r="I302" s="131"/>
      <c r="J302" s="131"/>
      <c r="K302" s="131"/>
      <c r="L302" s="131"/>
      <c r="M302" s="131"/>
      <c r="N302" s="131"/>
      <c r="O302" s="131"/>
      <c r="P302" s="131"/>
      <c r="Q302" s="131"/>
      <c r="R302" s="131"/>
    </row>
    <row r="303" spans="2:18" ht="19.5" x14ac:dyDescent="0.35">
      <c r="B303" s="104">
        <v>300</v>
      </c>
      <c r="C303" s="131"/>
      <c r="D303" s="131"/>
      <c r="E303" s="104"/>
      <c r="F303" s="131"/>
      <c r="G303" s="131"/>
      <c r="H303" s="131"/>
      <c r="I303" s="131"/>
      <c r="J303" s="131"/>
      <c r="K303" s="131"/>
      <c r="L303" s="131"/>
      <c r="M303" s="131"/>
      <c r="N303" s="131"/>
      <c r="O303" s="131"/>
      <c r="P303" s="131"/>
      <c r="Q303" s="131"/>
      <c r="R303" s="131"/>
    </row>
    <row r="304" spans="2:18" ht="19.5" x14ac:dyDescent="0.35">
      <c r="B304" s="104">
        <v>301</v>
      </c>
      <c r="C304" s="131"/>
      <c r="D304" s="131"/>
      <c r="E304" s="104"/>
      <c r="F304" s="131"/>
      <c r="G304" s="131"/>
      <c r="H304" s="131"/>
      <c r="I304" s="131"/>
      <c r="J304" s="131"/>
      <c r="K304" s="131"/>
      <c r="L304" s="131"/>
      <c r="M304" s="131"/>
      <c r="N304" s="131"/>
      <c r="O304" s="131"/>
      <c r="P304" s="131"/>
      <c r="Q304" s="131"/>
      <c r="R304" s="131"/>
    </row>
    <row r="305" spans="2:18" ht="19.5" x14ac:dyDescent="0.35">
      <c r="B305" s="104">
        <v>302</v>
      </c>
      <c r="C305" s="131"/>
      <c r="D305" s="131"/>
      <c r="E305" s="104"/>
      <c r="F305" s="131"/>
      <c r="G305" s="131"/>
      <c r="H305" s="131"/>
      <c r="I305" s="131"/>
      <c r="J305" s="131"/>
      <c r="K305" s="131"/>
      <c r="L305" s="131"/>
      <c r="M305" s="131"/>
      <c r="N305" s="131"/>
      <c r="O305" s="131"/>
      <c r="P305" s="131"/>
      <c r="Q305" s="131"/>
      <c r="R305" s="131"/>
    </row>
    <row r="306" spans="2:18" ht="19.5" x14ac:dyDescent="0.35">
      <c r="B306" s="104">
        <v>303</v>
      </c>
      <c r="C306" s="131"/>
      <c r="D306" s="131"/>
      <c r="E306" s="104"/>
      <c r="F306" s="131"/>
      <c r="G306" s="131"/>
      <c r="H306" s="131"/>
      <c r="I306" s="131"/>
      <c r="J306" s="131"/>
      <c r="K306" s="131"/>
      <c r="L306" s="131"/>
      <c r="M306" s="131"/>
      <c r="N306" s="131"/>
      <c r="O306" s="131"/>
      <c r="P306" s="131"/>
      <c r="Q306" s="131"/>
      <c r="R306" s="131"/>
    </row>
    <row r="307" spans="2:18" ht="19.5" x14ac:dyDescent="0.35">
      <c r="B307" s="104">
        <v>304</v>
      </c>
      <c r="C307" s="131"/>
      <c r="D307" s="131"/>
      <c r="E307" s="104"/>
      <c r="F307" s="131"/>
      <c r="G307" s="131"/>
      <c r="H307" s="131"/>
      <c r="I307" s="131"/>
      <c r="J307" s="131"/>
      <c r="K307" s="131"/>
      <c r="L307" s="131"/>
      <c r="M307" s="131"/>
      <c r="N307" s="131"/>
      <c r="O307" s="131"/>
      <c r="P307" s="131"/>
      <c r="Q307" s="131"/>
      <c r="R307" s="131"/>
    </row>
    <row r="308" spans="2:18" ht="19.5" x14ac:dyDescent="0.35">
      <c r="B308" s="104">
        <v>305</v>
      </c>
      <c r="C308" s="131"/>
      <c r="D308" s="131"/>
      <c r="E308" s="104"/>
      <c r="F308" s="131"/>
      <c r="G308" s="131"/>
      <c r="H308" s="131"/>
      <c r="I308" s="131"/>
      <c r="J308" s="131"/>
      <c r="K308" s="131"/>
      <c r="L308" s="131"/>
      <c r="M308" s="131"/>
      <c r="N308" s="131"/>
      <c r="O308" s="131"/>
      <c r="P308" s="131"/>
      <c r="Q308" s="131"/>
      <c r="R308" s="131"/>
    </row>
    <row r="309" spans="2:18" ht="19.5" x14ac:dyDescent="0.35">
      <c r="B309" s="104">
        <v>306</v>
      </c>
      <c r="C309" s="131"/>
      <c r="D309" s="131"/>
      <c r="E309" s="104"/>
      <c r="F309" s="131"/>
      <c r="G309" s="131"/>
      <c r="H309" s="131"/>
      <c r="I309" s="131"/>
      <c r="J309" s="131"/>
      <c r="K309" s="131"/>
      <c r="L309" s="131"/>
      <c r="M309" s="131"/>
      <c r="N309" s="131"/>
      <c r="O309" s="131"/>
      <c r="P309" s="131"/>
      <c r="Q309" s="131"/>
      <c r="R309" s="131"/>
    </row>
    <row r="310" spans="2:18" ht="19.5" x14ac:dyDescent="0.35">
      <c r="B310" s="104">
        <v>307</v>
      </c>
      <c r="C310" s="131"/>
      <c r="D310" s="131"/>
      <c r="E310" s="104"/>
      <c r="F310" s="131"/>
      <c r="G310" s="131"/>
      <c r="H310" s="131"/>
      <c r="I310" s="131"/>
      <c r="J310" s="131"/>
      <c r="K310" s="131"/>
      <c r="L310" s="131"/>
      <c r="M310" s="131"/>
      <c r="N310" s="131"/>
      <c r="O310" s="131"/>
      <c r="P310" s="131"/>
      <c r="Q310" s="131"/>
      <c r="R310" s="131"/>
    </row>
    <row r="311" spans="2:18" ht="19.5" x14ac:dyDescent="0.35">
      <c r="B311" s="104">
        <v>308</v>
      </c>
      <c r="C311" s="131"/>
      <c r="D311" s="131"/>
      <c r="E311" s="104"/>
      <c r="F311" s="131"/>
      <c r="G311" s="131"/>
      <c r="H311" s="131"/>
      <c r="I311" s="131"/>
      <c r="J311" s="131"/>
      <c r="K311" s="131"/>
      <c r="L311" s="131"/>
      <c r="M311" s="131"/>
      <c r="N311" s="131"/>
      <c r="O311" s="131"/>
      <c r="P311" s="131"/>
      <c r="Q311" s="131"/>
      <c r="R311" s="131"/>
    </row>
    <row r="312" spans="2:18" ht="19.5" x14ac:dyDescent="0.35">
      <c r="B312" s="104">
        <v>309</v>
      </c>
      <c r="C312" s="131"/>
      <c r="D312" s="131"/>
      <c r="E312" s="104"/>
      <c r="F312" s="131"/>
      <c r="G312" s="131"/>
      <c r="H312" s="131"/>
      <c r="I312" s="131"/>
      <c r="J312" s="131"/>
      <c r="K312" s="131"/>
      <c r="L312" s="131"/>
      <c r="M312" s="131"/>
      <c r="N312" s="131"/>
      <c r="O312" s="131"/>
      <c r="P312" s="131"/>
      <c r="Q312" s="131"/>
      <c r="R312" s="131"/>
    </row>
    <row r="313" spans="2:18" ht="19.5" x14ac:dyDescent="0.35">
      <c r="B313" s="104">
        <v>310</v>
      </c>
      <c r="C313" s="131"/>
      <c r="D313" s="131"/>
      <c r="E313" s="104"/>
      <c r="F313" s="131"/>
      <c r="G313" s="131"/>
      <c r="H313" s="131"/>
      <c r="I313" s="131"/>
      <c r="J313" s="131"/>
      <c r="K313" s="131"/>
      <c r="L313" s="131"/>
      <c r="M313" s="131"/>
      <c r="N313" s="131"/>
      <c r="O313" s="131"/>
      <c r="P313" s="131"/>
      <c r="Q313" s="131"/>
      <c r="R313" s="131"/>
    </row>
    <row r="314" spans="2:18" ht="19.5" x14ac:dyDescent="0.35">
      <c r="B314" s="104">
        <v>311</v>
      </c>
      <c r="C314" s="131"/>
      <c r="D314" s="131"/>
      <c r="E314" s="104"/>
      <c r="F314" s="131"/>
      <c r="G314" s="131"/>
      <c r="H314" s="131"/>
      <c r="I314" s="131"/>
      <c r="J314" s="131"/>
      <c r="K314" s="131"/>
      <c r="L314" s="131"/>
      <c r="M314" s="131"/>
      <c r="N314" s="131"/>
      <c r="O314" s="131"/>
      <c r="P314" s="131"/>
      <c r="Q314" s="131"/>
      <c r="R314" s="131"/>
    </row>
    <row r="315" spans="2:18" ht="19.5" x14ac:dyDescent="0.35">
      <c r="B315" s="104">
        <v>312</v>
      </c>
      <c r="C315" s="131"/>
      <c r="D315" s="131"/>
      <c r="E315" s="104"/>
      <c r="F315" s="131"/>
      <c r="G315" s="131"/>
      <c r="H315" s="131"/>
      <c r="I315" s="131"/>
      <c r="J315" s="131"/>
      <c r="K315" s="131"/>
      <c r="L315" s="131"/>
      <c r="M315" s="131"/>
      <c r="N315" s="131"/>
      <c r="O315" s="131"/>
      <c r="P315" s="131"/>
      <c r="Q315" s="131"/>
      <c r="R315" s="131"/>
    </row>
    <row r="316" spans="2:18" ht="19.5" x14ac:dyDescent="0.35">
      <c r="B316" s="104">
        <v>313</v>
      </c>
      <c r="C316" s="131"/>
      <c r="D316" s="131"/>
      <c r="E316" s="104"/>
      <c r="F316" s="131"/>
      <c r="G316" s="131"/>
      <c r="H316" s="131"/>
      <c r="I316" s="131"/>
      <c r="J316" s="131"/>
      <c r="K316" s="131"/>
      <c r="L316" s="131"/>
      <c r="M316" s="131"/>
      <c r="N316" s="131"/>
      <c r="O316" s="131"/>
      <c r="P316" s="131"/>
      <c r="Q316" s="131"/>
      <c r="R316" s="131"/>
    </row>
    <row r="317" spans="2:18" ht="19.5" x14ac:dyDescent="0.35">
      <c r="B317" s="104">
        <v>314</v>
      </c>
      <c r="C317" s="131"/>
      <c r="D317" s="131"/>
      <c r="E317" s="104"/>
      <c r="F317" s="131"/>
      <c r="G317" s="131"/>
      <c r="H317" s="131"/>
      <c r="I317" s="131"/>
      <c r="J317" s="131"/>
      <c r="K317" s="131"/>
      <c r="L317" s="131"/>
      <c r="M317" s="131"/>
      <c r="N317" s="131"/>
      <c r="O317" s="131"/>
      <c r="P317" s="131"/>
      <c r="Q317" s="131"/>
      <c r="R317" s="131"/>
    </row>
    <row r="318" spans="2:18" ht="19.5" x14ac:dyDescent="0.35">
      <c r="B318" s="104">
        <v>315</v>
      </c>
      <c r="C318" s="131"/>
      <c r="D318" s="131"/>
      <c r="E318" s="104"/>
      <c r="F318" s="131"/>
      <c r="G318" s="131"/>
      <c r="H318" s="131"/>
      <c r="I318" s="131"/>
      <c r="J318" s="131"/>
      <c r="K318" s="131"/>
      <c r="L318" s="131"/>
      <c r="M318" s="131"/>
      <c r="N318" s="131"/>
      <c r="O318" s="131"/>
      <c r="P318" s="131"/>
      <c r="Q318" s="131"/>
      <c r="R318" s="131"/>
    </row>
    <row r="319" spans="2:18" ht="19.5" x14ac:dyDescent="0.35">
      <c r="B319" s="104">
        <v>316</v>
      </c>
      <c r="C319" s="131"/>
      <c r="D319" s="131"/>
      <c r="E319" s="104"/>
      <c r="F319" s="131"/>
      <c r="G319" s="131"/>
      <c r="H319" s="131"/>
      <c r="I319" s="131"/>
      <c r="J319" s="131"/>
      <c r="K319" s="131"/>
      <c r="L319" s="131"/>
      <c r="M319" s="131"/>
      <c r="N319" s="131"/>
      <c r="O319" s="131"/>
      <c r="P319" s="131"/>
      <c r="Q319" s="131"/>
      <c r="R319" s="131"/>
    </row>
    <row r="320" spans="2:18" ht="19.5" x14ac:dyDescent="0.35">
      <c r="B320" s="104">
        <v>317</v>
      </c>
      <c r="C320" s="131"/>
      <c r="D320" s="131"/>
      <c r="E320" s="104"/>
      <c r="F320" s="131"/>
      <c r="G320" s="131"/>
      <c r="H320" s="131"/>
      <c r="I320" s="131"/>
      <c r="J320" s="131"/>
      <c r="K320" s="131"/>
      <c r="L320" s="131"/>
      <c r="M320" s="131"/>
      <c r="N320" s="131"/>
      <c r="O320" s="131"/>
      <c r="P320" s="131"/>
      <c r="Q320" s="131"/>
      <c r="R320" s="131"/>
    </row>
    <row r="321" spans="2:18" ht="19.5" x14ac:dyDescent="0.35">
      <c r="B321" s="104">
        <v>318</v>
      </c>
      <c r="C321" s="131"/>
      <c r="D321" s="131"/>
      <c r="E321" s="104"/>
      <c r="F321" s="131"/>
      <c r="G321" s="131"/>
      <c r="H321" s="131"/>
      <c r="I321" s="131"/>
      <c r="J321" s="131"/>
      <c r="K321" s="131"/>
      <c r="L321" s="131"/>
      <c r="M321" s="131"/>
      <c r="N321" s="131"/>
      <c r="O321" s="131"/>
      <c r="P321" s="131"/>
      <c r="Q321" s="131"/>
      <c r="R321" s="131"/>
    </row>
    <row r="322" spans="2:18" ht="19.5" x14ac:dyDescent="0.35">
      <c r="B322" s="104">
        <v>319</v>
      </c>
      <c r="C322" s="131"/>
      <c r="D322" s="131"/>
      <c r="E322" s="104"/>
      <c r="F322" s="131"/>
      <c r="G322" s="131"/>
      <c r="H322" s="131"/>
      <c r="I322" s="131"/>
      <c r="J322" s="131"/>
      <c r="K322" s="131"/>
      <c r="L322" s="131"/>
      <c r="M322" s="131"/>
      <c r="N322" s="131"/>
      <c r="O322" s="131"/>
      <c r="P322" s="131"/>
      <c r="Q322" s="131"/>
      <c r="R322" s="131"/>
    </row>
    <row r="323" spans="2:18" ht="19.5" x14ac:dyDescent="0.35">
      <c r="B323" s="104">
        <v>320</v>
      </c>
      <c r="C323" s="131"/>
      <c r="D323" s="131"/>
      <c r="E323" s="104"/>
      <c r="F323" s="131"/>
      <c r="G323" s="131"/>
      <c r="H323" s="131"/>
      <c r="I323" s="131"/>
      <c r="J323" s="131"/>
      <c r="K323" s="131"/>
      <c r="L323" s="131"/>
      <c r="M323" s="131"/>
      <c r="N323" s="131"/>
      <c r="O323" s="131"/>
      <c r="P323" s="131"/>
      <c r="Q323" s="131"/>
      <c r="R323" s="13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D537C-FEFE-446D-A020-09B093918949}">
  <dimension ref="B2:R176"/>
  <sheetViews>
    <sheetView topLeftCell="E1" zoomScale="55" zoomScaleNormal="55" workbookViewId="0">
      <selection activeCell="K24" sqref="K3:R24"/>
    </sheetView>
  </sheetViews>
  <sheetFormatPr defaultRowHeight="15" x14ac:dyDescent="0.25"/>
  <cols>
    <col min="5" max="5" width="10.42578125" bestFit="1" customWidth="1"/>
    <col min="6" max="6" width="9.140625" style="182"/>
    <col min="7" max="7" width="30.85546875" customWidth="1"/>
    <col min="8" max="9" width="18" customWidth="1"/>
    <col min="10" max="10" width="19.85546875" customWidth="1"/>
    <col min="11" max="11" width="11.42578125" customWidth="1"/>
    <col min="12" max="12" width="12.28515625" customWidth="1"/>
  </cols>
  <sheetData>
    <row r="2" spans="2:18" ht="168" x14ac:dyDescent="0.25">
      <c r="B2" s="27" t="s">
        <v>76</v>
      </c>
      <c r="C2" s="105" t="s">
        <v>77</v>
      </c>
      <c r="D2" s="27" t="s">
        <v>78</v>
      </c>
      <c r="E2" s="187" t="s">
        <v>79</v>
      </c>
      <c r="F2" s="27" t="s">
        <v>80</v>
      </c>
      <c r="G2" s="27" t="s">
        <v>81</v>
      </c>
      <c r="H2" s="183" t="s">
        <v>82</v>
      </c>
      <c r="I2" s="183"/>
      <c r="J2" s="27" t="s">
        <v>83</v>
      </c>
      <c r="K2" s="27" t="s">
        <v>84</v>
      </c>
      <c r="L2" s="27" t="s">
        <v>85</v>
      </c>
      <c r="M2" s="27" t="s">
        <v>86</v>
      </c>
      <c r="N2" s="27" t="s">
        <v>91</v>
      </c>
      <c r="O2" s="27" t="s">
        <v>87</v>
      </c>
      <c r="P2" s="27" t="s">
        <v>90</v>
      </c>
      <c r="Q2" s="27" t="s">
        <v>88</v>
      </c>
      <c r="R2" s="27" t="s">
        <v>89</v>
      </c>
    </row>
    <row r="3" spans="2:18" ht="58.5" x14ac:dyDescent="0.25">
      <c r="B3" s="28">
        <v>1</v>
      </c>
      <c r="C3" s="28" t="s">
        <v>4825</v>
      </c>
      <c r="D3" s="28" t="s">
        <v>4825</v>
      </c>
      <c r="E3" s="108">
        <v>45455</v>
      </c>
      <c r="F3" s="109">
        <v>0.65625</v>
      </c>
      <c r="G3" s="28" t="s">
        <v>5615</v>
      </c>
      <c r="H3" s="28" t="s">
        <v>5616</v>
      </c>
      <c r="I3" s="28"/>
      <c r="J3" s="28" t="s">
        <v>5617</v>
      </c>
      <c r="K3" s="27" t="s">
        <v>20</v>
      </c>
      <c r="L3" s="27" t="s">
        <v>20</v>
      </c>
      <c r="M3" s="27" t="s">
        <v>20</v>
      </c>
      <c r="N3" s="27" t="s">
        <v>20</v>
      </c>
      <c r="O3" s="27" t="s">
        <v>20</v>
      </c>
      <c r="P3" s="27" t="s">
        <v>20</v>
      </c>
      <c r="Q3" s="27" t="s">
        <v>20</v>
      </c>
      <c r="R3" s="27" t="s">
        <v>20</v>
      </c>
    </row>
    <row r="4" spans="2:18" ht="39" x14ac:dyDescent="0.25">
      <c r="B4" s="28">
        <v>2</v>
      </c>
      <c r="C4" s="28" t="s">
        <v>4825</v>
      </c>
      <c r="D4" s="26" t="s">
        <v>5678</v>
      </c>
      <c r="E4" s="110">
        <v>45450</v>
      </c>
      <c r="F4" s="109">
        <v>0.60416666666666663</v>
      </c>
      <c r="G4" s="28" t="s">
        <v>5795</v>
      </c>
      <c r="H4" s="26" t="s">
        <v>406</v>
      </c>
      <c r="I4" s="26"/>
      <c r="J4" s="26" t="s">
        <v>5618</v>
      </c>
      <c r="K4" s="26" t="s">
        <v>34</v>
      </c>
      <c r="L4" s="26" t="s">
        <v>5619</v>
      </c>
      <c r="M4" s="26" t="s">
        <v>20</v>
      </c>
      <c r="N4" s="26" t="s">
        <v>20</v>
      </c>
      <c r="O4" s="26" t="s">
        <v>20</v>
      </c>
      <c r="P4" s="26" t="s">
        <v>20</v>
      </c>
      <c r="Q4" s="26" t="s">
        <v>20</v>
      </c>
      <c r="R4" s="26" t="s">
        <v>20</v>
      </c>
    </row>
    <row r="5" spans="2:18" ht="39" x14ac:dyDescent="0.25">
      <c r="B5" s="28">
        <v>4</v>
      </c>
      <c r="C5" s="28" t="s">
        <v>4825</v>
      </c>
      <c r="D5" s="26" t="s">
        <v>5678</v>
      </c>
      <c r="E5" s="108">
        <v>45461</v>
      </c>
      <c r="F5" s="109">
        <v>2.0833333333333332E-2</v>
      </c>
      <c r="G5" s="28" t="s">
        <v>5620</v>
      </c>
      <c r="H5" s="28" t="s">
        <v>406</v>
      </c>
      <c r="I5" s="28"/>
      <c r="J5" s="28" t="s">
        <v>5621</v>
      </c>
      <c r="K5" s="28" t="s">
        <v>5270</v>
      </c>
      <c r="L5" s="28" t="s">
        <v>5622</v>
      </c>
      <c r="M5" s="28" t="s">
        <v>20</v>
      </c>
      <c r="N5" s="28" t="s">
        <v>20</v>
      </c>
      <c r="O5" s="28" t="s">
        <v>20</v>
      </c>
      <c r="P5" s="28" t="s">
        <v>20</v>
      </c>
      <c r="Q5" s="28" t="s">
        <v>20</v>
      </c>
      <c r="R5" s="28" t="s">
        <v>20</v>
      </c>
    </row>
    <row r="6" spans="2:18" ht="19.5" x14ac:dyDescent="0.25">
      <c r="B6" s="28">
        <v>5</v>
      </c>
      <c r="C6" s="28" t="s">
        <v>4825</v>
      </c>
      <c r="D6" s="26" t="s">
        <v>5794</v>
      </c>
      <c r="E6" s="110">
        <v>45455</v>
      </c>
      <c r="F6" s="109">
        <v>0.78125</v>
      </c>
      <c r="G6" s="28" t="s">
        <v>5796</v>
      </c>
      <c r="H6" s="26" t="s">
        <v>406</v>
      </c>
      <c r="I6" s="26"/>
      <c r="J6" s="26" t="s">
        <v>5623</v>
      </c>
      <c r="K6" s="26" t="s">
        <v>20</v>
      </c>
      <c r="L6" s="26" t="s">
        <v>20</v>
      </c>
      <c r="M6" s="26" t="s">
        <v>20</v>
      </c>
      <c r="N6" s="26" t="s">
        <v>20</v>
      </c>
      <c r="O6" s="26" t="s">
        <v>20</v>
      </c>
      <c r="P6" s="26" t="s">
        <v>20</v>
      </c>
      <c r="Q6" s="26" t="s">
        <v>20</v>
      </c>
      <c r="R6" s="26" t="s">
        <v>20</v>
      </c>
    </row>
    <row r="7" spans="2:18" ht="19.5" x14ac:dyDescent="0.25">
      <c r="B7" s="28">
        <v>7</v>
      </c>
      <c r="C7" s="28" t="s">
        <v>4825</v>
      </c>
      <c r="D7" s="26" t="s">
        <v>5794</v>
      </c>
      <c r="E7" s="110">
        <v>45456</v>
      </c>
      <c r="F7" s="109">
        <v>0.49305555555555558</v>
      </c>
      <c r="G7" s="28" t="s">
        <v>5796</v>
      </c>
      <c r="H7" s="26" t="s">
        <v>406</v>
      </c>
      <c r="I7" s="26"/>
      <c r="J7" s="26" t="s">
        <v>5623</v>
      </c>
      <c r="K7" s="26" t="s">
        <v>20</v>
      </c>
      <c r="L7" s="26" t="s">
        <v>20</v>
      </c>
      <c r="M7" s="26" t="s">
        <v>20</v>
      </c>
      <c r="N7" s="26" t="s">
        <v>20</v>
      </c>
      <c r="O7" s="26" t="s">
        <v>20</v>
      </c>
      <c r="P7" s="26" t="s">
        <v>20</v>
      </c>
      <c r="Q7" s="26" t="s">
        <v>20</v>
      </c>
      <c r="R7" s="26" t="s">
        <v>20</v>
      </c>
    </row>
    <row r="8" spans="2:18" ht="19.5" x14ac:dyDescent="0.25">
      <c r="B8" s="28">
        <v>9</v>
      </c>
      <c r="C8" s="28" t="s">
        <v>4825</v>
      </c>
      <c r="D8" s="26" t="s">
        <v>5794</v>
      </c>
      <c r="E8" s="110">
        <v>45457</v>
      </c>
      <c r="F8" s="109">
        <v>0.45416666666666666</v>
      </c>
      <c r="G8" s="28" t="s">
        <v>5796</v>
      </c>
      <c r="H8" s="26" t="s">
        <v>406</v>
      </c>
      <c r="I8" s="26"/>
      <c r="J8" s="26" t="s">
        <v>5623</v>
      </c>
      <c r="K8" s="26"/>
      <c r="L8" s="26" t="s">
        <v>20</v>
      </c>
      <c r="M8" s="26" t="s">
        <v>20</v>
      </c>
      <c r="N8" s="26" t="s">
        <v>20</v>
      </c>
      <c r="O8" s="26" t="s">
        <v>20</v>
      </c>
      <c r="P8" s="26" t="s">
        <v>20</v>
      </c>
      <c r="Q8" s="26" t="s">
        <v>20</v>
      </c>
      <c r="R8" s="26" t="s">
        <v>20</v>
      </c>
    </row>
    <row r="9" spans="2:18" ht="58.5" x14ac:dyDescent="0.35">
      <c r="B9" s="28">
        <v>11</v>
      </c>
      <c r="C9" s="28" t="s">
        <v>4825</v>
      </c>
      <c r="D9" s="28" t="s">
        <v>4825</v>
      </c>
      <c r="E9" s="108">
        <v>45444</v>
      </c>
      <c r="F9" s="109">
        <v>0.66805555555555551</v>
      </c>
      <c r="G9" s="28" t="s">
        <v>5624</v>
      </c>
      <c r="H9" s="131"/>
      <c r="I9" s="131"/>
      <c r="J9" s="131"/>
      <c r="K9" s="27" t="s">
        <v>20</v>
      </c>
      <c r="L9" s="27" t="s">
        <v>20</v>
      </c>
      <c r="M9" s="27" t="s">
        <v>20</v>
      </c>
      <c r="N9" s="27" t="s">
        <v>20</v>
      </c>
      <c r="O9" s="27" t="s">
        <v>20</v>
      </c>
      <c r="P9" s="27" t="s">
        <v>20</v>
      </c>
      <c r="Q9" s="27" t="s">
        <v>20</v>
      </c>
      <c r="R9" s="27" t="s">
        <v>20</v>
      </c>
    </row>
    <row r="10" spans="2:18" ht="39" x14ac:dyDescent="0.35">
      <c r="B10" s="28">
        <v>12</v>
      </c>
      <c r="C10" s="28" t="s">
        <v>4825</v>
      </c>
      <c r="D10" s="28" t="s">
        <v>4825</v>
      </c>
      <c r="E10" s="108">
        <v>45453</v>
      </c>
      <c r="F10" s="109">
        <v>0.71666666666666667</v>
      </c>
      <c r="G10" s="28" t="s">
        <v>5625</v>
      </c>
      <c r="H10" s="131"/>
      <c r="I10" s="131"/>
      <c r="J10" s="131"/>
      <c r="K10" s="27" t="s">
        <v>20</v>
      </c>
      <c r="L10" s="27" t="s">
        <v>20</v>
      </c>
      <c r="M10" s="27" t="s">
        <v>20</v>
      </c>
      <c r="N10" s="27" t="s">
        <v>20</v>
      </c>
      <c r="O10" s="27" t="s">
        <v>20</v>
      </c>
      <c r="P10" s="27" t="s">
        <v>20</v>
      </c>
      <c r="Q10" s="27" t="s">
        <v>20</v>
      </c>
      <c r="R10" s="27" t="s">
        <v>20</v>
      </c>
    </row>
    <row r="11" spans="2:18" ht="39" x14ac:dyDescent="0.35">
      <c r="B11" s="28">
        <v>13</v>
      </c>
      <c r="C11" s="28" t="s">
        <v>4825</v>
      </c>
      <c r="D11" s="28" t="s">
        <v>4825</v>
      </c>
      <c r="E11" s="108">
        <v>45454</v>
      </c>
      <c r="F11" s="109">
        <v>0.77430555555555558</v>
      </c>
      <c r="G11" s="28" t="s">
        <v>5626</v>
      </c>
      <c r="H11" s="131"/>
      <c r="I11" s="131"/>
      <c r="J11" s="131"/>
      <c r="K11" s="27" t="s">
        <v>20</v>
      </c>
      <c r="L11" s="27" t="s">
        <v>20</v>
      </c>
      <c r="M11" s="27" t="s">
        <v>20</v>
      </c>
      <c r="N11" s="27" t="s">
        <v>20</v>
      </c>
      <c r="O11" s="27" t="s">
        <v>20</v>
      </c>
      <c r="P11" s="27" t="s">
        <v>20</v>
      </c>
      <c r="Q11" s="27" t="s">
        <v>20</v>
      </c>
      <c r="R11" s="27" t="s">
        <v>20</v>
      </c>
    </row>
    <row r="12" spans="2:18" ht="58.5" x14ac:dyDescent="0.35">
      <c r="B12" s="28">
        <v>14</v>
      </c>
      <c r="C12" s="28" t="s">
        <v>4825</v>
      </c>
      <c r="D12" s="28" t="s">
        <v>4825</v>
      </c>
      <c r="E12" s="108">
        <v>45462</v>
      </c>
      <c r="F12" s="109">
        <v>0.49444444444444446</v>
      </c>
      <c r="G12" s="28" t="s">
        <v>5627</v>
      </c>
      <c r="H12" s="131"/>
      <c r="I12" s="131" t="s">
        <v>274</v>
      </c>
      <c r="J12" s="131"/>
      <c r="K12" s="27" t="s">
        <v>20</v>
      </c>
      <c r="L12" s="27" t="s">
        <v>20</v>
      </c>
      <c r="M12" s="27" t="s">
        <v>20</v>
      </c>
      <c r="N12" s="27" t="s">
        <v>20</v>
      </c>
      <c r="O12" s="27" t="s">
        <v>20</v>
      </c>
      <c r="P12" s="27" t="s">
        <v>20</v>
      </c>
      <c r="Q12" s="27" t="s">
        <v>20</v>
      </c>
      <c r="R12" s="27" t="s">
        <v>20</v>
      </c>
    </row>
    <row r="13" spans="2:18" ht="58.5" x14ac:dyDescent="0.35">
      <c r="B13" s="28">
        <v>15</v>
      </c>
      <c r="C13" s="28" t="s">
        <v>4825</v>
      </c>
      <c r="D13" s="28" t="s">
        <v>4825</v>
      </c>
      <c r="E13" s="108">
        <v>45469</v>
      </c>
      <c r="F13" s="109">
        <v>0.47222222222222221</v>
      </c>
      <c r="G13" s="28" t="s">
        <v>5628</v>
      </c>
      <c r="H13" s="131"/>
      <c r="I13" s="131"/>
      <c r="J13" s="131"/>
      <c r="K13" s="27" t="s">
        <v>20</v>
      </c>
      <c r="L13" s="27" t="s">
        <v>20</v>
      </c>
      <c r="M13" s="27" t="s">
        <v>20</v>
      </c>
      <c r="N13" s="27" t="s">
        <v>20</v>
      </c>
      <c r="O13" s="27" t="s">
        <v>20</v>
      </c>
      <c r="P13" s="27" t="s">
        <v>20</v>
      </c>
      <c r="Q13" s="27" t="s">
        <v>20</v>
      </c>
      <c r="R13" s="27" t="s">
        <v>20</v>
      </c>
    </row>
    <row r="14" spans="2:18" ht="39" x14ac:dyDescent="0.35">
      <c r="B14" s="28">
        <v>16</v>
      </c>
      <c r="C14" s="28" t="s">
        <v>4825</v>
      </c>
      <c r="D14" s="28" t="s">
        <v>4825</v>
      </c>
      <c r="E14" s="108">
        <v>45470</v>
      </c>
      <c r="F14" s="109">
        <v>0.80833333333333335</v>
      </c>
      <c r="G14" s="28" t="s">
        <v>5629</v>
      </c>
      <c r="H14" s="131"/>
      <c r="I14" s="131"/>
      <c r="J14" s="131"/>
      <c r="K14" s="27" t="s">
        <v>20</v>
      </c>
      <c r="L14" s="27" t="s">
        <v>20</v>
      </c>
      <c r="M14" s="27" t="s">
        <v>20</v>
      </c>
      <c r="N14" s="27" t="s">
        <v>20</v>
      </c>
      <c r="O14" s="27" t="s">
        <v>20</v>
      </c>
      <c r="P14" s="27" t="s">
        <v>20</v>
      </c>
      <c r="Q14" s="27" t="s">
        <v>20</v>
      </c>
      <c r="R14" s="27" t="s">
        <v>20</v>
      </c>
    </row>
    <row r="15" spans="2:18" ht="39" x14ac:dyDescent="0.35">
      <c r="B15" s="28">
        <v>17</v>
      </c>
      <c r="C15" s="28" t="s">
        <v>4825</v>
      </c>
      <c r="D15" s="28" t="s">
        <v>5682</v>
      </c>
      <c r="E15" s="108">
        <v>45453</v>
      </c>
      <c r="F15" s="109">
        <v>0.8305555555555556</v>
      </c>
      <c r="G15" s="28" t="s">
        <v>5630</v>
      </c>
      <c r="H15" s="131"/>
      <c r="I15" s="131"/>
      <c r="J15" s="131"/>
      <c r="K15" s="28" t="s">
        <v>127</v>
      </c>
      <c r="L15" s="28" t="s">
        <v>204</v>
      </c>
      <c r="M15" s="28" t="s">
        <v>20</v>
      </c>
      <c r="N15" s="28" t="s">
        <v>20</v>
      </c>
      <c r="O15" s="28" t="s">
        <v>20</v>
      </c>
      <c r="P15" s="28" t="s">
        <v>20</v>
      </c>
      <c r="Q15" s="28" t="s">
        <v>20</v>
      </c>
      <c r="R15" s="28" t="s">
        <v>20</v>
      </c>
    </row>
    <row r="16" spans="2:18" ht="39" x14ac:dyDescent="0.35">
      <c r="B16" s="28">
        <v>18</v>
      </c>
      <c r="C16" s="28" t="s">
        <v>4825</v>
      </c>
      <c r="D16" s="28" t="s">
        <v>5678</v>
      </c>
      <c r="E16" s="108">
        <v>45445</v>
      </c>
      <c r="F16" s="109">
        <v>0.73124999999999996</v>
      </c>
      <c r="G16" s="28" t="s">
        <v>5631</v>
      </c>
      <c r="H16" s="131"/>
      <c r="I16" s="131"/>
      <c r="J16" s="131"/>
      <c r="K16" s="28" t="s">
        <v>34</v>
      </c>
      <c r="L16" s="28" t="s">
        <v>5632</v>
      </c>
      <c r="M16" s="28" t="s">
        <v>20</v>
      </c>
      <c r="N16" s="28" t="s">
        <v>20</v>
      </c>
      <c r="O16" s="28" t="s">
        <v>20</v>
      </c>
      <c r="P16" s="28" t="s">
        <v>20</v>
      </c>
      <c r="Q16" s="28" t="s">
        <v>20</v>
      </c>
      <c r="R16" s="28" t="s">
        <v>20</v>
      </c>
    </row>
    <row r="17" spans="2:18" ht="58.5" x14ac:dyDescent="0.35">
      <c r="B17" s="28">
        <v>19</v>
      </c>
      <c r="C17" s="28" t="s">
        <v>4825</v>
      </c>
      <c r="D17" s="28" t="s">
        <v>5678</v>
      </c>
      <c r="E17" s="108">
        <v>45445</v>
      </c>
      <c r="F17" s="109">
        <v>0.75624999999999998</v>
      </c>
      <c r="G17" s="28" t="s">
        <v>5633</v>
      </c>
      <c r="H17" s="131"/>
      <c r="I17" s="131"/>
      <c r="J17" s="131"/>
      <c r="K17" s="26" t="s">
        <v>5634</v>
      </c>
      <c r="L17" s="28" t="s">
        <v>5635</v>
      </c>
      <c r="M17" s="28" t="s">
        <v>20</v>
      </c>
      <c r="N17" s="28" t="s">
        <v>20</v>
      </c>
      <c r="O17" s="28" t="s">
        <v>20</v>
      </c>
      <c r="P17" s="28" t="s">
        <v>20</v>
      </c>
      <c r="Q17" s="28" t="s">
        <v>20</v>
      </c>
      <c r="R17" s="28" t="s">
        <v>20</v>
      </c>
    </row>
    <row r="18" spans="2:18" ht="58.5" x14ac:dyDescent="0.35">
      <c r="B18" s="28">
        <v>20</v>
      </c>
      <c r="C18" s="28" t="s">
        <v>4825</v>
      </c>
      <c r="D18" s="28" t="s">
        <v>5678</v>
      </c>
      <c r="E18" s="108">
        <v>45457</v>
      </c>
      <c r="F18" s="109">
        <v>0.70833333333333337</v>
      </c>
      <c r="G18" s="28" t="s">
        <v>5636</v>
      </c>
      <c r="H18" s="131"/>
      <c r="I18" s="131"/>
      <c r="J18" s="131"/>
      <c r="K18" s="26" t="s">
        <v>5634</v>
      </c>
      <c r="L18" s="28" t="s">
        <v>1804</v>
      </c>
      <c r="M18" s="28" t="s">
        <v>20</v>
      </c>
      <c r="N18" s="28" t="s">
        <v>20</v>
      </c>
      <c r="O18" s="28" t="s">
        <v>20</v>
      </c>
      <c r="P18" s="28" t="s">
        <v>20</v>
      </c>
      <c r="Q18" s="28" t="s">
        <v>20</v>
      </c>
      <c r="R18" s="28" t="s">
        <v>20</v>
      </c>
    </row>
    <row r="19" spans="2:18" ht="58.5" x14ac:dyDescent="0.35">
      <c r="B19" s="28">
        <v>21</v>
      </c>
      <c r="C19" s="28" t="s">
        <v>4825</v>
      </c>
      <c r="D19" s="28" t="s">
        <v>5678</v>
      </c>
      <c r="E19" s="108">
        <v>45458</v>
      </c>
      <c r="F19" s="109">
        <v>0.69027777777777777</v>
      </c>
      <c r="G19" s="28" t="s">
        <v>5637</v>
      </c>
      <c r="H19" s="131"/>
      <c r="I19" s="131"/>
      <c r="J19" s="131"/>
      <c r="K19" s="26" t="s">
        <v>5634</v>
      </c>
      <c r="L19" s="28" t="s">
        <v>20</v>
      </c>
      <c r="M19" s="28" t="s">
        <v>20</v>
      </c>
      <c r="N19" s="28" t="s">
        <v>20</v>
      </c>
      <c r="O19" s="28" t="s">
        <v>20</v>
      </c>
      <c r="P19" s="28" t="s">
        <v>20</v>
      </c>
      <c r="Q19" s="28" t="s">
        <v>20</v>
      </c>
      <c r="R19" s="28" t="s">
        <v>20</v>
      </c>
    </row>
    <row r="20" spans="2:18" ht="39" x14ac:dyDescent="0.35">
      <c r="B20" s="28">
        <v>22</v>
      </c>
      <c r="C20" s="28" t="s">
        <v>4825</v>
      </c>
      <c r="D20" s="28" t="s">
        <v>5678</v>
      </c>
      <c r="E20" s="108">
        <v>45458</v>
      </c>
      <c r="F20" s="109">
        <v>0.82291666666666663</v>
      </c>
      <c r="G20" s="28" t="s">
        <v>5638</v>
      </c>
      <c r="H20" s="131"/>
      <c r="I20" s="131"/>
      <c r="J20" s="131"/>
      <c r="K20" s="26" t="s">
        <v>5634</v>
      </c>
      <c r="L20" s="28" t="s">
        <v>20</v>
      </c>
      <c r="M20" s="28" t="s">
        <v>20</v>
      </c>
      <c r="N20" s="28" t="s">
        <v>20</v>
      </c>
      <c r="O20" s="28" t="s">
        <v>20</v>
      </c>
      <c r="P20" s="28" t="s">
        <v>20</v>
      </c>
      <c r="Q20" s="28" t="s">
        <v>20</v>
      </c>
      <c r="R20" s="28" t="s">
        <v>20</v>
      </c>
    </row>
    <row r="21" spans="2:18" ht="58.5" x14ac:dyDescent="0.35">
      <c r="B21" s="28">
        <v>23</v>
      </c>
      <c r="C21" s="28" t="s">
        <v>4825</v>
      </c>
      <c r="D21" s="28" t="s">
        <v>5678</v>
      </c>
      <c r="E21" s="108">
        <v>45459</v>
      </c>
      <c r="F21" s="109">
        <v>0.49652777777777779</v>
      </c>
      <c r="G21" s="28" t="s">
        <v>5639</v>
      </c>
      <c r="H21" s="131"/>
      <c r="I21" s="131"/>
      <c r="J21" s="131"/>
      <c r="K21" s="28" t="s">
        <v>5634</v>
      </c>
      <c r="L21" s="28" t="s">
        <v>5284</v>
      </c>
      <c r="M21" s="28" t="s">
        <v>20</v>
      </c>
      <c r="N21" s="28" t="s">
        <v>20</v>
      </c>
      <c r="O21" s="28" t="s">
        <v>20</v>
      </c>
      <c r="P21" s="28" t="s">
        <v>20</v>
      </c>
      <c r="Q21" s="28" t="s">
        <v>20</v>
      </c>
      <c r="R21" s="28" t="s">
        <v>20</v>
      </c>
    </row>
    <row r="22" spans="2:18" ht="39" x14ac:dyDescent="0.35">
      <c r="B22" s="28">
        <v>24</v>
      </c>
      <c r="C22" s="28" t="s">
        <v>4825</v>
      </c>
      <c r="D22" s="28" t="s">
        <v>5678</v>
      </c>
      <c r="E22" s="108">
        <v>45462</v>
      </c>
      <c r="F22" s="109">
        <v>0.65625</v>
      </c>
      <c r="G22" s="28" t="s">
        <v>5640</v>
      </c>
      <c r="H22" s="131"/>
      <c r="I22" s="131"/>
      <c r="J22" s="131"/>
      <c r="K22" s="28" t="s">
        <v>5634</v>
      </c>
      <c r="L22" s="28" t="s">
        <v>20</v>
      </c>
      <c r="M22" s="28" t="s">
        <v>20</v>
      </c>
      <c r="N22" s="28" t="s">
        <v>20</v>
      </c>
      <c r="O22" s="28" t="s">
        <v>20</v>
      </c>
      <c r="P22" s="28" t="s">
        <v>20</v>
      </c>
      <c r="Q22" s="28" t="s">
        <v>20</v>
      </c>
      <c r="R22" s="28" t="s">
        <v>20</v>
      </c>
    </row>
    <row r="23" spans="2:18" ht="39" x14ac:dyDescent="0.35">
      <c r="B23" s="28">
        <v>25</v>
      </c>
      <c r="C23" s="28" t="s">
        <v>4825</v>
      </c>
      <c r="D23" s="28" t="s">
        <v>5678</v>
      </c>
      <c r="E23" s="108">
        <v>45464</v>
      </c>
      <c r="F23" s="109">
        <v>0.45833333333333331</v>
      </c>
      <c r="G23" s="26" t="s">
        <v>5641</v>
      </c>
      <c r="H23" s="131"/>
      <c r="I23" s="131"/>
      <c r="J23" s="131"/>
      <c r="K23" s="28" t="s">
        <v>5634</v>
      </c>
      <c r="L23" s="28" t="s">
        <v>20</v>
      </c>
      <c r="M23" s="28" t="s">
        <v>20</v>
      </c>
      <c r="N23" s="28" t="s">
        <v>20</v>
      </c>
      <c r="O23" s="28" t="s">
        <v>20</v>
      </c>
      <c r="P23" s="28" t="s">
        <v>20</v>
      </c>
      <c r="Q23" s="28" t="s">
        <v>20</v>
      </c>
      <c r="R23" s="28" t="s">
        <v>20</v>
      </c>
    </row>
    <row r="24" spans="2:18" ht="39" x14ac:dyDescent="0.35">
      <c r="B24" s="28">
        <v>26</v>
      </c>
      <c r="C24" s="28" t="s">
        <v>4825</v>
      </c>
      <c r="D24" s="28" t="s">
        <v>5678</v>
      </c>
      <c r="E24" s="108">
        <v>45464</v>
      </c>
      <c r="F24" s="109">
        <v>0.6020833333333333</v>
      </c>
      <c r="G24" s="28" t="s">
        <v>5642</v>
      </c>
      <c r="H24" s="131"/>
      <c r="I24" s="131"/>
      <c r="J24" s="131"/>
      <c r="K24" s="28" t="s">
        <v>5634</v>
      </c>
      <c r="L24" s="28" t="s">
        <v>20</v>
      </c>
      <c r="M24" s="28" t="s">
        <v>20</v>
      </c>
      <c r="N24" s="28" t="s">
        <v>20</v>
      </c>
      <c r="O24" s="28" t="s">
        <v>20</v>
      </c>
      <c r="P24" s="28" t="s">
        <v>20</v>
      </c>
      <c r="Q24" s="28" t="s">
        <v>20</v>
      </c>
      <c r="R24" s="28" t="s">
        <v>20</v>
      </c>
    </row>
    <row r="25" spans="2:18" ht="21" x14ac:dyDescent="0.25">
      <c r="B25" s="28">
        <v>27</v>
      </c>
      <c r="C25" s="28" t="s">
        <v>4825</v>
      </c>
      <c r="D25" s="28" t="s">
        <v>4825</v>
      </c>
      <c r="E25" s="28" t="s">
        <v>20</v>
      </c>
      <c r="F25" s="28" t="s">
        <v>20</v>
      </c>
      <c r="G25" s="28" t="s">
        <v>20</v>
      </c>
      <c r="H25" s="28" t="s">
        <v>20</v>
      </c>
      <c r="I25" s="28"/>
      <c r="J25" s="28" t="s">
        <v>20</v>
      </c>
      <c r="K25" s="27" t="s">
        <v>20</v>
      </c>
      <c r="L25" s="27" t="s">
        <v>20</v>
      </c>
      <c r="M25" s="27" t="s">
        <v>20</v>
      </c>
      <c r="N25" s="27" t="s">
        <v>20</v>
      </c>
      <c r="O25" s="27" t="s">
        <v>20</v>
      </c>
      <c r="P25" s="27" t="s">
        <v>20</v>
      </c>
      <c r="Q25" s="27" t="s">
        <v>20</v>
      </c>
      <c r="R25" s="27" t="s">
        <v>20</v>
      </c>
    </row>
    <row r="26" spans="2:18" ht="58.5" x14ac:dyDescent="0.25">
      <c r="B26" s="28">
        <v>28</v>
      </c>
      <c r="C26" s="28" t="s">
        <v>4825</v>
      </c>
      <c r="D26" s="28" t="s">
        <v>5678</v>
      </c>
      <c r="E26" s="108">
        <v>45492</v>
      </c>
      <c r="F26" s="109">
        <v>1.0416666666666666E-2</v>
      </c>
      <c r="G26" s="28" t="s">
        <v>5643</v>
      </c>
      <c r="H26" s="28" t="s">
        <v>406</v>
      </c>
      <c r="I26" s="28"/>
      <c r="J26" s="28" t="s">
        <v>5644</v>
      </c>
      <c r="K26" s="28" t="s">
        <v>5645</v>
      </c>
      <c r="L26" s="28" t="s">
        <v>5237</v>
      </c>
      <c r="M26" s="28" t="s">
        <v>20</v>
      </c>
      <c r="N26" s="28" t="s">
        <v>20</v>
      </c>
      <c r="O26" s="28" t="s">
        <v>20</v>
      </c>
      <c r="P26" s="28" t="s">
        <v>20</v>
      </c>
      <c r="Q26" s="28" t="s">
        <v>20</v>
      </c>
      <c r="R26" s="28" t="s">
        <v>20</v>
      </c>
    </row>
    <row r="27" spans="2:18" ht="39" x14ac:dyDescent="0.25">
      <c r="B27" s="28">
        <v>29</v>
      </c>
      <c r="C27" s="28" t="s">
        <v>4825</v>
      </c>
      <c r="D27" s="28" t="s">
        <v>5678</v>
      </c>
      <c r="E27" s="108">
        <v>45498</v>
      </c>
      <c r="F27" s="109">
        <v>0.85763888888888884</v>
      </c>
      <c r="G27" s="28" t="s">
        <v>5646</v>
      </c>
      <c r="H27" s="28" t="s">
        <v>5647</v>
      </c>
      <c r="I27" s="28"/>
      <c r="J27" s="28" t="s">
        <v>5648</v>
      </c>
      <c r="K27" s="28" t="s">
        <v>127</v>
      </c>
      <c r="L27" s="28" t="s">
        <v>5083</v>
      </c>
      <c r="M27" s="28" t="s">
        <v>20</v>
      </c>
      <c r="N27" s="28" t="s">
        <v>20</v>
      </c>
      <c r="O27" s="28" t="s">
        <v>20</v>
      </c>
      <c r="P27" s="28" t="s">
        <v>20</v>
      </c>
      <c r="Q27" s="28" t="s">
        <v>20</v>
      </c>
      <c r="R27" s="28" t="s">
        <v>20</v>
      </c>
    </row>
    <row r="28" spans="2:18" ht="19.5" x14ac:dyDescent="0.25">
      <c r="B28" s="28">
        <v>30</v>
      </c>
      <c r="C28" s="28" t="s">
        <v>4825</v>
      </c>
      <c r="D28" s="28" t="s">
        <v>5794</v>
      </c>
      <c r="E28" s="28" t="s">
        <v>20</v>
      </c>
      <c r="F28" s="28" t="s">
        <v>20</v>
      </c>
      <c r="G28" s="28" t="s">
        <v>20</v>
      </c>
      <c r="H28" s="28" t="s">
        <v>20</v>
      </c>
      <c r="I28" s="28"/>
      <c r="J28" s="28" t="s">
        <v>20</v>
      </c>
      <c r="K28" s="28" t="s">
        <v>20</v>
      </c>
      <c r="L28" s="28" t="s">
        <v>20</v>
      </c>
      <c r="M28" s="28" t="s">
        <v>20</v>
      </c>
      <c r="N28" s="28" t="s">
        <v>20</v>
      </c>
      <c r="O28" s="28" t="s">
        <v>20</v>
      </c>
      <c r="P28" s="28" t="s">
        <v>20</v>
      </c>
      <c r="Q28" s="28" t="s">
        <v>20</v>
      </c>
      <c r="R28" s="28" t="s">
        <v>20</v>
      </c>
    </row>
    <row r="29" spans="2:18" ht="39" x14ac:dyDescent="0.25">
      <c r="B29" s="28">
        <v>31</v>
      </c>
      <c r="C29" s="28" t="s">
        <v>4825</v>
      </c>
      <c r="D29" s="28" t="s">
        <v>4825</v>
      </c>
      <c r="E29" s="108">
        <v>45577</v>
      </c>
      <c r="F29" s="109">
        <v>0.76736111111111116</v>
      </c>
      <c r="G29" s="28" t="s">
        <v>5649</v>
      </c>
      <c r="H29" s="28" t="s">
        <v>5650</v>
      </c>
      <c r="I29" s="28"/>
      <c r="J29" s="28" t="s">
        <v>20</v>
      </c>
      <c r="K29" s="27" t="s">
        <v>20</v>
      </c>
      <c r="L29" s="27" t="s">
        <v>20</v>
      </c>
      <c r="M29" s="27" t="s">
        <v>20</v>
      </c>
      <c r="N29" s="27" t="s">
        <v>20</v>
      </c>
      <c r="O29" s="27" t="s">
        <v>20</v>
      </c>
      <c r="P29" s="27" t="s">
        <v>20</v>
      </c>
      <c r="Q29" s="27" t="s">
        <v>20</v>
      </c>
      <c r="R29" s="27" t="s">
        <v>20</v>
      </c>
    </row>
    <row r="30" spans="2:18" ht="39" x14ac:dyDescent="0.25">
      <c r="B30" s="28">
        <v>32</v>
      </c>
      <c r="C30" s="28" t="s">
        <v>4825</v>
      </c>
      <c r="D30" s="28" t="s">
        <v>4825</v>
      </c>
      <c r="E30" s="108">
        <v>45578</v>
      </c>
      <c r="F30" s="109">
        <v>0.35486111111111113</v>
      </c>
      <c r="G30" s="28" t="s">
        <v>5651</v>
      </c>
      <c r="H30" s="28" t="s">
        <v>5652</v>
      </c>
      <c r="I30" s="28"/>
      <c r="J30" s="28" t="s">
        <v>20</v>
      </c>
      <c r="K30" s="27" t="s">
        <v>20</v>
      </c>
      <c r="L30" s="27" t="s">
        <v>20</v>
      </c>
      <c r="M30" s="27" t="s">
        <v>20</v>
      </c>
      <c r="N30" s="27" t="s">
        <v>20</v>
      </c>
      <c r="O30" s="27" t="s">
        <v>20</v>
      </c>
      <c r="P30" s="27" t="s">
        <v>20</v>
      </c>
      <c r="Q30" s="27" t="s">
        <v>20</v>
      </c>
      <c r="R30" s="27" t="s">
        <v>20</v>
      </c>
    </row>
    <row r="31" spans="2:18" ht="21" x14ac:dyDescent="0.25">
      <c r="B31" s="28">
        <v>33</v>
      </c>
      <c r="C31" s="28" t="s">
        <v>4825</v>
      </c>
      <c r="D31" s="28" t="s">
        <v>4825</v>
      </c>
      <c r="E31" s="108">
        <v>45584</v>
      </c>
      <c r="F31" s="109">
        <v>0.83888888888888891</v>
      </c>
      <c r="G31" s="28" t="s">
        <v>5651</v>
      </c>
      <c r="H31" s="28" t="s">
        <v>5359</v>
      </c>
      <c r="I31" s="28"/>
      <c r="J31" s="28" t="s">
        <v>20</v>
      </c>
      <c r="K31" s="27" t="s">
        <v>20</v>
      </c>
      <c r="L31" s="27" t="s">
        <v>20</v>
      </c>
      <c r="M31" s="27" t="s">
        <v>20</v>
      </c>
      <c r="N31" s="27" t="s">
        <v>20</v>
      </c>
      <c r="O31" s="27" t="s">
        <v>20</v>
      </c>
      <c r="P31" s="27" t="s">
        <v>20</v>
      </c>
      <c r="Q31" s="27" t="s">
        <v>20</v>
      </c>
      <c r="R31" s="27" t="s">
        <v>20</v>
      </c>
    </row>
    <row r="32" spans="2:18" ht="21" x14ac:dyDescent="0.25">
      <c r="B32" s="28">
        <v>34</v>
      </c>
      <c r="C32" s="28" t="s">
        <v>4825</v>
      </c>
      <c r="D32" s="28" t="s">
        <v>4825</v>
      </c>
      <c r="E32" s="108">
        <v>45596</v>
      </c>
      <c r="F32" s="109">
        <v>0.84166666666666667</v>
      </c>
      <c r="G32" s="28" t="s">
        <v>5653</v>
      </c>
      <c r="H32" s="28" t="s">
        <v>5654</v>
      </c>
      <c r="I32" s="28"/>
      <c r="J32" s="28" t="s">
        <v>20</v>
      </c>
      <c r="K32" s="27" t="s">
        <v>20</v>
      </c>
      <c r="L32" s="27" t="s">
        <v>20</v>
      </c>
      <c r="M32" s="27" t="s">
        <v>20</v>
      </c>
      <c r="N32" s="27" t="s">
        <v>20</v>
      </c>
      <c r="O32" s="27" t="s">
        <v>20</v>
      </c>
      <c r="P32" s="27" t="s">
        <v>20</v>
      </c>
      <c r="Q32" s="27" t="s">
        <v>20</v>
      </c>
      <c r="R32" s="27" t="s">
        <v>20</v>
      </c>
    </row>
    <row r="33" spans="2:18" ht="21" x14ac:dyDescent="0.25">
      <c r="B33" s="28">
        <v>35</v>
      </c>
      <c r="C33" s="28" t="s">
        <v>4825</v>
      </c>
      <c r="D33" s="28" t="s">
        <v>4825</v>
      </c>
      <c r="E33" s="108">
        <v>45596</v>
      </c>
      <c r="F33" s="109">
        <v>0.89722222222222225</v>
      </c>
      <c r="G33" s="28" t="s">
        <v>5655</v>
      </c>
      <c r="H33" s="28" t="s">
        <v>5654</v>
      </c>
      <c r="I33" s="28"/>
      <c r="J33" s="28" t="s">
        <v>20</v>
      </c>
      <c r="K33" s="27" t="s">
        <v>1835</v>
      </c>
      <c r="L33" s="27" t="s">
        <v>5656</v>
      </c>
      <c r="M33" s="27" t="s">
        <v>20</v>
      </c>
      <c r="N33" s="27" t="s">
        <v>20</v>
      </c>
      <c r="O33" s="27" t="s">
        <v>20</v>
      </c>
      <c r="P33" s="27" t="s">
        <v>20</v>
      </c>
      <c r="Q33" s="27" t="s">
        <v>20</v>
      </c>
      <c r="R33" s="27" t="s">
        <v>20</v>
      </c>
    </row>
    <row r="34" spans="2:18" ht="39" x14ac:dyDescent="0.25">
      <c r="B34" s="28">
        <v>36</v>
      </c>
      <c r="C34" s="28" t="s">
        <v>4825</v>
      </c>
      <c r="D34" s="28" t="s">
        <v>5678</v>
      </c>
      <c r="E34" s="108">
        <v>45594</v>
      </c>
      <c r="F34" s="109">
        <v>0.8618055555555556</v>
      </c>
      <c r="G34" s="26" t="s">
        <v>5657</v>
      </c>
      <c r="H34" s="26" t="s">
        <v>5658</v>
      </c>
      <c r="I34" s="26"/>
      <c r="J34" s="26" t="s">
        <v>5659</v>
      </c>
      <c r="K34" s="28" t="s">
        <v>157</v>
      </c>
      <c r="L34" s="28" t="s">
        <v>5660</v>
      </c>
      <c r="M34" s="28" t="s">
        <v>20</v>
      </c>
      <c r="N34" s="28" t="s">
        <v>20</v>
      </c>
      <c r="O34" s="28" t="s">
        <v>20</v>
      </c>
      <c r="P34" s="28" t="s">
        <v>20</v>
      </c>
      <c r="Q34" s="28">
        <v>11</v>
      </c>
      <c r="R34" s="28" t="s">
        <v>20</v>
      </c>
    </row>
    <row r="35" spans="2:18" ht="39" x14ac:dyDescent="0.25">
      <c r="B35" s="28">
        <v>37</v>
      </c>
      <c r="C35" s="28" t="s">
        <v>4825</v>
      </c>
      <c r="D35" s="28" t="s">
        <v>5678</v>
      </c>
      <c r="E35" s="108">
        <v>45594</v>
      </c>
      <c r="F35" s="109">
        <v>0.8618055555555556</v>
      </c>
      <c r="G35" s="26" t="s">
        <v>5657</v>
      </c>
      <c r="H35" s="26" t="s">
        <v>5658</v>
      </c>
      <c r="I35" s="26"/>
      <c r="J35" s="26" t="s">
        <v>5659</v>
      </c>
      <c r="K35" s="28" t="s">
        <v>157</v>
      </c>
      <c r="L35" s="28" t="s">
        <v>5660</v>
      </c>
      <c r="M35" s="28" t="s">
        <v>20</v>
      </c>
      <c r="N35" s="28" t="s">
        <v>20</v>
      </c>
      <c r="O35" s="28" t="s">
        <v>20</v>
      </c>
      <c r="P35" s="28" t="s">
        <v>20</v>
      </c>
      <c r="Q35" s="28">
        <v>11</v>
      </c>
      <c r="R35" s="28" t="s">
        <v>20</v>
      </c>
    </row>
    <row r="36" spans="2:18" ht="39" x14ac:dyDescent="0.25">
      <c r="B36" s="28">
        <v>38</v>
      </c>
      <c r="C36" s="28" t="s">
        <v>4825</v>
      </c>
      <c r="D36" s="28" t="s">
        <v>5678</v>
      </c>
      <c r="E36" s="108">
        <v>45596</v>
      </c>
      <c r="F36" s="109">
        <v>3.8194444444444448E-2</v>
      </c>
      <c r="G36" s="26" t="s">
        <v>5661</v>
      </c>
      <c r="H36" s="26" t="s">
        <v>5662</v>
      </c>
      <c r="I36" s="26"/>
      <c r="J36" s="26" t="s">
        <v>347</v>
      </c>
      <c r="K36" s="28" t="s">
        <v>5663</v>
      </c>
      <c r="L36" s="162">
        <v>1000000</v>
      </c>
      <c r="M36" s="28" t="s">
        <v>20</v>
      </c>
      <c r="N36" s="28" t="s">
        <v>20</v>
      </c>
      <c r="O36" s="28" t="s">
        <v>20</v>
      </c>
      <c r="P36" s="28" t="s">
        <v>20</v>
      </c>
      <c r="Q36" s="28" t="s">
        <v>20</v>
      </c>
      <c r="R36" s="28" t="s">
        <v>20</v>
      </c>
    </row>
    <row r="37" spans="2:18" ht="39" x14ac:dyDescent="0.25">
      <c r="B37" s="28">
        <v>39</v>
      </c>
      <c r="C37" s="28" t="s">
        <v>4825</v>
      </c>
      <c r="D37" s="28" t="s">
        <v>4825</v>
      </c>
      <c r="E37" s="108">
        <v>45536</v>
      </c>
      <c r="F37" s="109">
        <v>0.35555555555555557</v>
      </c>
      <c r="G37" s="28" t="s">
        <v>5649</v>
      </c>
      <c r="H37" s="28" t="s">
        <v>5650</v>
      </c>
      <c r="I37" s="28"/>
      <c r="J37" s="28" t="s">
        <v>20</v>
      </c>
      <c r="K37" s="27" t="s">
        <v>20</v>
      </c>
      <c r="L37" s="27" t="s">
        <v>20</v>
      </c>
      <c r="M37" s="27" t="s">
        <v>20</v>
      </c>
      <c r="N37" s="27" t="s">
        <v>20</v>
      </c>
      <c r="O37" s="27" t="s">
        <v>20</v>
      </c>
      <c r="P37" s="27" t="s">
        <v>20</v>
      </c>
      <c r="Q37" s="27" t="s">
        <v>20</v>
      </c>
      <c r="R37" s="27" t="s">
        <v>20</v>
      </c>
    </row>
    <row r="38" spans="2:18" ht="58.5" x14ac:dyDescent="0.25">
      <c r="B38" s="28">
        <v>40</v>
      </c>
      <c r="C38" s="28" t="s">
        <v>4825</v>
      </c>
      <c r="D38" s="28" t="s">
        <v>5678</v>
      </c>
      <c r="E38" s="108">
        <v>45556</v>
      </c>
      <c r="F38" s="109">
        <v>0.55902777777777779</v>
      </c>
      <c r="G38" s="26" t="s">
        <v>5664</v>
      </c>
      <c r="H38" s="28" t="s">
        <v>5665</v>
      </c>
      <c r="I38" s="28"/>
      <c r="J38" s="26" t="s">
        <v>5666</v>
      </c>
      <c r="K38" s="28" t="s">
        <v>5270</v>
      </c>
      <c r="L38" s="28" t="s">
        <v>5667</v>
      </c>
      <c r="M38" s="28" t="s">
        <v>20</v>
      </c>
      <c r="N38" s="28" t="s">
        <v>20</v>
      </c>
      <c r="O38" s="28" t="s">
        <v>20</v>
      </c>
      <c r="P38" s="28" t="s">
        <v>20</v>
      </c>
      <c r="Q38" s="28" t="s">
        <v>20</v>
      </c>
      <c r="R38" s="28">
        <v>2</v>
      </c>
    </row>
    <row r="39" spans="2:18" ht="21" x14ac:dyDescent="0.25">
      <c r="B39" s="28">
        <v>42</v>
      </c>
      <c r="C39" s="28" t="s">
        <v>4825</v>
      </c>
      <c r="D39" s="28" t="s">
        <v>4825</v>
      </c>
      <c r="E39" s="108">
        <v>45597</v>
      </c>
      <c r="F39" s="109">
        <v>0.83194444444444449</v>
      </c>
      <c r="G39" s="28" t="s">
        <v>5668</v>
      </c>
      <c r="H39" s="28" t="s">
        <v>5669</v>
      </c>
      <c r="I39" s="28"/>
      <c r="J39" s="28" t="s">
        <v>5670</v>
      </c>
      <c r="K39" s="28" t="s">
        <v>127</v>
      </c>
      <c r="L39" s="28" t="s">
        <v>189</v>
      </c>
      <c r="M39" s="27" t="s">
        <v>20</v>
      </c>
      <c r="N39" s="27" t="s">
        <v>20</v>
      </c>
      <c r="O39" s="27" t="s">
        <v>20</v>
      </c>
      <c r="P39" s="27" t="s">
        <v>20</v>
      </c>
      <c r="Q39" s="27" t="s">
        <v>20</v>
      </c>
      <c r="R39" s="27" t="s">
        <v>20</v>
      </c>
    </row>
    <row r="40" spans="2:18" ht="21" x14ac:dyDescent="0.25">
      <c r="B40" s="28">
        <v>43</v>
      </c>
      <c r="C40" s="28" t="s">
        <v>4825</v>
      </c>
      <c r="D40" s="28" t="s">
        <v>4825</v>
      </c>
      <c r="E40" s="108">
        <v>45618</v>
      </c>
      <c r="F40" s="109">
        <v>0.5083333333333333</v>
      </c>
      <c r="G40" s="28" t="s">
        <v>5671</v>
      </c>
      <c r="H40" s="28" t="s">
        <v>5669</v>
      </c>
      <c r="I40" s="28"/>
      <c r="J40" s="28" t="s">
        <v>5670</v>
      </c>
      <c r="K40" s="162">
        <v>100000</v>
      </c>
      <c r="L40" s="162">
        <v>900000</v>
      </c>
      <c r="M40" s="27" t="s">
        <v>20</v>
      </c>
      <c r="N40" s="27" t="s">
        <v>20</v>
      </c>
      <c r="O40" s="27" t="s">
        <v>20</v>
      </c>
      <c r="P40" s="27" t="s">
        <v>20</v>
      </c>
      <c r="Q40" s="27" t="s">
        <v>20</v>
      </c>
      <c r="R40" s="27" t="s">
        <v>20</v>
      </c>
    </row>
    <row r="41" spans="2:18" ht="21" x14ac:dyDescent="0.25">
      <c r="B41" s="28">
        <v>44</v>
      </c>
      <c r="C41" s="28" t="s">
        <v>4825</v>
      </c>
      <c r="D41" s="28" t="s">
        <v>4825</v>
      </c>
      <c r="E41" s="108">
        <v>45626</v>
      </c>
      <c r="F41" s="109">
        <v>0.56666666666666665</v>
      </c>
      <c r="G41" s="28" t="s">
        <v>5672</v>
      </c>
      <c r="H41" s="28" t="s">
        <v>406</v>
      </c>
      <c r="I41" s="28"/>
      <c r="J41" s="28" t="s">
        <v>5670</v>
      </c>
      <c r="K41" s="162">
        <v>200000</v>
      </c>
      <c r="L41" s="162">
        <v>800000</v>
      </c>
      <c r="M41" s="27" t="s">
        <v>20</v>
      </c>
      <c r="N41" s="27" t="s">
        <v>20</v>
      </c>
      <c r="O41" s="27" t="s">
        <v>20</v>
      </c>
      <c r="P41" s="27" t="s">
        <v>20</v>
      </c>
      <c r="Q41" s="27" t="s">
        <v>20</v>
      </c>
      <c r="R41" s="27" t="s">
        <v>20</v>
      </c>
    </row>
    <row r="42" spans="2:18" ht="39" x14ac:dyDescent="0.25">
      <c r="B42" s="28">
        <v>47</v>
      </c>
      <c r="C42" s="28" t="s">
        <v>4825</v>
      </c>
      <c r="D42" s="28" t="s">
        <v>4825</v>
      </c>
      <c r="E42" s="108">
        <v>45638</v>
      </c>
      <c r="F42" s="109">
        <v>6.1805555555555558E-2</v>
      </c>
      <c r="G42" s="28" t="s">
        <v>5673</v>
      </c>
      <c r="H42" s="28" t="s">
        <v>5674</v>
      </c>
      <c r="I42" s="28"/>
      <c r="J42" s="28" t="s">
        <v>5675</v>
      </c>
      <c r="K42" s="28" t="s">
        <v>20</v>
      </c>
      <c r="L42" s="28" t="s">
        <v>20</v>
      </c>
      <c r="M42" s="28" t="s">
        <v>20</v>
      </c>
      <c r="N42" s="28" t="s">
        <v>20</v>
      </c>
      <c r="O42" s="28" t="s">
        <v>20</v>
      </c>
      <c r="P42" s="28" t="s">
        <v>20</v>
      </c>
      <c r="Q42" s="28" t="s">
        <v>20</v>
      </c>
      <c r="R42" s="28" t="s">
        <v>20</v>
      </c>
    </row>
    <row r="43" spans="2:18" ht="39" x14ac:dyDescent="0.25">
      <c r="B43" s="28">
        <v>48</v>
      </c>
      <c r="C43" s="28" t="s">
        <v>4825</v>
      </c>
      <c r="D43" s="28" t="s">
        <v>5678</v>
      </c>
      <c r="E43" s="108">
        <v>45638</v>
      </c>
      <c r="F43" s="109">
        <v>3.4027777777777775E-2</v>
      </c>
      <c r="G43" s="28" t="s">
        <v>5673</v>
      </c>
      <c r="H43" s="28" t="s">
        <v>5674</v>
      </c>
      <c r="I43" s="28"/>
      <c r="J43" s="28" t="s">
        <v>5675</v>
      </c>
      <c r="K43" s="28" t="s">
        <v>5676</v>
      </c>
      <c r="L43" s="28" t="s">
        <v>5677</v>
      </c>
      <c r="M43" s="28" t="s">
        <v>20</v>
      </c>
      <c r="N43" s="28" t="s">
        <v>20</v>
      </c>
      <c r="O43" s="28" t="s">
        <v>20</v>
      </c>
      <c r="P43" s="28" t="s">
        <v>20</v>
      </c>
      <c r="Q43" s="28" t="s">
        <v>20</v>
      </c>
      <c r="R43" s="28" t="s">
        <v>20</v>
      </c>
    </row>
    <row r="44" spans="2:18" ht="39" x14ac:dyDescent="0.25">
      <c r="B44" s="28">
        <v>50</v>
      </c>
      <c r="C44" s="28" t="s">
        <v>4825</v>
      </c>
      <c r="D44" s="28" t="s">
        <v>5678</v>
      </c>
      <c r="E44" s="108">
        <v>45637</v>
      </c>
      <c r="F44" s="109">
        <v>0.79374999999999996</v>
      </c>
      <c r="G44" s="28" t="s">
        <v>5679</v>
      </c>
      <c r="H44" s="28" t="s">
        <v>20</v>
      </c>
      <c r="I44" s="28"/>
      <c r="J44" s="28" t="s">
        <v>20</v>
      </c>
      <c r="K44" s="28" t="s">
        <v>20</v>
      </c>
      <c r="L44" s="28" t="s">
        <v>20</v>
      </c>
      <c r="M44" s="28" t="s">
        <v>20</v>
      </c>
      <c r="N44" s="28" t="s">
        <v>20</v>
      </c>
      <c r="O44" s="28" t="s">
        <v>20</v>
      </c>
      <c r="P44" s="28" t="s">
        <v>20</v>
      </c>
      <c r="Q44" s="28" t="s">
        <v>20</v>
      </c>
      <c r="R44" s="28" t="s">
        <v>20</v>
      </c>
    </row>
    <row r="45" spans="2:18" ht="19.5" x14ac:dyDescent="0.35">
      <c r="B45" s="28">
        <v>51</v>
      </c>
      <c r="C45" s="28" t="s">
        <v>4825</v>
      </c>
      <c r="D45" s="131" t="s">
        <v>4825</v>
      </c>
      <c r="E45" s="188">
        <v>45389</v>
      </c>
      <c r="F45" s="114"/>
      <c r="G45" s="131"/>
      <c r="H45" s="131" t="s">
        <v>406</v>
      </c>
      <c r="I45" s="131"/>
      <c r="J45" s="131"/>
      <c r="K45" s="131"/>
      <c r="L45" s="131"/>
      <c r="M45" s="131"/>
      <c r="N45" s="131"/>
      <c r="O45" s="131"/>
      <c r="P45" s="131"/>
      <c r="Q45" s="131"/>
      <c r="R45" s="131"/>
    </row>
    <row r="46" spans="2:18" ht="19.5" x14ac:dyDescent="0.35">
      <c r="B46" s="28">
        <v>52</v>
      </c>
      <c r="C46" s="28" t="s">
        <v>4825</v>
      </c>
      <c r="D46" s="131" t="s">
        <v>4825</v>
      </c>
      <c r="E46" s="188">
        <v>45409</v>
      </c>
      <c r="F46" s="114"/>
      <c r="G46" s="131"/>
      <c r="H46" s="131" t="s">
        <v>502</v>
      </c>
      <c r="I46" s="131"/>
      <c r="J46" s="131"/>
      <c r="K46" s="131"/>
      <c r="L46" s="131"/>
      <c r="M46" s="131"/>
      <c r="N46" s="131"/>
      <c r="O46" s="131"/>
      <c r="P46" s="131"/>
      <c r="Q46" s="131"/>
      <c r="R46" s="131"/>
    </row>
    <row r="47" spans="2:18" ht="19.5" x14ac:dyDescent="0.35">
      <c r="B47" s="28">
        <v>53</v>
      </c>
      <c r="C47" s="28" t="s">
        <v>4825</v>
      </c>
      <c r="D47" s="131" t="s">
        <v>4825</v>
      </c>
      <c r="E47" s="188">
        <v>45411</v>
      </c>
      <c r="F47" s="114"/>
      <c r="G47" s="131"/>
      <c r="H47" s="131" t="s">
        <v>406</v>
      </c>
      <c r="I47" s="131"/>
      <c r="J47" s="131"/>
      <c r="K47" s="131"/>
      <c r="L47" s="131"/>
      <c r="M47" s="131"/>
      <c r="N47" s="131"/>
      <c r="O47" s="131"/>
      <c r="P47" s="131"/>
      <c r="Q47" s="131"/>
      <c r="R47" s="131"/>
    </row>
    <row r="48" spans="2:18" ht="19.5" x14ac:dyDescent="0.35">
      <c r="B48" s="28">
        <v>54</v>
      </c>
      <c r="C48" s="28" t="s">
        <v>4825</v>
      </c>
      <c r="D48" s="131" t="s">
        <v>4825</v>
      </c>
      <c r="E48" s="188">
        <v>45412</v>
      </c>
      <c r="F48" s="114"/>
      <c r="G48" s="131"/>
      <c r="H48" s="131" t="s">
        <v>502</v>
      </c>
      <c r="I48" s="131"/>
      <c r="J48" s="131"/>
      <c r="K48" s="131"/>
      <c r="L48" s="131"/>
      <c r="M48" s="131"/>
      <c r="N48" s="131"/>
      <c r="O48" s="131"/>
      <c r="P48" s="131"/>
      <c r="Q48" s="131"/>
      <c r="R48" s="131"/>
    </row>
    <row r="49" spans="2:18" ht="19.5" x14ac:dyDescent="0.35">
      <c r="B49" s="28">
        <v>55</v>
      </c>
      <c r="C49" s="28" t="s">
        <v>4825</v>
      </c>
      <c r="D49" s="131" t="s">
        <v>5678</v>
      </c>
      <c r="E49" s="188">
        <v>45385</v>
      </c>
      <c r="F49" s="114"/>
      <c r="G49" s="131"/>
      <c r="H49" s="131" t="s">
        <v>502</v>
      </c>
      <c r="I49" s="131"/>
      <c r="J49" s="131"/>
      <c r="K49" s="131"/>
      <c r="L49" s="131"/>
      <c r="M49" s="131"/>
      <c r="N49" s="131"/>
      <c r="O49" s="131"/>
      <c r="P49" s="131"/>
      <c r="Q49" s="131"/>
      <c r="R49" s="131"/>
    </row>
    <row r="50" spans="2:18" ht="19.5" x14ac:dyDescent="0.35">
      <c r="B50" s="28">
        <v>56</v>
      </c>
      <c r="C50" s="28" t="s">
        <v>4825</v>
      </c>
      <c r="D50" s="131" t="s">
        <v>5678</v>
      </c>
      <c r="E50" s="188">
        <v>45385</v>
      </c>
      <c r="F50" s="114"/>
      <c r="G50" s="131"/>
      <c r="H50" s="131" t="s">
        <v>502</v>
      </c>
      <c r="I50" s="131"/>
      <c r="J50" s="131"/>
      <c r="K50" s="131"/>
      <c r="L50" s="131"/>
      <c r="M50" s="131"/>
      <c r="N50" s="131"/>
      <c r="O50" s="131"/>
      <c r="P50" s="131"/>
      <c r="Q50" s="131"/>
      <c r="R50" s="131"/>
    </row>
    <row r="51" spans="2:18" ht="19.5" x14ac:dyDescent="0.35">
      <c r="B51" s="28">
        <v>57</v>
      </c>
      <c r="C51" s="28" t="s">
        <v>4825</v>
      </c>
      <c r="D51" s="131" t="s">
        <v>5678</v>
      </c>
      <c r="E51" s="188">
        <v>45387</v>
      </c>
      <c r="F51" s="114"/>
      <c r="G51" s="131"/>
      <c r="H51" s="131" t="s">
        <v>502</v>
      </c>
      <c r="I51" s="131"/>
      <c r="J51" s="131"/>
      <c r="K51" s="131"/>
      <c r="L51" s="131"/>
      <c r="M51" s="131"/>
      <c r="N51" s="131"/>
      <c r="O51" s="131"/>
      <c r="P51" s="131"/>
      <c r="Q51" s="131"/>
      <c r="R51" s="131"/>
    </row>
    <row r="52" spans="2:18" ht="19.5" x14ac:dyDescent="0.35">
      <c r="B52" s="28">
        <v>58</v>
      </c>
      <c r="C52" s="28" t="s">
        <v>4825</v>
      </c>
      <c r="D52" s="131" t="s">
        <v>5678</v>
      </c>
      <c r="E52" s="188">
        <v>45403</v>
      </c>
      <c r="F52" s="114"/>
      <c r="G52" s="131"/>
      <c r="H52" s="131" t="s">
        <v>5680</v>
      </c>
      <c r="I52" s="131"/>
      <c r="J52" s="131"/>
      <c r="K52" s="131"/>
      <c r="L52" s="131"/>
      <c r="M52" s="131"/>
      <c r="N52" s="131"/>
      <c r="O52" s="131"/>
      <c r="P52" s="131"/>
      <c r="Q52" s="131"/>
      <c r="R52" s="131"/>
    </row>
    <row r="53" spans="2:18" ht="19.5" x14ac:dyDescent="0.35">
      <c r="B53" s="28">
        <v>59</v>
      </c>
      <c r="C53" s="28" t="s">
        <v>4825</v>
      </c>
      <c r="D53" s="131" t="s">
        <v>5678</v>
      </c>
      <c r="E53" s="188">
        <v>45408</v>
      </c>
      <c r="F53" s="114"/>
      <c r="G53" s="131"/>
      <c r="H53" s="131" t="s">
        <v>5681</v>
      </c>
      <c r="I53" s="131"/>
      <c r="J53" s="131"/>
      <c r="K53" s="131"/>
      <c r="L53" s="131"/>
      <c r="M53" s="131"/>
      <c r="N53" s="131"/>
      <c r="O53" s="131"/>
      <c r="P53" s="131"/>
      <c r="Q53" s="131"/>
      <c r="R53" s="131"/>
    </row>
    <row r="54" spans="2:18" ht="19.5" x14ac:dyDescent="0.35">
      <c r="B54" s="28">
        <v>60</v>
      </c>
      <c r="C54" s="28" t="s">
        <v>4825</v>
      </c>
      <c r="D54" s="131" t="s">
        <v>4825</v>
      </c>
      <c r="E54" s="188">
        <v>45384</v>
      </c>
      <c r="F54" s="114"/>
      <c r="G54" s="131"/>
      <c r="H54" s="131"/>
      <c r="I54" s="131"/>
      <c r="J54" s="131" t="s">
        <v>2443</v>
      </c>
      <c r="K54" s="131"/>
      <c r="L54" s="131"/>
      <c r="M54" s="131"/>
      <c r="N54" s="131"/>
      <c r="O54" s="131"/>
      <c r="P54" s="131"/>
      <c r="Q54" s="131"/>
      <c r="R54" s="131"/>
    </row>
    <row r="55" spans="2:18" ht="19.5" x14ac:dyDescent="0.35">
      <c r="B55" s="28">
        <v>61</v>
      </c>
      <c r="C55" s="28" t="s">
        <v>4825</v>
      </c>
      <c r="D55" s="131" t="s">
        <v>4825</v>
      </c>
      <c r="E55" s="188">
        <v>45386</v>
      </c>
      <c r="F55" s="114"/>
      <c r="G55" s="131"/>
      <c r="H55" s="131"/>
      <c r="I55" s="131"/>
      <c r="J55" s="131" t="s">
        <v>2443</v>
      </c>
      <c r="K55" s="131"/>
      <c r="L55" s="131"/>
      <c r="M55" s="131"/>
      <c r="N55" s="131"/>
      <c r="O55" s="131"/>
      <c r="P55" s="131"/>
      <c r="Q55" s="131"/>
      <c r="R55" s="131"/>
    </row>
    <row r="56" spans="2:18" ht="19.5" x14ac:dyDescent="0.35">
      <c r="B56" s="28">
        <v>62</v>
      </c>
      <c r="C56" s="28" t="s">
        <v>4825</v>
      </c>
      <c r="D56" s="131" t="s">
        <v>4825</v>
      </c>
      <c r="E56" s="188">
        <v>45389</v>
      </c>
      <c r="F56" s="114"/>
      <c r="G56" s="131"/>
      <c r="H56" s="131"/>
      <c r="I56" s="131"/>
      <c r="J56" s="131" t="s">
        <v>2443</v>
      </c>
      <c r="K56" s="131"/>
      <c r="L56" s="131"/>
      <c r="M56" s="131"/>
      <c r="N56" s="131"/>
      <c r="O56" s="131"/>
      <c r="P56" s="131"/>
      <c r="Q56" s="131"/>
      <c r="R56" s="131"/>
    </row>
    <row r="57" spans="2:18" ht="19.5" x14ac:dyDescent="0.35">
      <c r="B57" s="28">
        <v>63</v>
      </c>
      <c r="C57" s="28" t="s">
        <v>4825</v>
      </c>
      <c r="D57" s="131" t="s">
        <v>4825</v>
      </c>
      <c r="E57" s="188">
        <v>45392</v>
      </c>
      <c r="F57" s="114"/>
      <c r="G57" s="131"/>
      <c r="H57" s="131"/>
      <c r="I57" s="131"/>
      <c r="J57" s="131" t="s">
        <v>2443</v>
      </c>
      <c r="K57" s="131"/>
      <c r="L57" s="131"/>
      <c r="M57" s="131"/>
      <c r="N57" s="131"/>
      <c r="O57" s="131"/>
      <c r="P57" s="131"/>
      <c r="Q57" s="131"/>
      <c r="R57" s="131"/>
    </row>
    <row r="58" spans="2:18" ht="19.5" x14ac:dyDescent="0.35">
      <c r="B58" s="28">
        <v>64</v>
      </c>
      <c r="C58" s="28" t="s">
        <v>4825</v>
      </c>
      <c r="D58" s="131" t="s">
        <v>4825</v>
      </c>
      <c r="E58" s="188">
        <v>45400</v>
      </c>
      <c r="F58" s="114"/>
      <c r="G58" s="131"/>
      <c r="H58" s="131"/>
      <c r="I58" s="131"/>
      <c r="J58" s="131" t="s">
        <v>2443</v>
      </c>
      <c r="K58" s="131"/>
      <c r="L58" s="131"/>
      <c r="M58" s="131"/>
      <c r="N58" s="131"/>
      <c r="O58" s="131"/>
      <c r="P58" s="131"/>
      <c r="Q58" s="131"/>
      <c r="R58" s="131"/>
    </row>
    <row r="59" spans="2:18" ht="19.5" x14ac:dyDescent="0.35">
      <c r="B59" s="28">
        <v>65</v>
      </c>
      <c r="C59" s="28" t="s">
        <v>4825</v>
      </c>
      <c r="D59" s="131" t="s">
        <v>4825</v>
      </c>
      <c r="E59" s="188">
        <v>45400</v>
      </c>
      <c r="F59" s="114"/>
      <c r="G59" s="131"/>
      <c r="H59" s="131"/>
      <c r="I59" s="131"/>
      <c r="J59" s="131" t="s">
        <v>2443</v>
      </c>
      <c r="K59" s="131"/>
      <c r="L59" s="131"/>
      <c r="M59" s="131"/>
      <c r="N59" s="131"/>
      <c r="O59" s="131"/>
      <c r="P59" s="131"/>
      <c r="Q59" s="131"/>
      <c r="R59" s="131"/>
    </row>
    <row r="60" spans="2:18" ht="19.5" x14ac:dyDescent="0.35">
      <c r="B60" s="28">
        <v>66</v>
      </c>
      <c r="C60" s="28" t="s">
        <v>4825</v>
      </c>
      <c r="D60" s="131" t="s">
        <v>4825</v>
      </c>
      <c r="E60" s="188">
        <v>45400</v>
      </c>
      <c r="F60" s="114"/>
      <c r="G60" s="131"/>
      <c r="H60" s="131"/>
      <c r="I60" s="131"/>
      <c r="J60" s="131" t="s">
        <v>2443</v>
      </c>
      <c r="K60" s="131"/>
      <c r="L60" s="131"/>
      <c r="M60" s="131"/>
      <c r="N60" s="131"/>
      <c r="O60" s="131"/>
      <c r="P60" s="131"/>
      <c r="Q60" s="131"/>
      <c r="R60" s="131"/>
    </row>
    <row r="61" spans="2:18" ht="19.5" x14ac:dyDescent="0.35">
      <c r="B61" s="28">
        <v>67</v>
      </c>
      <c r="C61" s="28" t="s">
        <v>4825</v>
      </c>
      <c r="D61" s="131" t="s">
        <v>4825</v>
      </c>
      <c r="E61" s="188">
        <v>45401</v>
      </c>
      <c r="F61" s="114"/>
      <c r="G61" s="131"/>
      <c r="H61" s="131"/>
      <c r="I61" s="131"/>
      <c r="J61" s="131" t="s">
        <v>2443</v>
      </c>
      <c r="K61" s="131"/>
      <c r="L61" s="131"/>
      <c r="M61" s="131"/>
      <c r="N61" s="131"/>
      <c r="O61" s="131"/>
      <c r="P61" s="131"/>
      <c r="Q61" s="131"/>
      <c r="R61" s="131"/>
    </row>
    <row r="62" spans="2:18" ht="19.5" x14ac:dyDescent="0.35">
      <c r="B62" s="28">
        <v>68</v>
      </c>
      <c r="C62" s="28" t="s">
        <v>4825</v>
      </c>
      <c r="D62" s="131" t="s">
        <v>4825</v>
      </c>
      <c r="E62" s="188">
        <v>45401</v>
      </c>
      <c r="F62" s="114"/>
      <c r="G62" s="131"/>
      <c r="H62" s="131"/>
      <c r="I62" s="131"/>
      <c r="J62" s="131" t="s">
        <v>2443</v>
      </c>
      <c r="K62" s="131"/>
      <c r="L62" s="131"/>
      <c r="M62" s="131"/>
      <c r="N62" s="131"/>
      <c r="O62" s="131"/>
      <c r="P62" s="131"/>
      <c r="Q62" s="131"/>
      <c r="R62" s="131"/>
    </row>
    <row r="63" spans="2:18" ht="19.5" x14ac:dyDescent="0.35">
      <c r="B63" s="28">
        <v>69</v>
      </c>
      <c r="C63" s="28" t="s">
        <v>4825</v>
      </c>
      <c r="D63" s="131" t="s">
        <v>4825</v>
      </c>
      <c r="E63" s="188">
        <v>45401</v>
      </c>
      <c r="F63" s="114"/>
      <c r="G63" s="131"/>
      <c r="H63" s="131"/>
      <c r="I63" s="131"/>
      <c r="J63" s="131" t="s">
        <v>2443</v>
      </c>
      <c r="K63" s="131"/>
      <c r="L63" s="131"/>
      <c r="M63" s="131"/>
      <c r="N63" s="131"/>
      <c r="O63" s="131"/>
      <c r="P63" s="131"/>
      <c r="Q63" s="131"/>
      <c r="R63" s="131"/>
    </row>
    <row r="64" spans="2:18" ht="19.5" x14ac:dyDescent="0.35">
      <c r="B64" s="28">
        <v>70</v>
      </c>
      <c r="C64" s="28" t="s">
        <v>4825</v>
      </c>
      <c r="D64" s="131" t="s">
        <v>4825</v>
      </c>
      <c r="E64" s="188">
        <v>45402</v>
      </c>
      <c r="F64" s="114"/>
      <c r="G64" s="131"/>
      <c r="H64" s="131"/>
      <c r="I64" s="131"/>
      <c r="J64" s="131" t="s">
        <v>2443</v>
      </c>
      <c r="K64" s="131"/>
      <c r="L64" s="131"/>
      <c r="M64" s="131"/>
      <c r="N64" s="131"/>
      <c r="O64" s="131"/>
      <c r="P64" s="131"/>
      <c r="Q64" s="131"/>
      <c r="R64" s="131"/>
    </row>
    <row r="65" spans="2:18" ht="19.5" x14ac:dyDescent="0.35">
      <c r="B65" s="28">
        <v>71</v>
      </c>
      <c r="C65" s="28" t="s">
        <v>4825</v>
      </c>
      <c r="D65" s="131" t="s">
        <v>4825</v>
      </c>
      <c r="E65" s="188">
        <v>45402</v>
      </c>
      <c r="F65" s="114"/>
      <c r="G65" s="131"/>
      <c r="H65" s="131"/>
      <c r="I65" s="131"/>
      <c r="J65" s="131" t="s">
        <v>2443</v>
      </c>
      <c r="K65" s="131"/>
      <c r="L65" s="131"/>
      <c r="M65" s="131"/>
      <c r="N65" s="131"/>
      <c r="O65" s="131"/>
      <c r="P65" s="131"/>
      <c r="Q65" s="131"/>
      <c r="R65" s="131"/>
    </row>
    <row r="66" spans="2:18" ht="19.5" x14ac:dyDescent="0.35">
      <c r="B66" s="28">
        <v>72</v>
      </c>
      <c r="C66" s="28" t="s">
        <v>4825</v>
      </c>
      <c r="D66" s="131" t="s">
        <v>4825</v>
      </c>
      <c r="E66" s="188">
        <v>45402</v>
      </c>
      <c r="F66" s="114"/>
      <c r="G66" s="131"/>
      <c r="H66" s="131"/>
      <c r="I66" s="131"/>
      <c r="J66" s="131" t="s">
        <v>2443</v>
      </c>
      <c r="K66" s="131"/>
      <c r="L66" s="131"/>
      <c r="M66" s="131"/>
      <c r="N66" s="131"/>
      <c r="O66" s="131"/>
      <c r="P66" s="131"/>
      <c r="Q66" s="131"/>
      <c r="R66" s="131"/>
    </row>
    <row r="67" spans="2:18" ht="19.5" x14ac:dyDescent="0.35">
      <c r="B67" s="28">
        <v>73</v>
      </c>
      <c r="C67" s="28" t="s">
        <v>4825</v>
      </c>
      <c r="D67" s="131" t="s">
        <v>4825</v>
      </c>
      <c r="E67" s="188">
        <v>45404</v>
      </c>
      <c r="F67" s="114"/>
      <c r="G67" s="131"/>
      <c r="H67" s="131"/>
      <c r="I67" s="131"/>
      <c r="J67" s="131" t="s">
        <v>2443</v>
      </c>
      <c r="K67" s="131"/>
      <c r="L67" s="131"/>
      <c r="M67" s="131"/>
      <c r="N67" s="131"/>
      <c r="O67" s="131"/>
      <c r="P67" s="131"/>
      <c r="Q67" s="131"/>
      <c r="R67" s="131"/>
    </row>
    <row r="68" spans="2:18" ht="19.5" x14ac:dyDescent="0.35">
      <c r="B68" s="28">
        <v>74</v>
      </c>
      <c r="C68" s="28" t="s">
        <v>4825</v>
      </c>
      <c r="D68" s="131" t="s">
        <v>4825</v>
      </c>
      <c r="E68" s="188">
        <v>45408</v>
      </c>
      <c r="F68" s="114"/>
      <c r="G68" s="131"/>
      <c r="H68" s="131"/>
      <c r="I68" s="131"/>
      <c r="J68" s="131" t="s">
        <v>2443</v>
      </c>
      <c r="K68" s="131"/>
      <c r="L68" s="131"/>
      <c r="M68" s="131"/>
      <c r="N68" s="131"/>
      <c r="O68" s="131"/>
      <c r="P68" s="131"/>
      <c r="Q68" s="131"/>
      <c r="R68" s="131"/>
    </row>
    <row r="69" spans="2:18" ht="19.5" x14ac:dyDescent="0.35">
      <c r="B69" s="28">
        <v>75</v>
      </c>
      <c r="C69" s="28" t="s">
        <v>4825</v>
      </c>
      <c r="D69" s="131" t="s">
        <v>4825</v>
      </c>
      <c r="E69" s="188">
        <v>45408</v>
      </c>
      <c r="F69" s="114"/>
      <c r="G69" s="131"/>
      <c r="H69" s="131"/>
      <c r="I69" s="131"/>
      <c r="J69" s="131" t="s">
        <v>2443</v>
      </c>
      <c r="K69" s="131"/>
      <c r="L69" s="131"/>
      <c r="M69" s="131"/>
      <c r="N69" s="131"/>
      <c r="O69" s="131"/>
      <c r="P69" s="131"/>
      <c r="Q69" s="131"/>
      <c r="R69" s="131"/>
    </row>
    <row r="70" spans="2:18" ht="19.5" x14ac:dyDescent="0.35">
      <c r="B70" s="28">
        <v>76</v>
      </c>
      <c r="C70" s="28" t="s">
        <v>4825</v>
      </c>
      <c r="D70" s="131" t="s">
        <v>4825</v>
      </c>
      <c r="E70" s="188">
        <v>45408</v>
      </c>
      <c r="F70" s="114"/>
      <c r="G70" s="131"/>
      <c r="H70" s="131"/>
      <c r="I70" s="131"/>
      <c r="J70" s="131" t="s">
        <v>2443</v>
      </c>
      <c r="K70" s="131"/>
      <c r="L70" s="131"/>
      <c r="M70" s="131"/>
      <c r="N70" s="131"/>
      <c r="O70" s="131"/>
      <c r="P70" s="131"/>
      <c r="Q70" s="131"/>
      <c r="R70" s="131"/>
    </row>
    <row r="71" spans="2:18" ht="19.5" x14ac:dyDescent="0.35">
      <c r="B71" s="28">
        <v>77</v>
      </c>
      <c r="C71" s="28" t="s">
        <v>4825</v>
      </c>
      <c r="D71" s="131" t="s">
        <v>4825</v>
      </c>
      <c r="E71" s="188">
        <v>45408</v>
      </c>
      <c r="F71" s="114"/>
      <c r="G71" s="131"/>
      <c r="H71" s="131"/>
      <c r="I71" s="131"/>
      <c r="J71" s="131" t="s">
        <v>2443</v>
      </c>
      <c r="K71" s="131"/>
      <c r="L71" s="131"/>
      <c r="M71" s="131"/>
      <c r="N71" s="131"/>
      <c r="O71" s="131"/>
      <c r="P71" s="131"/>
      <c r="Q71" s="131"/>
      <c r="R71" s="131"/>
    </row>
    <row r="72" spans="2:18" ht="19.5" x14ac:dyDescent="0.35">
      <c r="B72" s="28">
        <v>78</v>
      </c>
      <c r="C72" s="28" t="s">
        <v>4825</v>
      </c>
      <c r="D72" s="131" t="s">
        <v>4825</v>
      </c>
      <c r="E72" s="188">
        <v>45408</v>
      </c>
      <c r="F72" s="114"/>
      <c r="G72" s="131"/>
      <c r="H72" s="131"/>
      <c r="I72" s="131"/>
      <c r="J72" s="131" t="s">
        <v>2443</v>
      </c>
      <c r="K72" s="131"/>
      <c r="L72" s="131"/>
      <c r="M72" s="131"/>
      <c r="N72" s="131"/>
      <c r="O72" s="131"/>
      <c r="P72" s="131"/>
      <c r="Q72" s="131"/>
      <c r="R72" s="131"/>
    </row>
    <row r="73" spans="2:18" ht="19.5" x14ac:dyDescent="0.35">
      <c r="B73" s="28">
        <v>79</v>
      </c>
      <c r="C73" s="28" t="s">
        <v>4825</v>
      </c>
      <c r="D73" s="131" t="s">
        <v>4825</v>
      </c>
      <c r="E73" s="188">
        <v>45408</v>
      </c>
      <c r="F73" s="114"/>
      <c r="G73" s="131"/>
      <c r="H73" s="131"/>
      <c r="I73" s="131"/>
      <c r="J73" s="131" t="s">
        <v>2443</v>
      </c>
      <c r="K73" s="131"/>
      <c r="L73" s="131"/>
      <c r="M73" s="131"/>
      <c r="N73" s="131"/>
      <c r="O73" s="131"/>
      <c r="P73" s="131"/>
      <c r="Q73" s="131"/>
      <c r="R73" s="131"/>
    </row>
    <row r="74" spans="2:18" ht="19.5" x14ac:dyDescent="0.35">
      <c r="B74" s="28">
        <v>80</v>
      </c>
      <c r="C74" s="28" t="s">
        <v>4825</v>
      </c>
      <c r="D74" s="131" t="s">
        <v>4825</v>
      </c>
      <c r="E74" s="188">
        <v>45409</v>
      </c>
      <c r="F74" s="114"/>
      <c r="G74" s="131"/>
      <c r="H74" s="131"/>
      <c r="I74" s="131"/>
      <c r="J74" s="131" t="s">
        <v>2443</v>
      </c>
      <c r="K74" s="131"/>
      <c r="L74" s="131"/>
      <c r="M74" s="131"/>
      <c r="N74" s="131"/>
      <c r="O74" s="131"/>
      <c r="P74" s="131"/>
      <c r="Q74" s="131"/>
      <c r="R74" s="131"/>
    </row>
    <row r="75" spans="2:18" ht="19.5" x14ac:dyDescent="0.35">
      <c r="B75" s="28">
        <v>81</v>
      </c>
      <c r="C75" s="28" t="s">
        <v>4825</v>
      </c>
      <c r="D75" s="131" t="s">
        <v>4825</v>
      </c>
      <c r="E75" s="188">
        <v>45409</v>
      </c>
      <c r="F75" s="114"/>
      <c r="G75" s="131"/>
      <c r="H75" s="131"/>
      <c r="I75" s="131"/>
      <c r="J75" s="131" t="s">
        <v>2443</v>
      </c>
      <c r="K75" s="131"/>
      <c r="L75" s="131"/>
      <c r="M75" s="131"/>
      <c r="N75" s="131"/>
      <c r="O75" s="131"/>
      <c r="P75" s="131"/>
      <c r="Q75" s="131"/>
      <c r="R75" s="131"/>
    </row>
    <row r="76" spans="2:18" ht="19.5" x14ac:dyDescent="0.35">
      <c r="B76" s="28">
        <v>82</v>
      </c>
      <c r="C76" s="28" t="s">
        <v>4825</v>
      </c>
      <c r="D76" s="131" t="s">
        <v>4825</v>
      </c>
      <c r="E76" s="188">
        <v>45410</v>
      </c>
      <c r="F76" s="114"/>
      <c r="G76" s="131"/>
      <c r="H76" s="131"/>
      <c r="I76" s="131"/>
      <c r="J76" s="131" t="s">
        <v>2443</v>
      </c>
      <c r="K76" s="131"/>
      <c r="L76" s="131"/>
      <c r="M76" s="131"/>
      <c r="N76" s="131"/>
      <c r="O76" s="131"/>
      <c r="P76" s="131"/>
      <c r="Q76" s="131"/>
      <c r="R76" s="131"/>
    </row>
    <row r="77" spans="2:18" ht="19.5" x14ac:dyDescent="0.35">
      <c r="B77" s="28">
        <v>83</v>
      </c>
      <c r="C77" s="28" t="s">
        <v>4825</v>
      </c>
      <c r="D77" s="131" t="s">
        <v>4825</v>
      </c>
      <c r="E77" s="188">
        <v>45410</v>
      </c>
      <c r="F77" s="114"/>
      <c r="G77" s="131"/>
      <c r="H77" s="131"/>
      <c r="I77" s="131"/>
      <c r="J77" s="131" t="s">
        <v>2443</v>
      </c>
      <c r="K77" s="131"/>
      <c r="L77" s="131"/>
      <c r="M77" s="131"/>
      <c r="N77" s="131"/>
      <c r="O77" s="131"/>
      <c r="P77" s="131"/>
      <c r="Q77" s="131"/>
      <c r="R77" s="131"/>
    </row>
    <row r="78" spans="2:18" ht="19.5" x14ac:dyDescent="0.35">
      <c r="B78" s="28">
        <v>84</v>
      </c>
      <c r="C78" s="28" t="s">
        <v>4825</v>
      </c>
      <c r="D78" s="131" t="s">
        <v>4825</v>
      </c>
      <c r="E78" s="188">
        <v>45410</v>
      </c>
      <c r="F78" s="114"/>
      <c r="G78" s="131"/>
      <c r="H78" s="131"/>
      <c r="I78" s="131"/>
      <c r="J78" s="131" t="s">
        <v>2443</v>
      </c>
      <c r="K78" s="131"/>
      <c r="L78" s="131"/>
      <c r="M78" s="131"/>
      <c r="N78" s="131"/>
      <c r="O78" s="131"/>
      <c r="P78" s="131"/>
      <c r="Q78" s="131"/>
      <c r="R78" s="131"/>
    </row>
    <row r="79" spans="2:18" ht="19.5" x14ac:dyDescent="0.35">
      <c r="B79" s="28">
        <v>85</v>
      </c>
      <c r="C79" s="28" t="s">
        <v>4825</v>
      </c>
      <c r="D79" s="131" t="s">
        <v>4825</v>
      </c>
      <c r="E79" s="188">
        <v>45411</v>
      </c>
      <c r="F79" s="114"/>
      <c r="G79" s="131"/>
      <c r="H79" s="131"/>
      <c r="I79" s="131"/>
      <c r="J79" s="131" t="s">
        <v>2443</v>
      </c>
      <c r="K79" s="131"/>
      <c r="L79" s="131"/>
      <c r="M79" s="131"/>
      <c r="N79" s="131"/>
      <c r="O79" s="131"/>
      <c r="P79" s="131"/>
      <c r="Q79" s="131"/>
      <c r="R79" s="131"/>
    </row>
    <row r="80" spans="2:18" ht="19.5" x14ac:dyDescent="0.35">
      <c r="B80" s="28">
        <v>86</v>
      </c>
      <c r="C80" s="28" t="s">
        <v>4825</v>
      </c>
      <c r="D80" s="131" t="s">
        <v>4825</v>
      </c>
      <c r="E80" s="188">
        <v>45411</v>
      </c>
      <c r="F80" s="114"/>
      <c r="G80" s="131"/>
      <c r="H80" s="131"/>
      <c r="I80" s="131"/>
      <c r="J80" s="131" t="s">
        <v>2443</v>
      </c>
      <c r="K80" s="131"/>
      <c r="L80" s="131"/>
      <c r="M80" s="131"/>
      <c r="N80" s="131"/>
      <c r="O80" s="131"/>
      <c r="P80" s="131"/>
      <c r="Q80" s="131"/>
      <c r="R80" s="131"/>
    </row>
    <row r="81" spans="2:18" ht="19.5" x14ac:dyDescent="0.35">
      <c r="B81" s="28">
        <v>87</v>
      </c>
      <c r="C81" s="28" t="s">
        <v>4825</v>
      </c>
      <c r="D81" s="131" t="s">
        <v>5682</v>
      </c>
      <c r="E81" s="188">
        <v>45401</v>
      </c>
      <c r="F81" s="114"/>
      <c r="G81" s="131"/>
      <c r="H81" s="131"/>
      <c r="I81" s="131"/>
      <c r="J81" s="131" t="s">
        <v>2443</v>
      </c>
      <c r="K81" s="131"/>
      <c r="L81" s="131"/>
      <c r="M81" s="131"/>
      <c r="N81" s="131"/>
      <c r="O81" s="131"/>
      <c r="P81" s="131"/>
      <c r="Q81" s="131"/>
      <c r="R81" s="131"/>
    </row>
    <row r="82" spans="2:18" ht="19.5" x14ac:dyDescent="0.35">
      <c r="B82" s="28">
        <v>88</v>
      </c>
      <c r="C82" s="28" t="s">
        <v>4825</v>
      </c>
      <c r="D82" s="131" t="s">
        <v>5682</v>
      </c>
      <c r="E82" s="188">
        <v>45402</v>
      </c>
      <c r="F82" s="114"/>
      <c r="G82" s="131"/>
      <c r="H82" s="131"/>
      <c r="I82" s="131"/>
      <c r="J82" s="131" t="s">
        <v>2443</v>
      </c>
      <c r="K82" s="131"/>
      <c r="L82" s="131"/>
      <c r="M82" s="131"/>
      <c r="N82" s="131"/>
      <c r="O82" s="131"/>
      <c r="P82" s="131"/>
      <c r="Q82" s="131"/>
      <c r="R82" s="131"/>
    </row>
    <row r="83" spans="2:18" ht="19.5" x14ac:dyDescent="0.35">
      <c r="B83" s="28">
        <v>89</v>
      </c>
      <c r="C83" s="28" t="s">
        <v>4825</v>
      </c>
      <c r="D83" s="131" t="s">
        <v>5682</v>
      </c>
      <c r="E83" s="188">
        <v>45402</v>
      </c>
      <c r="F83" s="114"/>
      <c r="G83" s="131"/>
      <c r="H83" s="131"/>
      <c r="I83" s="131"/>
      <c r="J83" s="131" t="s">
        <v>2443</v>
      </c>
      <c r="K83" s="131"/>
      <c r="L83" s="131"/>
      <c r="M83" s="131"/>
      <c r="N83" s="131"/>
      <c r="O83" s="131"/>
      <c r="P83" s="131"/>
      <c r="Q83" s="131"/>
      <c r="R83" s="131"/>
    </row>
    <row r="84" spans="2:18" ht="19.5" x14ac:dyDescent="0.35">
      <c r="B84" s="28">
        <v>90</v>
      </c>
      <c r="C84" s="28" t="s">
        <v>4825</v>
      </c>
      <c r="D84" s="131" t="s">
        <v>5682</v>
      </c>
      <c r="E84" s="188">
        <v>45408</v>
      </c>
      <c r="F84" s="114"/>
      <c r="G84" s="131"/>
      <c r="H84" s="131"/>
      <c r="I84" s="131"/>
      <c r="J84" s="131" t="s">
        <v>2443</v>
      </c>
      <c r="K84" s="131"/>
      <c r="L84" s="131"/>
      <c r="M84" s="131"/>
      <c r="N84" s="131"/>
      <c r="O84" s="131"/>
      <c r="P84" s="131"/>
      <c r="Q84" s="131"/>
      <c r="R84" s="131"/>
    </row>
    <row r="85" spans="2:18" ht="19.5" x14ac:dyDescent="0.35">
      <c r="B85" s="28">
        <v>91</v>
      </c>
      <c r="C85" s="28" t="s">
        <v>4825</v>
      </c>
      <c r="D85" s="131" t="s">
        <v>5682</v>
      </c>
      <c r="E85" s="188">
        <v>45409</v>
      </c>
      <c r="F85" s="114"/>
      <c r="G85" s="131"/>
      <c r="H85" s="131"/>
      <c r="I85" s="131"/>
      <c r="J85" s="131" t="s">
        <v>2443</v>
      </c>
      <c r="K85" s="131"/>
      <c r="L85" s="131"/>
      <c r="M85" s="131"/>
      <c r="N85" s="131"/>
      <c r="O85" s="131"/>
      <c r="P85" s="131"/>
      <c r="Q85" s="131"/>
      <c r="R85" s="131"/>
    </row>
    <row r="86" spans="2:18" ht="19.5" x14ac:dyDescent="0.35">
      <c r="B86" s="28">
        <v>92</v>
      </c>
      <c r="C86" s="28" t="s">
        <v>4825</v>
      </c>
      <c r="D86" s="131" t="s">
        <v>5678</v>
      </c>
      <c r="E86" s="188">
        <v>45385</v>
      </c>
      <c r="F86" s="114"/>
      <c r="G86" s="131"/>
      <c r="H86" s="131"/>
      <c r="I86" s="131"/>
      <c r="J86" s="131" t="s">
        <v>2443</v>
      </c>
      <c r="K86" s="131"/>
      <c r="L86" s="131"/>
      <c r="M86" s="131"/>
      <c r="N86" s="131"/>
      <c r="O86" s="131"/>
      <c r="P86" s="131"/>
      <c r="Q86" s="131"/>
      <c r="R86" s="131"/>
    </row>
    <row r="87" spans="2:18" ht="19.5" x14ac:dyDescent="0.35">
      <c r="B87" s="28">
        <v>93</v>
      </c>
      <c r="C87" s="28" t="s">
        <v>4825</v>
      </c>
      <c r="D87" s="131" t="s">
        <v>5678</v>
      </c>
      <c r="E87" s="188">
        <v>45392</v>
      </c>
      <c r="F87" s="114"/>
      <c r="G87" s="131"/>
      <c r="H87" s="131"/>
      <c r="I87" s="131"/>
      <c r="J87" s="131" t="s">
        <v>2443</v>
      </c>
      <c r="K87" s="131"/>
      <c r="L87" s="131"/>
      <c r="M87" s="131"/>
      <c r="N87" s="131"/>
      <c r="O87" s="131"/>
      <c r="P87" s="131"/>
      <c r="Q87" s="131"/>
      <c r="R87" s="131"/>
    </row>
    <row r="88" spans="2:18" ht="19.5" x14ac:dyDescent="0.35">
      <c r="B88" s="28">
        <v>94</v>
      </c>
      <c r="C88" s="28" t="s">
        <v>4825</v>
      </c>
      <c r="D88" s="131" t="s">
        <v>5678</v>
      </c>
      <c r="E88" s="188">
        <v>45399</v>
      </c>
      <c r="F88" s="114"/>
      <c r="G88" s="131"/>
      <c r="H88" s="131"/>
      <c r="I88" s="131"/>
      <c r="J88" s="131" t="s">
        <v>2443</v>
      </c>
      <c r="K88" s="131"/>
      <c r="L88" s="131"/>
      <c r="M88" s="131"/>
      <c r="N88" s="131"/>
      <c r="O88" s="131"/>
      <c r="P88" s="131"/>
      <c r="Q88" s="131"/>
      <c r="R88" s="131"/>
    </row>
    <row r="89" spans="2:18" ht="19.5" x14ac:dyDescent="0.35">
      <c r="B89" s="28">
        <v>95</v>
      </c>
      <c r="C89" s="28" t="s">
        <v>4825</v>
      </c>
      <c r="D89" s="131" t="s">
        <v>5678</v>
      </c>
      <c r="E89" s="188">
        <v>45401</v>
      </c>
      <c r="F89" s="114"/>
      <c r="G89" s="131"/>
      <c r="H89" s="131"/>
      <c r="I89" s="131"/>
      <c r="J89" s="131" t="s">
        <v>2443</v>
      </c>
      <c r="K89" s="131"/>
      <c r="L89" s="131"/>
      <c r="M89" s="131"/>
      <c r="N89" s="131"/>
      <c r="O89" s="131"/>
      <c r="P89" s="131"/>
      <c r="Q89" s="131"/>
      <c r="R89" s="131"/>
    </row>
    <row r="90" spans="2:18" ht="19.5" x14ac:dyDescent="0.35">
      <c r="B90" s="28">
        <v>96</v>
      </c>
      <c r="C90" s="28" t="s">
        <v>4825</v>
      </c>
      <c r="D90" s="131" t="s">
        <v>5678</v>
      </c>
      <c r="E90" s="188">
        <v>45403</v>
      </c>
      <c r="F90" s="114"/>
      <c r="G90" s="131"/>
      <c r="H90" s="131"/>
      <c r="I90" s="131"/>
      <c r="J90" s="131" t="s">
        <v>2443</v>
      </c>
      <c r="K90" s="131"/>
      <c r="L90" s="131"/>
      <c r="M90" s="131"/>
      <c r="N90" s="131"/>
      <c r="O90" s="131"/>
      <c r="P90" s="131"/>
      <c r="Q90" s="131"/>
      <c r="R90" s="131"/>
    </row>
    <row r="91" spans="2:18" ht="19.5" x14ac:dyDescent="0.35">
      <c r="B91" s="28">
        <v>97</v>
      </c>
      <c r="C91" s="28" t="s">
        <v>4825</v>
      </c>
      <c r="D91" s="131" t="s">
        <v>5678</v>
      </c>
      <c r="E91" s="188">
        <v>45407</v>
      </c>
      <c r="F91" s="114"/>
      <c r="G91" s="131"/>
      <c r="H91" s="131"/>
      <c r="I91" s="131"/>
      <c r="J91" s="131" t="s">
        <v>2443</v>
      </c>
      <c r="K91" s="131"/>
      <c r="L91" s="131"/>
      <c r="M91" s="131"/>
      <c r="N91" s="131"/>
      <c r="O91" s="131"/>
      <c r="P91" s="131"/>
      <c r="Q91" s="131"/>
      <c r="R91" s="131"/>
    </row>
    <row r="92" spans="2:18" ht="19.5" x14ac:dyDescent="0.35">
      <c r="B92" s="28">
        <v>98</v>
      </c>
      <c r="C92" s="28" t="s">
        <v>4825</v>
      </c>
      <c r="D92" s="131" t="s">
        <v>5678</v>
      </c>
      <c r="E92" s="188">
        <v>45408</v>
      </c>
      <c r="F92" s="114"/>
      <c r="G92" s="131"/>
      <c r="H92" s="131"/>
      <c r="I92" s="131"/>
      <c r="J92" s="131" t="s">
        <v>2443</v>
      </c>
      <c r="K92" s="131"/>
      <c r="L92" s="131"/>
      <c r="M92" s="131"/>
      <c r="N92" s="131"/>
      <c r="O92" s="131"/>
      <c r="P92" s="131"/>
      <c r="Q92" s="131"/>
      <c r="R92" s="131"/>
    </row>
    <row r="93" spans="2:18" ht="19.5" x14ac:dyDescent="0.35">
      <c r="B93" s="28">
        <v>99</v>
      </c>
      <c r="C93" s="28" t="s">
        <v>4825</v>
      </c>
      <c r="D93" s="131" t="s">
        <v>5678</v>
      </c>
      <c r="E93" s="188">
        <v>45408</v>
      </c>
      <c r="F93" s="114"/>
      <c r="G93" s="131"/>
      <c r="H93" s="131"/>
      <c r="I93" s="131"/>
      <c r="J93" s="131" t="s">
        <v>2443</v>
      </c>
      <c r="K93" s="131"/>
      <c r="L93" s="131"/>
      <c r="M93" s="131"/>
      <c r="N93" s="131"/>
      <c r="O93" s="131"/>
      <c r="P93" s="131"/>
      <c r="Q93" s="131"/>
      <c r="R93" s="131"/>
    </row>
    <row r="94" spans="2:18" ht="19.5" x14ac:dyDescent="0.35">
      <c r="B94" s="28">
        <v>100</v>
      </c>
      <c r="C94" s="28" t="s">
        <v>4825</v>
      </c>
      <c r="D94" s="131" t="s">
        <v>5678</v>
      </c>
      <c r="E94" s="188">
        <v>45409</v>
      </c>
      <c r="F94" s="114"/>
      <c r="G94" s="131"/>
      <c r="H94" s="131"/>
      <c r="I94" s="131"/>
      <c r="J94" s="131" t="s">
        <v>2443</v>
      </c>
      <c r="K94" s="131"/>
      <c r="L94" s="131"/>
      <c r="M94" s="131"/>
      <c r="N94" s="131"/>
      <c r="O94" s="131"/>
      <c r="P94" s="131"/>
      <c r="Q94" s="131"/>
      <c r="R94" s="131"/>
    </row>
    <row r="95" spans="2:18" ht="19.5" x14ac:dyDescent="0.35">
      <c r="B95" s="28">
        <v>101</v>
      </c>
      <c r="C95" s="28" t="s">
        <v>4825</v>
      </c>
      <c r="D95" s="131" t="s">
        <v>5678</v>
      </c>
      <c r="E95" s="188">
        <v>45410</v>
      </c>
      <c r="F95" s="114"/>
      <c r="G95" s="131"/>
      <c r="H95" s="131"/>
      <c r="I95" s="131"/>
      <c r="J95" s="131" t="s">
        <v>2443</v>
      </c>
      <c r="K95" s="131"/>
      <c r="L95" s="131"/>
      <c r="M95" s="131"/>
      <c r="N95" s="131"/>
      <c r="O95" s="131"/>
      <c r="P95" s="131"/>
      <c r="Q95" s="131"/>
      <c r="R95" s="131"/>
    </row>
    <row r="96" spans="2:18" ht="19.5" x14ac:dyDescent="0.35">
      <c r="B96" s="28">
        <v>102</v>
      </c>
      <c r="C96" s="28" t="s">
        <v>4825</v>
      </c>
      <c r="D96" s="131" t="s">
        <v>5678</v>
      </c>
      <c r="E96" s="188">
        <v>45411</v>
      </c>
      <c r="F96" s="114"/>
      <c r="G96" s="131"/>
      <c r="H96" s="131"/>
      <c r="I96" s="131"/>
      <c r="J96" s="131" t="s">
        <v>2443</v>
      </c>
      <c r="K96" s="131"/>
      <c r="L96" s="131"/>
      <c r="M96" s="131"/>
      <c r="N96" s="131"/>
      <c r="O96" s="131"/>
      <c r="P96" s="131"/>
      <c r="Q96" s="131"/>
      <c r="R96" s="131"/>
    </row>
    <row r="97" spans="2:18" ht="19.5" x14ac:dyDescent="0.35">
      <c r="B97" s="28">
        <v>103</v>
      </c>
      <c r="C97" s="28" t="s">
        <v>4825</v>
      </c>
      <c r="D97" s="131" t="s">
        <v>5678</v>
      </c>
      <c r="E97" s="188">
        <v>45411</v>
      </c>
      <c r="F97" s="114"/>
      <c r="G97" s="131"/>
      <c r="H97" s="131"/>
      <c r="I97" s="131"/>
      <c r="J97" s="131" t="s">
        <v>2443</v>
      </c>
      <c r="K97" s="131"/>
      <c r="L97" s="131"/>
      <c r="M97" s="131"/>
      <c r="N97" s="131"/>
      <c r="O97" s="131"/>
      <c r="P97" s="131"/>
      <c r="Q97" s="131"/>
      <c r="R97" s="131"/>
    </row>
    <row r="98" spans="2:18" ht="19.5" x14ac:dyDescent="0.35">
      <c r="B98" s="28">
        <v>104</v>
      </c>
      <c r="C98" s="28" t="s">
        <v>4825</v>
      </c>
      <c r="D98" s="131" t="s">
        <v>5678</v>
      </c>
      <c r="E98" s="188">
        <v>45411</v>
      </c>
      <c r="F98" s="114"/>
      <c r="G98" s="131"/>
      <c r="H98" s="131"/>
      <c r="I98" s="131"/>
      <c r="J98" s="131" t="s">
        <v>2443</v>
      </c>
      <c r="K98" s="131"/>
      <c r="L98" s="131"/>
      <c r="M98" s="131"/>
      <c r="N98" s="131"/>
      <c r="O98" s="131"/>
      <c r="P98" s="131"/>
      <c r="Q98" s="131"/>
      <c r="R98" s="131"/>
    </row>
    <row r="99" spans="2:18" ht="19.5" x14ac:dyDescent="0.35">
      <c r="B99" s="28">
        <v>105</v>
      </c>
      <c r="C99" s="28" t="s">
        <v>4825</v>
      </c>
      <c r="D99" s="131" t="s">
        <v>5678</v>
      </c>
      <c r="E99" s="188">
        <v>45412</v>
      </c>
      <c r="F99" s="114"/>
      <c r="G99" s="131"/>
      <c r="H99" s="131"/>
      <c r="I99" s="131"/>
      <c r="J99" s="131" t="s">
        <v>2443</v>
      </c>
      <c r="K99" s="131"/>
      <c r="L99" s="131"/>
      <c r="M99" s="131"/>
      <c r="N99" s="131"/>
      <c r="O99" s="131"/>
      <c r="P99" s="131"/>
      <c r="Q99" s="131"/>
      <c r="R99" s="131"/>
    </row>
    <row r="100" spans="2:18" ht="19.5" x14ac:dyDescent="0.35">
      <c r="B100" s="28">
        <v>106</v>
      </c>
      <c r="C100" s="28" t="s">
        <v>4825</v>
      </c>
      <c r="D100" s="131" t="s">
        <v>5678</v>
      </c>
      <c r="E100" s="188">
        <v>45412</v>
      </c>
      <c r="F100" s="114"/>
      <c r="G100" s="131"/>
      <c r="H100" s="131"/>
      <c r="I100" s="131"/>
      <c r="J100" s="131" t="s">
        <v>2443</v>
      </c>
      <c r="K100" s="131"/>
      <c r="L100" s="131"/>
      <c r="M100" s="131"/>
      <c r="N100" s="131"/>
      <c r="O100" s="131"/>
      <c r="P100" s="131"/>
      <c r="Q100" s="131"/>
      <c r="R100" s="131"/>
    </row>
    <row r="101" spans="2:18" ht="19.5" x14ac:dyDescent="0.35">
      <c r="B101" s="28">
        <v>107</v>
      </c>
      <c r="C101" s="28" t="s">
        <v>4825</v>
      </c>
      <c r="D101" s="131" t="s">
        <v>5678</v>
      </c>
      <c r="E101" s="188">
        <v>45412</v>
      </c>
      <c r="F101" s="114"/>
      <c r="G101" s="131"/>
      <c r="H101" s="131"/>
      <c r="I101" s="131"/>
      <c r="J101" s="131" t="s">
        <v>2443</v>
      </c>
      <c r="K101" s="131"/>
      <c r="L101" s="131"/>
      <c r="M101" s="131"/>
      <c r="N101" s="131"/>
      <c r="O101" s="131"/>
      <c r="P101" s="131"/>
      <c r="Q101" s="131"/>
      <c r="R101" s="131"/>
    </row>
    <row r="102" spans="2:18" ht="19.5" x14ac:dyDescent="0.35">
      <c r="B102" s="28">
        <v>108</v>
      </c>
      <c r="C102" s="28" t="s">
        <v>4825</v>
      </c>
      <c r="D102" s="131" t="s">
        <v>5678</v>
      </c>
      <c r="E102" s="188">
        <v>45412</v>
      </c>
      <c r="F102" s="114"/>
      <c r="G102" s="131"/>
      <c r="H102" s="131"/>
      <c r="I102" s="131"/>
      <c r="J102" s="131" t="s">
        <v>2443</v>
      </c>
      <c r="K102" s="131"/>
      <c r="L102" s="131"/>
      <c r="M102" s="131"/>
      <c r="N102" s="131"/>
      <c r="O102" s="131"/>
      <c r="P102" s="131"/>
      <c r="Q102" s="131"/>
      <c r="R102" s="131"/>
    </row>
    <row r="103" spans="2:18" ht="19.5" x14ac:dyDescent="0.35">
      <c r="B103" s="28">
        <v>109</v>
      </c>
      <c r="C103" s="131"/>
      <c r="D103" s="131"/>
      <c r="E103" s="131"/>
      <c r="F103" s="114"/>
      <c r="G103" s="131"/>
      <c r="H103" s="131"/>
      <c r="I103" s="131"/>
      <c r="J103" s="131"/>
      <c r="K103" s="131"/>
      <c r="L103" s="131"/>
      <c r="M103" s="131"/>
      <c r="N103" s="131"/>
      <c r="O103" s="131"/>
      <c r="P103" s="131"/>
      <c r="Q103" s="131"/>
      <c r="R103" s="131"/>
    </row>
    <row r="104" spans="2:18" ht="19.5" x14ac:dyDescent="0.35">
      <c r="B104" s="28">
        <v>110</v>
      </c>
      <c r="C104" s="131"/>
      <c r="D104" s="131"/>
      <c r="E104" s="131"/>
      <c r="F104" s="114"/>
      <c r="G104" s="131"/>
      <c r="H104" s="131"/>
      <c r="I104" s="131"/>
      <c r="J104" s="131"/>
      <c r="K104" s="131"/>
      <c r="L104" s="131"/>
      <c r="M104" s="131"/>
      <c r="N104" s="131"/>
      <c r="O104" s="131"/>
      <c r="P104" s="131"/>
      <c r="Q104" s="131"/>
      <c r="R104" s="131"/>
    </row>
    <row r="105" spans="2:18" ht="19.5" x14ac:dyDescent="0.35">
      <c r="B105" s="28">
        <v>111</v>
      </c>
      <c r="C105" s="131"/>
      <c r="D105" s="131"/>
      <c r="E105" s="131"/>
      <c r="F105" s="114"/>
      <c r="G105" s="131"/>
      <c r="H105" s="131"/>
      <c r="I105" s="131"/>
      <c r="J105" s="131"/>
      <c r="K105" s="131"/>
      <c r="L105" s="131"/>
      <c r="M105" s="131"/>
      <c r="N105" s="131"/>
      <c r="O105" s="131"/>
      <c r="P105" s="131"/>
      <c r="Q105" s="131"/>
      <c r="R105" s="131"/>
    </row>
    <row r="106" spans="2:18" ht="19.5" x14ac:dyDescent="0.35">
      <c r="B106" s="28">
        <v>112</v>
      </c>
      <c r="C106" s="131"/>
      <c r="D106" s="131"/>
      <c r="E106" s="131"/>
      <c r="F106" s="114"/>
      <c r="G106" s="131"/>
      <c r="H106" s="131"/>
      <c r="I106" s="131"/>
      <c r="J106" s="131"/>
      <c r="K106" s="131"/>
      <c r="L106" s="131"/>
      <c r="M106" s="131"/>
      <c r="N106" s="131"/>
      <c r="O106" s="131"/>
      <c r="P106" s="131"/>
      <c r="Q106" s="131"/>
      <c r="R106" s="131"/>
    </row>
    <row r="107" spans="2:18" ht="19.5" x14ac:dyDescent="0.35">
      <c r="B107" s="28">
        <v>113</v>
      </c>
      <c r="C107" s="131"/>
      <c r="D107" s="131"/>
      <c r="E107" s="131"/>
      <c r="F107" s="114"/>
      <c r="G107" s="131"/>
      <c r="H107" s="131"/>
      <c r="I107" s="131"/>
      <c r="J107" s="131"/>
      <c r="K107" s="131"/>
      <c r="L107" s="131"/>
      <c r="M107" s="131"/>
      <c r="N107" s="131"/>
      <c r="O107" s="131"/>
      <c r="P107" s="131"/>
      <c r="Q107" s="131"/>
      <c r="R107" s="131"/>
    </row>
    <row r="108" spans="2:18" ht="19.5" x14ac:dyDescent="0.35">
      <c r="B108" s="28">
        <v>114</v>
      </c>
      <c r="C108" s="131"/>
      <c r="D108" s="131"/>
      <c r="E108" s="131"/>
      <c r="F108" s="114"/>
      <c r="G108" s="131"/>
      <c r="H108" s="131"/>
      <c r="I108" s="131"/>
      <c r="J108" s="131"/>
      <c r="K108" s="131"/>
      <c r="L108" s="131"/>
      <c r="M108" s="131"/>
      <c r="N108" s="131"/>
      <c r="O108" s="131"/>
      <c r="P108" s="131"/>
      <c r="Q108" s="131"/>
      <c r="R108" s="131"/>
    </row>
    <row r="109" spans="2:18" ht="19.5" x14ac:dyDescent="0.35">
      <c r="B109" s="28">
        <v>115</v>
      </c>
      <c r="C109" s="131"/>
      <c r="D109" s="131"/>
      <c r="E109" s="131"/>
      <c r="F109" s="114"/>
      <c r="G109" s="131"/>
      <c r="H109" s="131"/>
      <c r="I109" s="131"/>
      <c r="J109" s="131"/>
      <c r="K109" s="131"/>
      <c r="L109" s="131"/>
      <c r="M109" s="131"/>
      <c r="N109" s="131"/>
      <c r="O109" s="131"/>
      <c r="P109" s="131"/>
      <c r="Q109" s="131"/>
      <c r="R109" s="131"/>
    </row>
    <row r="110" spans="2:18" ht="19.5" x14ac:dyDescent="0.35">
      <c r="B110" s="28">
        <v>116</v>
      </c>
      <c r="C110" s="131"/>
      <c r="D110" s="131"/>
      <c r="E110" s="131"/>
      <c r="F110" s="114"/>
      <c r="G110" s="131"/>
      <c r="H110" s="131"/>
      <c r="I110" s="131"/>
      <c r="J110" s="131"/>
      <c r="K110" s="131"/>
      <c r="L110" s="131"/>
      <c r="M110" s="131"/>
      <c r="N110" s="131"/>
      <c r="O110" s="131"/>
      <c r="P110" s="131"/>
      <c r="Q110" s="131"/>
      <c r="R110" s="131"/>
    </row>
    <row r="111" spans="2:18" ht="19.5" x14ac:dyDescent="0.35">
      <c r="B111" s="28">
        <v>117</v>
      </c>
      <c r="C111" s="131"/>
      <c r="D111" s="131"/>
      <c r="E111" s="131"/>
      <c r="F111" s="114"/>
      <c r="G111" s="131"/>
      <c r="H111" s="131"/>
      <c r="I111" s="131"/>
      <c r="J111" s="131"/>
      <c r="K111" s="131"/>
      <c r="L111" s="131"/>
      <c r="M111" s="131"/>
      <c r="N111" s="131"/>
      <c r="O111" s="131"/>
      <c r="P111" s="131"/>
      <c r="Q111" s="131"/>
      <c r="R111" s="131"/>
    </row>
    <row r="112" spans="2:18" ht="19.5" x14ac:dyDescent="0.35">
      <c r="B112" s="28">
        <v>118</v>
      </c>
      <c r="C112" s="131"/>
      <c r="D112" s="131"/>
      <c r="E112" s="131"/>
      <c r="F112" s="114"/>
      <c r="G112" s="131"/>
      <c r="H112" s="131"/>
      <c r="I112" s="131"/>
      <c r="J112" s="131"/>
      <c r="K112" s="131"/>
      <c r="L112" s="131"/>
      <c r="M112" s="131"/>
      <c r="N112" s="131"/>
      <c r="O112" s="131"/>
      <c r="P112" s="131"/>
      <c r="Q112" s="131"/>
      <c r="R112" s="131"/>
    </row>
    <row r="113" spans="2:18" ht="19.5" x14ac:dyDescent="0.35">
      <c r="B113" s="28">
        <v>119</v>
      </c>
      <c r="C113" s="131"/>
      <c r="D113" s="131"/>
      <c r="E113" s="131"/>
      <c r="F113" s="114"/>
      <c r="G113" s="131"/>
      <c r="H113" s="131"/>
      <c r="I113" s="131"/>
      <c r="J113" s="131"/>
      <c r="K113" s="131"/>
      <c r="L113" s="131"/>
      <c r="M113" s="131"/>
      <c r="N113" s="131"/>
      <c r="O113" s="131"/>
      <c r="P113" s="131"/>
      <c r="Q113" s="131"/>
      <c r="R113" s="131"/>
    </row>
    <row r="114" spans="2:18" ht="19.5" x14ac:dyDescent="0.35">
      <c r="B114" s="28">
        <v>120</v>
      </c>
      <c r="C114" s="131"/>
      <c r="D114" s="131"/>
      <c r="E114" s="131"/>
      <c r="F114" s="114"/>
      <c r="G114" s="131"/>
      <c r="H114" s="131"/>
      <c r="I114" s="131"/>
      <c r="J114" s="131"/>
      <c r="K114" s="131"/>
      <c r="L114" s="131"/>
      <c r="M114" s="131"/>
      <c r="N114" s="131"/>
      <c r="O114" s="131"/>
      <c r="P114" s="131"/>
      <c r="Q114" s="131"/>
      <c r="R114" s="131"/>
    </row>
    <row r="115" spans="2:18" ht="19.5" x14ac:dyDescent="0.35">
      <c r="B115" s="28">
        <v>121</v>
      </c>
      <c r="C115" s="131"/>
      <c r="D115" s="131"/>
      <c r="E115" s="131"/>
      <c r="F115" s="114"/>
      <c r="G115" s="131"/>
      <c r="H115" s="131"/>
      <c r="I115" s="131"/>
      <c r="J115" s="131"/>
      <c r="K115" s="131"/>
      <c r="L115" s="131"/>
      <c r="M115" s="131"/>
      <c r="N115" s="131"/>
      <c r="O115" s="131"/>
      <c r="P115" s="131"/>
      <c r="Q115" s="131"/>
      <c r="R115" s="131"/>
    </row>
    <row r="116" spans="2:18" ht="19.5" x14ac:dyDescent="0.35">
      <c r="B116" s="28">
        <v>122</v>
      </c>
      <c r="C116" s="131"/>
      <c r="D116" s="131"/>
      <c r="E116" s="131"/>
      <c r="F116" s="114"/>
      <c r="G116" s="131"/>
      <c r="H116" s="131"/>
      <c r="I116" s="131"/>
      <c r="J116" s="131"/>
      <c r="K116" s="131"/>
      <c r="L116" s="131"/>
      <c r="M116" s="131"/>
      <c r="N116" s="131"/>
      <c r="O116" s="131"/>
      <c r="P116" s="131"/>
      <c r="Q116" s="131"/>
      <c r="R116" s="131"/>
    </row>
    <row r="117" spans="2:18" ht="19.5" x14ac:dyDescent="0.35">
      <c r="B117" s="28">
        <v>123</v>
      </c>
      <c r="C117" s="131"/>
      <c r="D117" s="131"/>
      <c r="E117" s="131"/>
      <c r="F117" s="114"/>
      <c r="G117" s="131"/>
      <c r="H117" s="131"/>
      <c r="I117" s="131"/>
      <c r="J117" s="131"/>
      <c r="K117" s="131"/>
      <c r="L117" s="131"/>
      <c r="M117" s="131"/>
      <c r="N117" s="131"/>
      <c r="O117" s="131"/>
      <c r="P117" s="131"/>
      <c r="Q117" s="131"/>
      <c r="R117" s="131"/>
    </row>
    <row r="118" spans="2:18" ht="19.5" x14ac:dyDescent="0.35">
      <c r="B118" s="28">
        <v>124</v>
      </c>
      <c r="C118" s="131"/>
      <c r="D118" s="131"/>
      <c r="E118" s="131"/>
      <c r="F118" s="114"/>
      <c r="G118" s="131"/>
      <c r="H118" s="131"/>
      <c r="I118" s="131"/>
      <c r="J118" s="131"/>
      <c r="K118" s="131"/>
      <c r="L118" s="131"/>
      <c r="M118" s="131"/>
      <c r="N118" s="131"/>
      <c r="O118" s="131"/>
      <c r="P118" s="131"/>
      <c r="Q118" s="131"/>
      <c r="R118" s="131"/>
    </row>
    <row r="119" spans="2:18" ht="19.5" x14ac:dyDescent="0.35">
      <c r="B119" s="28">
        <v>125</v>
      </c>
      <c r="C119" s="131"/>
      <c r="D119" s="131"/>
      <c r="E119" s="131"/>
      <c r="F119" s="114"/>
      <c r="G119" s="131"/>
      <c r="H119" s="131"/>
      <c r="I119" s="131"/>
      <c r="J119" s="131"/>
      <c r="K119" s="131"/>
      <c r="L119" s="131"/>
      <c r="M119" s="131"/>
      <c r="N119" s="131"/>
      <c r="O119" s="131"/>
      <c r="P119" s="131"/>
      <c r="Q119" s="131"/>
      <c r="R119" s="131"/>
    </row>
    <row r="120" spans="2:18" ht="19.5" x14ac:dyDescent="0.35">
      <c r="B120" s="28">
        <v>126</v>
      </c>
      <c r="C120" s="131"/>
      <c r="D120" s="131"/>
      <c r="E120" s="131"/>
      <c r="F120" s="114"/>
      <c r="G120" s="131"/>
      <c r="H120" s="131"/>
      <c r="I120" s="131"/>
      <c r="J120" s="131"/>
      <c r="K120" s="131"/>
      <c r="L120" s="131"/>
      <c r="M120" s="131"/>
      <c r="N120" s="131"/>
      <c r="O120" s="131"/>
      <c r="P120" s="131"/>
      <c r="Q120" s="131"/>
      <c r="R120" s="131"/>
    </row>
    <row r="121" spans="2:18" ht="19.5" x14ac:dyDescent="0.35">
      <c r="B121" s="28">
        <v>127</v>
      </c>
      <c r="C121" s="131"/>
      <c r="D121" s="131"/>
      <c r="E121" s="131"/>
      <c r="F121" s="114"/>
      <c r="G121" s="131"/>
      <c r="H121" s="131"/>
      <c r="I121" s="131"/>
      <c r="J121" s="131"/>
      <c r="K121" s="131"/>
      <c r="L121" s="131"/>
      <c r="M121" s="131"/>
      <c r="N121" s="131"/>
      <c r="O121" s="131"/>
      <c r="P121" s="131"/>
      <c r="Q121" s="131"/>
      <c r="R121" s="131"/>
    </row>
    <row r="122" spans="2:18" ht="19.5" x14ac:dyDescent="0.35">
      <c r="B122" s="28">
        <v>128</v>
      </c>
      <c r="C122" s="131"/>
      <c r="D122" s="131"/>
      <c r="E122" s="131"/>
      <c r="F122" s="114"/>
      <c r="G122" s="131"/>
      <c r="H122" s="131"/>
      <c r="I122" s="131"/>
      <c r="J122" s="131"/>
      <c r="K122" s="131"/>
      <c r="L122" s="131"/>
      <c r="M122" s="131"/>
      <c r="N122" s="131"/>
      <c r="O122" s="131"/>
      <c r="P122" s="131"/>
      <c r="Q122" s="131"/>
      <c r="R122" s="131"/>
    </row>
    <row r="123" spans="2:18" ht="19.5" x14ac:dyDescent="0.35">
      <c r="B123" s="28">
        <v>129</v>
      </c>
      <c r="C123" s="131"/>
      <c r="D123" s="131"/>
      <c r="E123" s="131"/>
      <c r="F123" s="114"/>
      <c r="G123" s="131"/>
      <c r="H123" s="131"/>
      <c r="I123" s="131"/>
      <c r="J123" s="131"/>
      <c r="K123" s="131"/>
      <c r="L123" s="131"/>
      <c r="M123" s="131"/>
      <c r="N123" s="131"/>
      <c r="O123" s="131"/>
      <c r="P123" s="131"/>
      <c r="Q123" s="131"/>
      <c r="R123" s="131"/>
    </row>
    <row r="124" spans="2:18" ht="19.5" x14ac:dyDescent="0.35">
      <c r="B124" s="28">
        <v>130</v>
      </c>
      <c r="C124" s="131"/>
      <c r="D124" s="131"/>
      <c r="E124" s="131"/>
      <c r="F124" s="114"/>
      <c r="G124" s="131"/>
      <c r="H124" s="131"/>
      <c r="I124" s="131"/>
      <c r="J124" s="131"/>
      <c r="K124" s="131"/>
      <c r="L124" s="131"/>
      <c r="M124" s="131"/>
      <c r="N124" s="131"/>
      <c r="O124" s="131"/>
      <c r="P124" s="131"/>
      <c r="Q124" s="131"/>
      <c r="R124" s="131"/>
    </row>
    <row r="125" spans="2:18" ht="19.5" x14ac:dyDescent="0.35">
      <c r="B125" s="28">
        <v>131</v>
      </c>
      <c r="C125" s="131"/>
      <c r="D125" s="131"/>
      <c r="E125" s="131"/>
      <c r="F125" s="114"/>
      <c r="G125" s="131"/>
      <c r="H125" s="131"/>
      <c r="I125" s="131"/>
      <c r="J125" s="131"/>
      <c r="K125" s="131"/>
      <c r="L125" s="131"/>
      <c r="M125" s="131"/>
      <c r="N125" s="131"/>
      <c r="O125" s="131"/>
      <c r="P125" s="131"/>
      <c r="Q125" s="131"/>
      <c r="R125" s="131"/>
    </row>
    <row r="126" spans="2:18" ht="19.5" x14ac:dyDescent="0.35">
      <c r="B126" s="28">
        <v>132</v>
      </c>
      <c r="C126" s="131"/>
      <c r="D126" s="131"/>
      <c r="E126" s="131"/>
      <c r="F126" s="114"/>
      <c r="G126" s="131"/>
      <c r="H126" s="131"/>
      <c r="I126" s="131"/>
      <c r="J126" s="131"/>
      <c r="K126" s="131"/>
      <c r="L126" s="131"/>
      <c r="M126" s="131"/>
      <c r="N126" s="131"/>
      <c r="O126" s="131"/>
      <c r="P126" s="131"/>
      <c r="Q126" s="131"/>
      <c r="R126" s="131"/>
    </row>
    <row r="127" spans="2:18" ht="19.5" x14ac:dyDescent="0.35">
      <c r="B127" s="28">
        <v>133</v>
      </c>
      <c r="C127" s="131"/>
      <c r="D127" s="131"/>
      <c r="E127" s="131"/>
      <c r="F127" s="114"/>
      <c r="G127" s="131"/>
      <c r="H127" s="131"/>
      <c r="I127" s="131"/>
      <c r="J127" s="131"/>
      <c r="K127" s="131"/>
      <c r="L127" s="131"/>
      <c r="M127" s="131"/>
      <c r="N127" s="131"/>
      <c r="O127" s="131"/>
      <c r="P127" s="131"/>
      <c r="Q127" s="131"/>
      <c r="R127" s="131"/>
    </row>
    <row r="128" spans="2:18" ht="19.5" x14ac:dyDescent="0.35">
      <c r="B128" s="28">
        <v>134</v>
      </c>
      <c r="C128" s="131"/>
      <c r="D128" s="131"/>
      <c r="E128" s="131"/>
      <c r="F128" s="114"/>
      <c r="G128" s="131"/>
      <c r="H128" s="131"/>
      <c r="I128" s="131"/>
      <c r="J128" s="131"/>
      <c r="K128" s="131"/>
      <c r="L128" s="131"/>
      <c r="M128" s="131"/>
      <c r="N128" s="131"/>
      <c r="O128" s="131"/>
      <c r="P128" s="131"/>
      <c r="Q128" s="131"/>
      <c r="R128" s="131"/>
    </row>
    <row r="129" spans="2:18" ht="19.5" x14ac:dyDescent="0.35">
      <c r="B129" s="28">
        <v>135</v>
      </c>
      <c r="C129" s="131"/>
      <c r="D129" s="131"/>
      <c r="E129" s="131"/>
      <c r="F129" s="114"/>
      <c r="G129" s="131"/>
      <c r="H129" s="131"/>
      <c r="I129" s="131"/>
      <c r="J129" s="131"/>
      <c r="K129" s="131"/>
      <c r="L129" s="131"/>
      <c r="M129" s="131"/>
      <c r="N129" s="131"/>
      <c r="O129" s="131"/>
      <c r="P129" s="131"/>
      <c r="Q129" s="131"/>
      <c r="R129" s="131"/>
    </row>
    <row r="130" spans="2:18" ht="19.5" x14ac:dyDescent="0.35">
      <c r="B130" s="28">
        <v>136</v>
      </c>
      <c r="C130" s="131"/>
      <c r="D130" s="131"/>
      <c r="E130" s="131"/>
      <c r="F130" s="114"/>
      <c r="G130" s="131"/>
      <c r="H130" s="131"/>
      <c r="I130" s="131"/>
      <c r="J130" s="131"/>
      <c r="K130" s="131"/>
      <c r="L130" s="131"/>
      <c r="M130" s="131"/>
      <c r="N130" s="131"/>
      <c r="O130" s="131"/>
      <c r="P130" s="131"/>
      <c r="Q130" s="131"/>
      <c r="R130" s="131"/>
    </row>
    <row r="131" spans="2:18" ht="19.5" x14ac:dyDescent="0.35">
      <c r="B131" s="28">
        <v>137</v>
      </c>
      <c r="C131" s="131"/>
      <c r="D131" s="131"/>
      <c r="E131" s="131"/>
      <c r="F131" s="114"/>
      <c r="G131" s="131"/>
      <c r="H131" s="131"/>
      <c r="I131" s="131"/>
      <c r="J131" s="131"/>
      <c r="K131" s="131"/>
      <c r="L131" s="131"/>
      <c r="M131" s="131"/>
      <c r="N131" s="131"/>
      <c r="O131" s="131"/>
      <c r="P131" s="131"/>
      <c r="Q131" s="131"/>
      <c r="R131" s="131"/>
    </row>
    <row r="132" spans="2:18" ht="19.5" x14ac:dyDescent="0.35">
      <c r="B132" s="28">
        <v>138</v>
      </c>
      <c r="C132" s="131"/>
      <c r="D132" s="131"/>
      <c r="E132" s="131"/>
      <c r="F132" s="114"/>
      <c r="G132" s="131"/>
      <c r="H132" s="131"/>
      <c r="I132" s="131"/>
      <c r="J132" s="131"/>
      <c r="K132" s="131"/>
      <c r="L132" s="131"/>
      <c r="M132" s="131"/>
      <c r="N132" s="131"/>
      <c r="O132" s="131"/>
      <c r="P132" s="131"/>
      <c r="Q132" s="131"/>
      <c r="R132" s="131"/>
    </row>
    <row r="133" spans="2:18" ht="19.5" x14ac:dyDescent="0.35">
      <c r="B133" s="28">
        <v>139</v>
      </c>
      <c r="C133" s="131"/>
      <c r="D133" s="131"/>
      <c r="E133" s="131"/>
      <c r="F133" s="114"/>
      <c r="G133" s="131"/>
      <c r="H133" s="131"/>
      <c r="I133" s="131"/>
      <c r="J133" s="131"/>
      <c r="K133" s="131"/>
      <c r="L133" s="131"/>
      <c r="M133" s="131"/>
      <c r="N133" s="131"/>
      <c r="O133" s="131"/>
      <c r="P133" s="131"/>
      <c r="Q133" s="131"/>
      <c r="R133" s="131"/>
    </row>
    <row r="134" spans="2:18" ht="19.5" x14ac:dyDescent="0.35">
      <c r="B134" s="28">
        <v>140</v>
      </c>
      <c r="C134" s="131"/>
      <c r="D134" s="131"/>
      <c r="E134" s="131"/>
      <c r="F134" s="114"/>
      <c r="G134" s="131"/>
      <c r="H134" s="131"/>
      <c r="I134" s="131"/>
      <c r="J134" s="131"/>
      <c r="K134" s="131"/>
      <c r="L134" s="131"/>
      <c r="M134" s="131"/>
      <c r="N134" s="131"/>
      <c r="O134" s="131"/>
      <c r="P134" s="131"/>
      <c r="Q134" s="131"/>
      <c r="R134" s="131"/>
    </row>
    <row r="135" spans="2:18" ht="19.5" x14ac:dyDescent="0.35">
      <c r="B135" s="28">
        <v>141</v>
      </c>
      <c r="C135" s="131"/>
      <c r="D135" s="131"/>
      <c r="E135" s="131"/>
      <c r="F135" s="114"/>
      <c r="G135" s="131"/>
      <c r="H135" s="131"/>
      <c r="I135" s="131"/>
      <c r="J135" s="131"/>
      <c r="K135" s="131"/>
      <c r="L135" s="131"/>
      <c r="M135" s="131"/>
      <c r="N135" s="131"/>
      <c r="O135" s="131"/>
      <c r="P135" s="131"/>
      <c r="Q135" s="131"/>
      <c r="R135" s="131"/>
    </row>
    <row r="136" spans="2:18" ht="19.5" x14ac:dyDescent="0.35">
      <c r="B136" s="28">
        <v>142</v>
      </c>
      <c r="C136" s="131"/>
      <c r="D136" s="131"/>
      <c r="E136" s="131"/>
      <c r="F136" s="114"/>
      <c r="G136" s="131"/>
      <c r="H136" s="131"/>
      <c r="I136" s="131"/>
      <c r="J136" s="131"/>
      <c r="K136" s="131"/>
      <c r="L136" s="131"/>
      <c r="M136" s="131"/>
      <c r="N136" s="131"/>
      <c r="O136" s="131"/>
      <c r="P136" s="131"/>
      <c r="Q136" s="131"/>
      <c r="R136" s="131"/>
    </row>
    <row r="137" spans="2:18" ht="19.5" x14ac:dyDescent="0.35">
      <c r="B137" s="28">
        <v>143</v>
      </c>
      <c r="C137" s="131"/>
      <c r="D137" s="131"/>
      <c r="E137" s="131"/>
      <c r="F137" s="114"/>
      <c r="G137" s="131"/>
      <c r="H137" s="131"/>
      <c r="I137" s="131"/>
      <c r="J137" s="131"/>
      <c r="K137" s="131"/>
      <c r="L137" s="131"/>
      <c r="M137" s="131"/>
      <c r="N137" s="131"/>
      <c r="O137" s="131"/>
      <c r="P137" s="131"/>
      <c r="Q137" s="131"/>
      <c r="R137" s="131"/>
    </row>
    <row r="138" spans="2:18" ht="19.5" x14ac:dyDescent="0.35">
      <c r="B138" s="28">
        <v>144</v>
      </c>
      <c r="C138" s="131"/>
      <c r="D138" s="131"/>
      <c r="E138" s="131"/>
      <c r="F138" s="114"/>
      <c r="G138" s="131"/>
      <c r="H138" s="131"/>
      <c r="I138" s="131"/>
      <c r="J138" s="131"/>
      <c r="K138" s="131"/>
      <c r="L138" s="131"/>
      <c r="M138" s="131"/>
      <c r="N138" s="131"/>
      <c r="O138" s="131"/>
      <c r="P138" s="131"/>
      <c r="Q138" s="131"/>
      <c r="R138" s="131"/>
    </row>
    <row r="139" spans="2:18" ht="19.5" x14ac:dyDescent="0.35">
      <c r="B139" s="28">
        <v>145</v>
      </c>
      <c r="C139" s="131"/>
      <c r="D139" s="131"/>
      <c r="E139" s="131"/>
      <c r="F139" s="114"/>
      <c r="G139" s="131"/>
      <c r="H139" s="131"/>
      <c r="I139" s="131"/>
      <c r="J139" s="131"/>
      <c r="K139" s="131"/>
      <c r="L139" s="131"/>
      <c r="M139" s="131"/>
      <c r="N139" s="131"/>
      <c r="O139" s="131"/>
      <c r="P139" s="131"/>
      <c r="Q139" s="131"/>
      <c r="R139" s="131"/>
    </row>
    <row r="140" spans="2:18" ht="19.5" x14ac:dyDescent="0.35">
      <c r="B140" s="28">
        <v>146</v>
      </c>
      <c r="C140" s="131"/>
      <c r="D140" s="131"/>
      <c r="E140" s="131"/>
      <c r="F140" s="114"/>
      <c r="G140" s="131"/>
      <c r="H140" s="131"/>
      <c r="I140" s="131"/>
      <c r="J140" s="131"/>
      <c r="K140" s="131"/>
      <c r="L140" s="131"/>
      <c r="M140" s="131"/>
      <c r="N140" s="131"/>
      <c r="O140" s="131"/>
      <c r="P140" s="131"/>
      <c r="Q140" s="131"/>
      <c r="R140" s="131"/>
    </row>
    <row r="141" spans="2:18" ht="19.5" x14ac:dyDescent="0.35">
      <c r="B141" s="28">
        <v>147</v>
      </c>
      <c r="C141" s="131"/>
      <c r="D141" s="131"/>
      <c r="E141" s="131"/>
      <c r="F141" s="114"/>
      <c r="G141" s="131"/>
      <c r="H141" s="131"/>
      <c r="I141" s="131"/>
      <c r="J141" s="131"/>
      <c r="K141" s="131"/>
      <c r="L141" s="131"/>
      <c r="M141" s="131"/>
      <c r="N141" s="131"/>
      <c r="O141" s="131"/>
      <c r="P141" s="131"/>
      <c r="Q141" s="131"/>
      <c r="R141" s="131"/>
    </row>
    <row r="142" spans="2:18" ht="19.5" x14ac:dyDescent="0.35">
      <c r="B142" s="28">
        <v>148</v>
      </c>
      <c r="C142" s="131"/>
      <c r="D142" s="131"/>
      <c r="E142" s="131"/>
      <c r="F142" s="114"/>
      <c r="G142" s="131"/>
      <c r="H142" s="131"/>
      <c r="I142" s="131"/>
      <c r="J142" s="131"/>
      <c r="K142" s="131"/>
      <c r="L142" s="131"/>
      <c r="M142" s="131"/>
      <c r="N142" s="131"/>
      <c r="O142" s="131"/>
      <c r="P142" s="131"/>
      <c r="Q142" s="131"/>
      <c r="R142" s="131"/>
    </row>
    <row r="143" spans="2:18" ht="19.5" x14ac:dyDescent="0.35">
      <c r="B143" s="28">
        <v>149</v>
      </c>
      <c r="C143" s="131"/>
      <c r="D143" s="131"/>
      <c r="E143" s="131"/>
      <c r="F143" s="114"/>
      <c r="G143" s="131"/>
      <c r="H143" s="131"/>
      <c r="I143" s="131"/>
      <c r="J143" s="131"/>
      <c r="K143" s="131"/>
      <c r="L143" s="131"/>
      <c r="M143" s="131"/>
      <c r="N143" s="131"/>
      <c r="O143" s="131"/>
      <c r="P143" s="131"/>
      <c r="Q143" s="131"/>
      <c r="R143" s="131"/>
    </row>
    <row r="144" spans="2:18" ht="19.5" x14ac:dyDescent="0.35">
      <c r="B144" s="28">
        <v>150</v>
      </c>
      <c r="C144" s="131"/>
      <c r="D144" s="131"/>
      <c r="E144" s="131"/>
      <c r="F144" s="114"/>
      <c r="G144" s="131"/>
      <c r="H144" s="131"/>
      <c r="I144" s="131"/>
      <c r="J144" s="131"/>
      <c r="K144" s="131"/>
      <c r="L144" s="131"/>
      <c r="M144" s="131"/>
      <c r="N144" s="131"/>
      <c r="O144" s="131"/>
      <c r="P144" s="131"/>
      <c r="Q144" s="131"/>
      <c r="R144" s="131"/>
    </row>
    <row r="145" spans="2:18" ht="19.5" x14ac:dyDescent="0.35">
      <c r="B145" s="28">
        <v>151</v>
      </c>
      <c r="C145" s="131"/>
      <c r="D145" s="131"/>
      <c r="E145" s="131"/>
      <c r="F145" s="114"/>
      <c r="G145" s="131"/>
      <c r="H145" s="131"/>
      <c r="I145" s="131"/>
      <c r="J145" s="131"/>
      <c r="K145" s="131"/>
      <c r="L145" s="131"/>
      <c r="M145" s="131"/>
      <c r="N145" s="131"/>
      <c r="O145" s="131"/>
      <c r="P145" s="131"/>
      <c r="Q145" s="131"/>
      <c r="R145" s="131"/>
    </row>
    <row r="146" spans="2:18" ht="19.5" x14ac:dyDescent="0.35">
      <c r="B146" s="28">
        <v>152</v>
      </c>
      <c r="C146" s="131"/>
      <c r="D146" s="131"/>
      <c r="E146" s="131"/>
      <c r="F146" s="114"/>
      <c r="G146" s="131"/>
      <c r="H146" s="131"/>
      <c r="I146" s="131"/>
      <c r="J146" s="131"/>
      <c r="K146" s="131"/>
      <c r="L146" s="131"/>
      <c r="M146" s="131"/>
      <c r="N146" s="131"/>
      <c r="O146" s="131"/>
      <c r="P146" s="131"/>
      <c r="Q146" s="131"/>
      <c r="R146" s="131"/>
    </row>
    <row r="147" spans="2:18" ht="19.5" x14ac:dyDescent="0.35">
      <c r="B147" s="28">
        <v>153</v>
      </c>
      <c r="C147" s="131"/>
      <c r="D147" s="131"/>
      <c r="E147" s="131"/>
      <c r="F147" s="114"/>
      <c r="G147" s="131"/>
      <c r="H147" s="131"/>
      <c r="I147" s="131"/>
      <c r="J147" s="131"/>
      <c r="K147" s="131"/>
      <c r="L147" s="131"/>
      <c r="M147" s="131"/>
      <c r="N147" s="131"/>
      <c r="O147" s="131"/>
      <c r="P147" s="131"/>
      <c r="Q147" s="131"/>
      <c r="R147" s="131"/>
    </row>
    <row r="148" spans="2:18" ht="19.5" x14ac:dyDescent="0.35">
      <c r="B148" s="28">
        <v>154</v>
      </c>
      <c r="C148" s="131"/>
      <c r="D148" s="131"/>
      <c r="E148" s="131"/>
      <c r="F148" s="114"/>
      <c r="G148" s="131"/>
      <c r="H148" s="131"/>
      <c r="I148" s="131"/>
      <c r="J148" s="131"/>
      <c r="K148" s="131"/>
      <c r="L148" s="131"/>
      <c r="M148" s="131"/>
      <c r="N148" s="131"/>
      <c r="O148" s="131"/>
      <c r="P148" s="131"/>
      <c r="Q148" s="131"/>
      <c r="R148" s="131"/>
    </row>
    <row r="149" spans="2:18" ht="19.5" x14ac:dyDescent="0.35">
      <c r="B149" s="28">
        <v>155</v>
      </c>
      <c r="C149" s="131"/>
      <c r="D149" s="131"/>
      <c r="E149" s="131"/>
      <c r="F149" s="114"/>
      <c r="G149" s="131"/>
      <c r="H149" s="131"/>
      <c r="I149" s="131"/>
      <c r="J149" s="131"/>
      <c r="K149" s="131"/>
      <c r="L149" s="131"/>
      <c r="M149" s="131"/>
      <c r="N149" s="131"/>
      <c r="O149" s="131"/>
      <c r="P149" s="131"/>
      <c r="Q149" s="131"/>
      <c r="R149" s="131"/>
    </row>
    <row r="150" spans="2:18" ht="19.5" x14ac:dyDescent="0.35">
      <c r="B150" s="28">
        <v>156</v>
      </c>
      <c r="C150" s="131"/>
      <c r="D150" s="131"/>
      <c r="E150" s="131"/>
      <c r="F150" s="114"/>
      <c r="G150" s="131"/>
      <c r="H150" s="131"/>
      <c r="I150" s="131"/>
      <c r="J150" s="131"/>
      <c r="K150" s="131"/>
      <c r="L150" s="131"/>
      <c r="M150" s="131"/>
      <c r="N150" s="131"/>
      <c r="O150" s="131"/>
      <c r="P150" s="131"/>
      <c r="Q150" s="131"/>
      <c r="R150" s="131"/>
    </row>
    <row r="151" spans="2:18" ht="19.5" x14ac:dyDescent="0.35">
      <c r="B151" s="28">
        <v>157</v>
      </c>
      <c r="C151" s="131"/>
      <c r="D151" s="131"/>
      <c r="E151" s="131"/>
      <c r="F151" s="114"/>
      <c r="G151" s="131"/>
      <c r="H151" s="131"/>
      <c r="I151" s="131"/>
      <c r="J151" s="131"/>
      <c r="K151" s="131"/>
      <c r="L151" s="131"/>
      <c r="M151" s="131"/>
      <c r="N151" s="131"/>
      <c r="O151" s="131"/>
      <c r="P151" s="131"/>
      <c r="Q151" s="131"/>
      <c r="R151" s="131"/>
    </row>
    <row r="152" spans="2:18" ht="19.5" x14ac:dyDescent="0.35">
      <c r="B152" s="28">
        <v>158</v>
      </c>
      <c r="C152" s="131"/>
      <c r="D152" s="131"/>
      <c r="E152" s="131"/>
      <c r="F152" s="114"/>
      <c r="G152" s="131"/>
      <c r="H152" s="131"/>
      <c r="I152" s="131"/>
      <c r="J152" s="131"/>
      <c r="K152" s="131"/>
      <c r="L152" s="131"/>
      <c r="M152" s="131"/>
      <c r="N152" s="131"/>
      <c r="O152" s="131"/>
      <c r="P152" s="131"/>
      <c r="Q152" s="131"/>
      <c r="R152" s="131"/>
    </row>
    <row r="153" spans="2:18" ht="19.5" x14ac:dyDescent="0.35">
      <c r="B153" s="28">
        <v>159</v>
      </c>
      <c r="C153" s="131"/>
      <c r="D153" s="131"/>
      <c r="E153" s="131"/>
      <c r="F153" s="114"/>
      <c r="G153" s="131"/>
      <c r="H153" s="131"/>
      <c r="I153" s="131"/>
      <c r="J153" s="131"/>
      <c r="K153" s="131"/>
      <c r="L153" s="131"/>
      <c r="M153" s="131"/>
      <c r="N153" s="131"/>
      <c r="O153" s="131"/>
      <c r="P153" s="131"/>
      <c r="Q153" s="131"/>
      <c r="R153" s="131"/>
    </row>
    <row r="154" spans="2:18" ht="19.5" x14ac:dyDescent="0.35">
      <c r="B154" s="28">
        <v>160</v>
      </c>
      <c r="C154" s="131"/>
      <c r="D154" s="131"/>
      <c r="E154" s="131"/>
      <c r="F154" s="114"/>
      <c r="G154" s="131"/>
      <c r="H154" s="131"/>
      <c r="I154" s="131"/>
      <c r="J154" s="131"/>
      <c r="K154" s="131"/>
      <c r="L154" s="131"/>
      <c r="M154" s="131"/>
      <c r="N154" s="131"/>
      <c r="O154" s="131"/>
      <c r="P154" s="131"/>
      <c r="Q154" s="131"/>
      <c r="R154" s="131"/>
    </row>
    <row r="155" spans="2:18" ht="19.5" x14ac:dyDescent="0.35">
      <c r="B155" s="28">
        <v>161</v>
      </c>
      <c r="C155" s="131"/>
      <c r="D155" s="131"/>
      <c r="E155" s="131"/>
      <c r="F155" s="114"/>
      <c r="G155" s="131"/>
      <c r="H155" s="131"/>
      <c r="I155" s="131"/>
      <c r="J155" s="131"/>
      <c r="K155" s="131"/>
      <c r="L155" s="131"/>
      <c r="M155" s="131"/>
      <c r="N155" s="131"/>
      <c r="O155" s="131"/>
      <c r="P155" s="131"/>
      <c r="Q155" s="131"/>
      <c r="R155" s="131"/>
    </row>
    <row r="156" spans="2:18" ht="19.5" x14ac:dyDescent="0.35">
      <c r="B156" s="28">
        <v>162</v>
      </c>
      <c r="C156" s="131"/>
      <c r="D156" s="131"/>
      <c r="E156" s="131"/>
      <c r="F156" s="114"/>
      <c r="G156" s="131"/>
      <c r="H156" s="131"/>
      <c r="I156" s="131"/>
      <c r="J156" s="131"/>
      <c r="K156" s="131"/>
      <c r="L156" s="131"/>
      <c r="M156" s="131"/>
      <c r="N156" s="131"/>
      <c r="O156" s="131"/>
      <c r="P156" s="131"/>
      <c r="Q156" s="131"/>
      <c r="R156" s="131"/>
    </row>
    <row r="157" spans="2:18" ht="19.5" x14ac:dyDescent="0.35">
      <c r="B157" s="28">
        <v>163</v>
      </c>
      <c r="C157" s="131"/>
      <c r="D157" s="131"/>
      <c r="E157" s="131"/>
      <c r="F157" s="114"/>
      <c r="G157" s="131"/>
      <c r="H157" s="131"/>
      <c r="I157" s="131"/>
      <c r="J157" s="131"/>
      <c r="K157" s="131"/>
      <c r="L157" s="131"/>
      <c r="M157" s="131"/>
      <c r="N157" s="131"/>
      <c r="O157" s="131"/>
      <c r="P157" s="131"/>
      <c r="Q157" s="131"/>
      <c r="R157" s="131"/>
    </row>
    <row r="158" spans="2:18" ht="19.5" x14ac:dyDescent="0.35">
      <c r="B158" s="28">
        <v>164</v>
      </c>
      <c r="C158" s="131"/>
      <c r="D158" s="131"/>
      <c r="E158" s="131"/>
      <c r="F158" s="114"/>
      <c r="G158" s="131"/>
      <c r="H158" s="131"/>
      <c r="I158" s="131"/>
      <c r="J158" s="131"/>
      <c r="K158" s="131"/>
      <c r="L158" s="131"/>
      <c r="M158" s="131"/>
      <c r="N158" s="131"/>
      <c r="O158" s="131"/>
      <c r="P158" s="131"/>
      <c r="Q158" s="131"/>
      <c r="R158" s="131"/>
    </row>
    <row r="159" spans="2:18" ht="19.5" x14ac:dyDescent="0.35">
      <c r="B159" s="28">
        <v>165</v>
      </c>
      <c r="C159" s="131"/>
      <c r="D159" s="131"/>
      <c r="E159" s="131"/>
      <c r="F159" s="114"/>
      <c r="G159" s="131"/>
      <c r="H159" s="131"/>
      <c r="I159" s="131"/>
      <c r="J159" s="131"/>
      <c r="K159" s="131"/>
      <c r="L159" s="131"/>
      <c r="M159" s="131"/>
      <c r="N159" s="131"/>
      <c r="O159" s="131"/>
      <c r="P159" s="131"/>
      <c r="Q159" s="131"/>
      <c r="R159" s="131"/>
    </row>
    <row r="160" spans="2:18" ht="19.5" x14ac:dyDescent="0.35">
      <c r="B160" s="28">
        <v>166</v>
      </c>
      <c r="C160" s="131"/>
      <c r="D160" s="131"/>
      <c r="E160" s="131"/>
      <c r="F160" s="114"/>
      <c r="G160" s="131"/>
      <c r="H160" s="131"/>
      <c r="I160" s="131"/>
      <c r="J160" s="131"/>
      <c r="K160" s="131"/>
      <c r="L160" s="131"/>
      <c r="M160" s="131"/>
      <c r="N160" s="131"/>
      <c r="O160" s="131"/>
      <c r="P160" s="131"/>
      <c r="Q160" s="131"/>
      <c r="R160" s="131"/>
    </row>
    <row r="161" spans="2:18" ht="19.5" x14ac:dyDescent="0.35">
      <c r="B161" s="28">
        <v>167</v>
      </c>
      <c r="C161" s="131"/>
      <c r="D161" s="131"/>
      <c r="E161" s="131"/>
      <c r="F161" s="114"/>
      <c r="G161" s="131"/>
      <c r="H161" s="131"/>
      <c r="I161" s="131"/>
      <c r="J161" s="131"/>
      <c r="K161" s="131"/>
      <c r="L161" s="131"/>
      <c r="M161" s="131"/>
      <c r="N161" s="131"/>
      <c r="O161" s="131"/>
      <c r="P161" s="131"/>
      <c r="Q161" s="131"/>
      <c r="R161" s="131"/>
    </row>
    <row r="162" spans="2:18" ht="19.5" x14ac:dyDescent="0.35">
      <c r="B162" s="28">
        <v>168</v>
      </c>
      <c r="C162" s="131"/>
      <c r="D162" s="131"/>
      <c r="E162" s="131"/>
      <c r="F162" s="114"/>
      <c r="G162" s="131"/>
      <c r="H162" s="131"/>
      <c r="I162" s="131"/>
      <c r="J162" s="131"/>
      <c r="K162" s="131"/>
      <c r="L162" s="131"/>
      <c r="M162" s="131"/>
      <c r="N162" s="131"/>
      <c r="O162" s="131"/>
      <c r="P162" s="131"/>
      <c r="Q162" s="131"/>
      <c r="R162" s="131"/>
    </row>
    <row r="163" spans="2:18" ht="19.5" x14ac:dyDescent="0.35">
      <c r="B163" s="28">
        <v>169</v>
      </c>
      <c r="C163" s="131"/>
      <c r="D163" s="131"/>
      <c r="E163" s="131"/>
      <c r="F163" s="114"/>
      <c r="G163" s="131"/>
      <c r="H163" s="131"/>
      <c r="I163" s="131"/>
      <c r="J163" s="131"/>
      <c r="K163" s="131"/>
      <c r="L163" s="131"/>
      <c r="M163" s="131"/>
      <c r="N163" s="131"/>
      <c r="O163" s="131"/>
      <c r="P163" s="131"/>
      <c r="Q163" s="131"/>
      <c r="R163" s="131"/>
    </row>
    <row r="164" spans="2:18" ht="19.5" x14ac:dyDescent="0.35">
      <c r="B164" s="28">
        <v>170</v>
      </c>
      <c r="C164" s="131"/>
      <c r="D164" s="131"/>
      <c r="E164" s="131"/>
      <c r="F164" s="114"/>
      <c r="G164" s="131"/>
      <c r="H164" s="131"/>
      <c r="I164" s="131"/>
      <c r="J164" s="131"/>
      <c r="K164" s="131"/>
      <c r="L164" s="131"/>
      <c r="M164" s="131"/>
      <c r="N164" s="131"/>
      <c r="O164" s="131"/>
      <c r="P164" s="131"/>
      <c r="Q164" s="131"/>
      <c r="R164" s="131"/>
    </row>
    <row r="165" spans="2:18" ht="19.5" x14ac:dyDescent="0.35">
      <c r="B165" s="28">
        <v>171</v>
      </c>
      <c r="C165" s="131"/>
      <c r="D165" s="131"/>
      <c r="E165" s="131"/>
      <c r="F165" s="114"/>
      <c r="G165" s="131"/>
      <c r="H165" s="131"/>
      <c r="I165" s="131"/>
      <c r="J165" s="131"/>
      <c r="K165" s="131"/>
      <c r="L165" s="131"/>
      <c r="M165" s="131"/>
      <c r="N165" s="131"/>
      <c r="O165" s="131"/>
      <c r="P165" s="131"/>
      <c r="Q165" s="131"/>
      <c r="R165" s="131"/>
    </row>
    <row r="166" spans="2:18" ht="19.5" x14ac:dyDescent="0.35">
      <c r="B166" s="28">
        <v>172</v>
      </c>
      <c r="C166" s="131"/>
      <c r="D166" s="131"/>
      <c r="E166" s="131"/>
      <c r="F166" s="114"/>
      <c r="G166" s="131"/>
      <c r="H166" s="131"/>
      <c r="I166" s="131"/>
      <c r="J166" s="131"/>
      <c r="K166" s="131"/>
      <c r="L166" s="131"/>
      <c r="M166" s="131"/>
      <c r="N166" s="131"/>
      <c r="O166" s="131"/>
      <c r="P166" s="131"/>
      <c r="Q166" s="131"/>
      <c r="R166" s="131"/>
    </row>
    <row r="167" spans="2:18" ht="19.5" x14ac:dyDescent="0.35">
      <c r="B167" s="28">
        <v>173</v>
      </c>
      <c r="C167" s="131"/>
      <c r="D167" s="131"/>
      <c r="E167" s="131"/>
      <c r="F167" s="114"/>
      <c r="G167" s="131"/>
      <c r="H167" s="131"/>
      <c r="I167" s="131"/>
      <c r="J167" s="131"/>
      <c r="K167" s="131"/>
      <c r="L167" s="131"/>
      <c r="M167" s="131"/>
      <c r="N167" s="131"/>
      <c r="O167" s="131"/>
      <c r="P167" s="131"/>
      <c r="Q167" s="131"/>
      <c r="R167" s="131"/>
    </row>
    <row r="168" spans="2:18" ht="19.5" x14ac:dyDescent="0.35">
      <c r="B168" s="28">
        <v>174</v>
      </c>
      <c r="C168" s="131"/>
      <c r="D168" s="131"/>
      <c r="E168" s="131"/>
      <c r="F168" s="114"/>
      <c r="G168" s="131"/>
      <c r="H168" s="131"/>
      <c r="I168" s="131"/>
      <c r="J168" s="131"/>
      <c r="K168" s="131"/>
      <c r="L168" s="131"/>
      <c r="M168" s="131"/>
      <c r="N168" s="131"/>
      <c r="O168" s="131"/>
      <c r="P168" s="131"/>
      <c r="Q168" s="131"/>
      <c r="R168" s="131"/>
    </row>
    <row r="169" spans="2:18" ht="19.5" x14ac:dyDescent="0.35">
      <c r="B169" s="28">
        <v>175</v>
      </c>
      <c r="C169" s="131"/>
      <c r="D169" s="131"/>
      <c r="E169" s="131"/>
      <c r="F169" s="114"/>
      <c r="G169" s="131"/>
      <c r="H169" s="131"/>
      <c r="I169" s="131"/>
      <c r="J169" s="131"/>
      <c r="K169" s="131"/>
      <c r="L169" s="131"/>
      <c r="M169" s="131"/>
      <c r="N169" s="131"/>
      <c r="O169" s="131"/>
      <c r="P169" s="131"/>
      <c r="Q169" s="131"/>
      <c r="R169" s="131"/>
    </row>
    <row r="170" spans="2:18" ht="19.5" x14ac:dyDescent="0.35">
      <c r="B170" s="28">
        <v>176</v>
      </c>
      <c r="C170" s="131"/>
      <c r="D170" s="131"/>
      <c r="E170" s="131"/>
      <c r="F170" s="114"/>
      <c r="G170" s="131"/>
      <c r="H170" s="131"/>
      <c r="I170" s="131"/>
      <c r="J170" s="131"/>
      <c r="K170" s="131"/>
      <c r="L170" s="131"/>
      <c r="M170" s="131"/>
      <c r="N170" s="131"/>
      <c r="O170" s="131"/>
      <c r="P170" s="131"/>
      <c r="Q170" s="131"/>
      <c r="R170" s="131"/>
    </row>
    <row r="171" spans="2:18" ht="19.5" x14ac:dyDescent="0.35">
      <c r="B171" s="28">
        <v>177</v>
      </c>
      <c r="C171" s="131"/>
      <c r="D171" s="131"/>
      <c r="E171" s="131"/>
      <c r="F171" s="114"/>
      <c r="G171" s="131"/>
      <c r="H171" s="131"/>
      <c r="I171" s="131"/>
      <c r="J171" s="131"/>
      <c r="K171" s="131"/>
      <c r="L171" s="131"/>
      <c r="M171" s="131"/>
      <c r="N171" s="131"/>
      <c r="O171" s="131"/>
      <c r="P171" s="131"/>
      <c r="Q171" s="131"/>
      <c r="R171" s="131"/>
    </row>
    <row r="172" spans="2:18" ht="19.5" x14ac:dyDescent="0.35">
      <c r="B172" s="28">
        <v>178</v>
      </c>
      <c r="C172" s="131"/>
      <c r="D172" s="131"/>
      <c r="E172" s="131"/>
      <c r="F172" s="114"/>
      <c r="G172" s="131"/>
      <c r="H172" s="131"/>
      <c r="I172" s="131"/>
      <c r="J172" s="131"/>
      <c r="K172" s="131"/>
      <c r="L172" s="131"/>
      <c r="M172" s="131"/>
      <c r="N172" s="131"/>
      <c r="O172" s="131"/>
      <c r="P172" s="131"/>
      <c r="Q172" s="131"/>
      <c r="R172" s="131"/>
    </row>
    <row r="173" spans="2:18" ht="19.5" x14ac:dyDescent="0.35">
      <c r="B173" s="28">
        <v>179</v>
      </c>
      <c r="C173" s="131"/>
      <c r="D173" s="131"/>
      <c r="E173" s="131"/>
      <c r="F173" s="114"/>
      <c r="G173" s="131"/>
      <c r="H173" s="131"/>
      <c r="I173" s="131"/>
      <c r="J173" s="131"/>
      <c r="K173" s="131"/>
      <c r="L173" s="131"/>
      <c r="M173" s="131"/>
      <c r="N173" s="131"/>
      <c r="O173" s="131"/>
      <c r="P173" s="131"/>
      <c r="Q173" s="131"/>
      <c r="R173" s="131"/>
    </row>
    <row r="174" spans="2:18" ht="19.5" x14ac:dyDescent="0.35">
      <c r="B174" s="28">
        <v>180</v>
      </c>
      <c r="C174" s="131"/>
      <c r="D174" s="131"/>
      <c r="E174" s="131"/>
      <c r="F174" s="114"/>
      <c r="G174" s="131"/>
      <c r="H174" s="131"/>
      <c r="I174" s="131"/>
      <c r="J174" s="131"/>
      <c r="K174" s="131"/>
      <c r="L174" s="131"/>
      <c r="M174" s="131"/>
      <c r="N174" s="131"/>
      <c r="O174" s="131"/>
      <c r="P174" s="131"/>
      <c r="Q174" s="131"/>
      <c r="R174" s="131"/>
    </row>
    <row r="175" spans="2:18" ht="19.5" x14ac:dyDescent="0.35">
      <c r="B175" s="28">
        <v>181</v>
      </c>
      <c r="C175" s="131"/>
      <c r="D175" s="131"/>
      <c r="E175" s="131"/>
      <c r="F175" s="114"/>
      <c r="G175" s="131"/>
      <c r="H175" s="131"/>
      <c r="I175" s="131"/>
      <c r="J175" s="131"/>
      <c r="K175" s="131"/>
      <c r="L175" s="131"/>
      <c r="M175" s="131"/>
      <c r="N175" s="131"/>
      <c r="O175" s="131"/>
      <c r="P175" s="131"/>
      <c r="Q175" s="131"/>
      <c r="R175" s="131"/>
    </row>
    <row r="176" spans="2:18" ht="19.5" x14ac:dyDescent="0.35">
      <c r="B176" s="28">
        <v>182</v>
      </c>
      <c r="C176" s="131"/>
      <c r="D176" s="131"/>
      <c r="E176" s="131"/>
      <c r="F176" s="114"/>
      <c r="G176" s="131"/>
      <c r="H176" s="131"/>
      <c r="I176" s="131"/>
      <c r="J176" s="131"/>
      <c r="K176" s="131"/>
      <c r="L176" s="131"/>
      <c r="M176" s="131"/>
      <c r="N176" s="131"/>
      <c r="O176" s="131"/>
      <c r="P176" s="131"/>
      <c r="Q176" s="131"/>
      <c r="R176" s="13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C1B1E-134F-4292-9618-D16544801522}">
  <dimension ref="B1:Q74"/>
  <sheetViews>
    <sheetView topLeftCell="F9" workbookViewId="0">
      <selection activeCell="K15" sqref="K15"/>
    </sheetView>
  </sheetViews>
  <sheetFormatPr defaultRowHeight="15" x14ac:dyDescent="0.25"/>
  <cols>
    <col min="5" max="5" width="10.140625" bestFit="1" customWidth="1"/>
    <col min="7" max="7" width="31.7109375" customWidth="1"/>
    <col min="8" max="8" width="11.85546875" customWidth="1"/>
    <col min="9" max="9" width="12.140625" customWidth="1"/>
  </cols>
  <sheetData>
    <row r="1" spans="2:17" ht="136.5" x14ac:dyDescent="0.25">
      <c r="B1" s="28" t="s">
        <v>4767</v>
      </c>
      <c r="C1" s="122" t="s">
        <v>77</v>
      </c>
      <c r="D1" s="28" t="s">
        <v>4768</v>
      </c>
      <c r="E1" s="28" t="s">
        <v>79</v>
      </c>
      <c r="F1" s="28" t="s">
        <v>80</v>
      </c>
      <c r="G1" s="28" t="s">
        <v>81</v>
      </c>
      <c r="H1" s="28" t="s">
        <v>82</v>
      </c>
      <c r="I1" s="28" t="s">
        <v>4769</v>
      </c>
      <c r="J1" s="28" t="s">
        <v>4770</v>
      </c>
      <c r="K1" s="28" t="s">
        <v>85</v>
      </c>
      <c r="L1" s="28" t="s">
        <v>4771</v>
      </c>
      <c r="M1" s="28" t="s">
        <v>4772</v>
      </c>
      <c r="N1" s="28" t="s">
        <v>4773</v>
      </c>
      <c r="O1" s="28" t="s">
        <v>4774</v>
      </c>
      <c r="P1" s="28" t="s">
        <v>4775</v>
      </c>
      <c r="Q1" s="28" t="s">
        <v>4776</v>
      </c>
    </row>
    <row r="2" spans="2:17" ht="78" x14ac:dyDescent="0.25">
      <c r="B2" s="28">
        <v>1</v>
      </c>
      <c r="C2" s="28" t="s">
        <v>4777</v>
      </c>
      <c r="D2" s="28" t="s">
        <v>4778</v>
      </c>
      <c r="E2" s="108" t="s">
        <v>4845</v>
      </c>
      <c r="F2" s="109">
        <v>0.92638888888888893</v>
      </c>
      <c r="G2" s="122" t="s">
        <v>5972</v>
      </c>
      <c r="H2" s="26" t="s">
        <v>4819</v>
      </c>
      <c r="I2" s="28" t="s">
        <v>4800</v>
      </c>
      <c r="J2" s="28">
        <v>150000</v>
      </c>
      <c r="K2" s="28">
        <v>50000</v>
      </c>
      <c r="L2" s="28" t="s">
        <v>2663</v>
      </c>
      <c r="M2" s="28" t="s">
        <v>2663</v>
      </c>
      <c r="N2" s="28" t="s">
        <v>2663</v>
      </c>
      <c r="O2" s="28" t="s">
        <v>2663</v>
      </c>
      <c r="P2" s="28" t="s">
        <v>2663</v>
      </c>
      <c r="Q2" s="28" t="s">
        <v>2663</v>
      </c>
    </row>
    <row r="3" spans="2:17" ht="58.5" x14ac:dyDescent="0.25">
      <c r="B3" s="28">
        <v>2</v>
      </c>
      <c r="C3" s="28" t="s">
        <v>4777</v>
      </c>
      <c r="D3" s="28" t="s">
        <v>4780</v>
      </c>
      <c r="E3" s="108" t="s">
        <v>5967</v>
      </c>
      <c r="F3" s="109">
        <v>0.3923611111111111</v>
      </c>
      <c r="G3" s="122" t="s">
        <v>5973</v>
      </c>
      <c r="H3" s="28" t="s">
        <v>4779</v>
      </c>
      <c r="I3" s="28" t="s">
        <v>320</v>
      </c>
      <c r="J3" s="28">
        <v>60000</v>
      </c>
      <c r="K3" s="28">
        <v>180000</v>
      </c>
      <c r="L3" s="28" t="s">
        <v>2663</v>
      </c>
      <c r="M3" s="28" t="s">
        <v>2663</v>
      </c>
      <c r="N3" s="28" t="s">
        <v>2663</v>
      </c>
      <c r="O3" s="28" t="s">
        <v>2663</v>
      </c>
      <c r="P3" s="28" t="s">
        <v>2663</v>
      </c>
      <c r="Q3" s="28" t="s">
        <v>2663</v>
      </c>
    </row>
    <row r="4" spans="2:17" ht="93.6" customHeight="1" x14ac:dyDescent="0.25">
      <c r="B4" s="26">
        <v>3</v>
      </c>
      <c r="C4" s="28" t="s">
        <v>4777</v>
      </c>
      <c r="D4" s="28" t="s">
        <v>4780</v>
      </c>
      <c r="E4" s="110" t="s">
        <v>4802</v>
      </c>
      <c r="F4" s="163">
        <v>0.80902777777777779</v>
      </c>
      <c r="G4" s="26" t="s">
        <v>5977</v>
      </c>
      <c r="H4" s="26" t="s">
        <v>4819</v>
      </c>
      <c r="I4" s="28" t="s">
        <v>4803</v>
      </c>
      <c r="J4" s="26">
        <v>2000</v>
      </c>
      <c r="K4" s="26">
        <v>48000</v>
      </c>
      <c r="L4" s="26" t="s">
        <v>2663</v>
      </c>
      <c r="M4" s="26" t="s">
        <v>2663</v>
      </c>
      <c r="N4" s="26" t="s">
        <v>2663</v>
      </c>
      <c r="O4" s="26" t="s">
        <v>2663</v>
      </c>
      <c r="P4" s="26" t="s">
        <v>2663</v>
      </c>
      <c r="Q4" s="26" t="s">
        <v>2663</v>
      </c>
    </row>
    <row r="5" spans="2:17" ht="58.5" x14ac:dyDescent="0.25">
      <c r="B5" s="26">
        <v>4</v>
      </c>
      <c r="C5" s="28" t="s">
        <v>4777</v>
      </c>
      <c r="D5" s="28" t="s">
        <v>4780</v>
      </c>
      <c r="E5" s="110" t="s">
        <v>5968</v>
      </c>
      <c r="F5" s="163">
        <v>0.43958333333333333</v>
      </c>
      <c r="G5" s="122" t="s">
        <v>5974</v>
      </c>
      <c r="H5" s="26" t="s">
        <v>4819</v>
      </c>
      <c r="I5" s="28" t="s">
        <v>4803</v>
      </c>
      <c r="J5" s="26">
        <v>2000</v>
      </c>
      <c r="K5" s="26">
        <v>48000</v>
      </c>
      <c r="L5" s="26" t="s">
        <v>2663</v>
      </c>
      <c r="M5" s="26" t="s">
        <v>2663</v>
      </c>
      <c r="N5" s="26" t="s">
        <v>2663</v>
      </c>
      <c r="O5" s="26" t="s">
        <v>2663</v>
      </c>
      <c r="P5" s="26" t="s">
        <v>2663</v>
      </c>
      <c r="Q5" s="26" t="s">
        <v>2663</v>
      </c>
    </row>
    <row r="6" spans="2:17" ht="58.5" x14ac:dyDescent="0.25">
      <c r="B6" s="28">
        <v>5</v>
      </c>
      <c r="C6" s="28" t="s">
        <v>4777</v>
      </c>
      <c r="D6" s="28" t="s">
        <v>4778</v>
      </c>
      <c r="E6" s="108" t="s">
        <v>5969</v>
      </c>
      <c r="F6" s="109">
        <v>0.76527777777777772</v>
      </c>
      <c r="G6" s="122" t="s">
        <v>5975</v>
      </c>
      <c r="H6" s="28"/>
      <c r="I6" s="28" t="s">
        <v>2443</v>
      </c>
      <c r="J6" s="28"/>
      <c r="K6" s="28"/>
      <c r="L6" s="28" t="s">
        <v>2663</v>
      </c>
      <c r="M6" s="28" t="s">
        <v>2663</v>
      </c>
      <c r="N6" s="28" t="s">
        <v>2663</v>
      </c>
      <c r="O6" s="28" t="s">
        <v>2663</v>
      </c>
      <c r="P6" s="28" t="s">
        <v>2663</v>
      </c>
      <c r="Q6" s="28" t="s">
        <v>2663</v>
      </c>
    </row>
    <row r="7" spans="2:17" ht="58.5" x14ac:dyDescent="0.25">
      <c r="B7" s="28">
        <v>6</v>
      </c>
      <c r="C7" s="28" t="s">
        <v>4777</v>
      </c>
      <c r="D7" s="26" t="s">
        <v>4778</v>
      </c>
      <c r="E7" s="108" t="s">
        <v>5970</v>
      </c>
      <c r="F7" s="109">
        <v>0.47916666666666669</v>
      </c>
      <c r="G7" s="122" t="s">
        <v>5976</v>
      </c>
      <c r="H7" s="28"/>
      <c r="I7" s="28" t="s">
        <v>2443</v>
      </c>
      <c r="J7" s="28">
        <v>20000</v>
      </c>
      <c r="K7" s="28">
        <v>1980000</v>
      </c>
      <c r="L7" s="28" t="s">
        <v>2663</v>
      </c>
      <c r="M7" s="28" t="s">
        <v>2663</v>
      </c>
      <c r="N7" s="28" t="s">
        <v>2663</v>
      </c>
      <c r="O7" s="28" t="s">
        <v>2663</v>
      </c>
      <c r="P7" s="28" t="s">
        <v>2663</v>
      </c>
      <c r="Q7" s="28" t="s">
        <v>2663</v>
      </c>
    </row>
    <row r="8" spans="2:17" ht="58.5" x14ac:dyDescent="0.35">
      <c r="B8" s="28">
        <v>7</v>
      </c>
      <c r="C8" s="28" t="s">
        <v>4777</v>
      </c>
      <c r="D8" s="28" t="s">
        <v>4780</v>
      </c>
      <c r="E8" s="108" t="s">
        <v>5969</v>
      </c>
      <c r="F8" s="109">
        <v>0.58958333333333335</v>
      </c>
      <c r="G8" s="122" t="s">
        <v>5978</v>
      </c>
      <c r="H8" s="131"/>
      <c r="I8" s="28" t="s">
        <v>2443</v>
      </c>
      <c r="J8" s="28">
        <v>900000</v>
      </c>
      <c r="K8" s="28">
        <v>20000000</v>
      </c>
      <c r="L8" s="28" t="s">
        <v>2663</v>
      </c>
      <c r="M8" s="28" t="s">
        <v>2663</v>
      </c>
      <c r="N8" s="28" t="s">
        <v>2663</v>
      </c>
      <c r="O8" s="28" t="s">
        <v>2663</v>
      </c>
      <c r="P8" s="28" t="s">
        <v>2663</v>
      </c>
      <c r="Q8" s="28" t="s">
        <v>2663</v>
      </c>
    </row>
    <row r="9" spans="2:17" ht="58.5" x14ac:dyDescent="0.35">
      <c r="B9" s="28">
        <v>8</v>
      </c>
      <c r="C9" s="28" t="s">
        <v>4777</v>
      </c>
      <c r="D9" s="28" t="s">
        <v>4780</v>
      </c>
      <c r="E9" s="108" t="s">
        <v>5967</v>
      </c>
      <c r="F9" s="109">
        <v>0.42569444444444443</v>
      </c>
      <c r="G9" s="122" t="s">
        <v>5978</v>
      </c>
      <c r="H9" s="131"/>
      <c r="I9" s="28" t="s">
        <v>2443</v>
      </c>
      <c r="J9" s="28">
        <v>50000</v>
      </c>
      <c r="K9" s="28">
        <v>350000</v>
      </c>
      <c r="L9" s="28" t="s">
        <v>2663</v>
      </c>
      <c r="M9" s="28" t="s">
        <v>2663</v>
      </c>
      <c r="N9" s="28" t="s">
        <v>2663</v>
      </c>
      <c r="O9" s="28" t="s">
        <v>2663</v>
      </c>
      <c r="P9" s="28" t="s">
        <v>2663</v>
      </c>
      <c r="Q9" s="28" t="s">
        <v>2663</v>
      </c>
    </row>
    <row r="10" spans="2:17" ht="58.5" x14ac:dyDescent="0.35">
      <c r="B10" s="28">
        <v>9</v>
      </c>
      <c r="C10" s="28" t="s">
        <v>4777</v>
      </c>
      <c r="D10" s="28" t="s">
        <v>4780</v>
      </c>
      <c r="E10" s="108" t="s">
        <v>4820</v>
      </c>
      <c r="F10" s="109">
        <v>0.72916666666666663</v>
      </c>
      <c r="G10" s="122" t="s">
        <v>5979</v>
      </c>
      <c r="H10" s="131"/>
      <c r="I10" s="28" t="s">
        <v>2443</v>
      </c>
      <c r="J10" s="28">
        <v>20000</v>
      </c>
      <c r="K10" s="28">
        <v>100000</v>
      </c>
      <c r="L10" s="28" t="s">
        <v>2663</v>
      </c>
      <c r="M10" s="28" t="s">
        <v>2663</v>
      </c>
      <c r="N10" s="28" t="s">
        <v>2663</v>
      </c>
      <c r="O10" s="28" t="s">
        <v>2663</v>
      </c>
      <c r="P10" s="28" t="s">
        <v>2663</v>
      </c>
      <c r="Q10" s="28" t="s">
        <v>2663</v>
      </c>
    </row>
    <row r="11" spans="2:17" ht="58.5" x14ac:dyDescent="0.35">
      <c r="B11" s="28">
        <v>10</v>
      </c>
      <c r="C11" s="28" t="s">
        <v>4777</v>
      </c>
      <c r="D11" s="28" t="s">
        <v>4780</v>
      </c>
      <c r="E11" s="108" t="s">
        <v>5958</v>
      </c>
      <c r="F11" s="109">
        <v>0.4861111111111111</v>
      </c>
      <c r="G11" s="122" t="s">
        <v>5980</v>
      </c>
      <c r="H11" s="131"/>
      <c r="I11" s="28" t="s">
        <v>2443</v>
      </c>
      <c r="J11" s="28">
        <v>50000</v>
      </c>
      <c r="K11" s="28">
        <v>5000000</v>
      </c>
      <c r="L11" s="28" t="s">
        <v>2663</v>
      </c>
      <c r="M11" s="28" t="s">
        <v>2663</v>
      </c>
      <c r="N11" s="28" t="s">
        <v>2663</v>
      </c>
      <c r="O11" s="28" t="s">
        <v>2663</v>
      </c>
      <c r="P11" s="28" t="s">
        <v>2663</v>
      </c>
      <c r="Q11" s="28" t="s">
        <v>2663</v>
      </c>
    </row>
    <row r="12" spans="2:17" ht="78" x14ac:dyDescent="0.25">
      <c r="B12" s="28">
        <v>11</v>
      </c>
      <c r="C12" s="28" t="s">
        <v>4777</v>
      </c>
      <c r="D12" s="28" t="s">
        <v>4780</v>
      </c>
      <c r="E12" s="108" t="s">
        <v>4845</v>
      </c>
      <c r="F12" s="163">
        <v>0.94305555555555554</v>
      </c>
      <c r="G12" s="122" t="s">
        <v>5981</v>
      </c>
      <c r="H12" s="28"/>
      <c r="I12" s="28" t="s">
        <v>2443</v>
      </c>
      <c r="J12" s="28"/>
      <c r="K12" s="28"/>
      <c r="L12" s="28" t="s">
        <v>2663</v>
      </c>
      <c r="M12" s="28" t="s">
        <v>2663</v>
      </c>
      <c r="N12" s="28" t="s">
        <v>2663</v>
      </c>
      <c r="O12" s="28" t="s">
        <v>2663</v>
      </c>
      <c r="P12" s="28" t="s">
        <v>2663</v>
      </c>
      <c r="Q12" s="28" t="s">
        <v>2663</v>
      </c>
    </row>
    <row r="13" spans="2:17" ht="58.5" x14ac:dyDescent="0.25">
      <c r="B13" s="28">
        <v>12</v>
      </c>
      <c r="C13" s="28" t="s">
        <v>4777</v>
      </c>
      <c r="D13" s="28" t="s">
        <v>4780</v>
      </c>
      <c r="E13" s="108" t="s">
        <v>5970</v>
      </c>
      <c r="F13" s="109">
        <v>3.6111111111111108E-2</v>
      </c>
      <c r="G13" s="26" t="s">
        <v>5983</v>
      </c>
      <c r="H13" s="28" t="s">
        <v>4784</v>
      </c>
      <c r="I13" s="28" t="s">
        <v>2443</v>
      </c>
      <c r="J13" s="26">
        <v>50000</v>
      </c>
      <c r="K13" s="28">
        <v>5000000</v>
      </c>
      <c r="L13" s="28" t="s">
        <v>2663</v>
      </c>
      <c r="M13" s="28" t="s">
        <v>2663</v>
      </c>
      <c r="N13" s="28" t="s">
        <v>2663</v>
      </c>
      <c r="O13" s="28" t="s">
        <v>2663</v>
      </c>
      <c r="P13" s="28" t="s">
        <v>2663</v>
      </c>
      <c r="Q13" s="28" t="s">
        <v>2663</v>
      </c>
    </row>
    <row r="14" spans="2:17" ht="78" x14ac:dyDescent="0.25">
      <c r="B14" s="28">
        <v>13</v>
      </c>
      <c r="C14" s="28" t="s">
        <v>4777</v>
      </c>
      <c r="D14" s="28" t="s">
        <v>4780</v>
      </c>
      <c r="E14" s="108" t="s">
        <v>5970</v>
      </c>
      <c r="F14" s="109">
        <v>0.67986111111111114</v>
      </c>
      <c r="G14" s="26" t="s">
        <v>5982</v>
      </c>
      <c r="H14" s="28"/>
      <c r="I14" s="28" t="s">
        <v>2443</v>
      </c>
      <c r="J14" s="122">
        <v>40000</v>
      </c>
      <c r="K14" s="28">
        <v>4000000</v>
      </c>
      <c r="L14" s="28" t="s">
        <v>2663</v>
      </c>
      <c r="M14" s="28" t="s">
        <v>2663</v>
      </c>
      <c r="N14" s="28" t="s">
        <v>2663</v>
      </c>
      <c r="O14" s="28" t="s">
        <v>2663</v>
      </c>
      <c r="P14" s="28" t="s">
        <v>2663</v>
      </c>
      <c r="Q14" s="28">
        <v>3</v>
      </c>
    </row>
    <row r="15" spans="2:17" ht="78" x14ac:dyDescent="0.25">
      <c r="B15" s="28">
        <v>14</v>
      </c>
      <c r="C15" s="28" t="s">
        <v>4777</v>
      </c>
      <c r="D15" s="28" t="s">
        <v>4780</v>
      </c>
      <c r="E15" s="108" t="s">
        <v>4817</v>
      </c>
      <c r="F15" s="109">
        <v>0.56527777777777777</v>
      </c>
      <c r="G15" s="122" t="s">
        <v>4818</v>
      </c>
      <c r="H15" s="28"/>
      <c r="I15" s="28" t="s">
        <v>2443</v>
      </c>
      <c r="J15" s="122">
        <v>10000</v>
      </c>
      <c r="K15" s="28">
        <v>50000</v>
      </c>
      <c r="L15" s="28" t="s">
        <v>2663</v>
      </c>
      <c r="M15" s="28" t="s">
        <v>2663</v>
      </c>
      <c r="N15" s="28" t="s">
        <v>2663</v>
      </c>
      <c r="O15" s="28" t="s">
        <v>2663</v>
      </c>
      <c r="P15" s="28" t="s">
        <v>2663</v>
      </c>
      <c r="Q15" s="28" t="s">
        <v>2663</v>
      </c>
    </row>
    <row r="16" spans="2:17" ht="19.5" x14ac:dyDescent="0.35">
      <c r="B16" s="28"/>
      <c r="C16" s="28"/>
      <c r="D16" s="26"/>
      <c r="E16" s="108"/>
      <c r="F16" s="109"/>
      <c r="G16" s="122"/>
      <c r="H16" s="131"/>
      <c r="I16" s="131"/>
      <c r="J16" s="28" t="s">
        <v>2663</v>
      </c>
      <c r="K16" s="28" t="s">
        <v>2663</v>
      </c>
      <c r="L16" s="28" t="s">
        <v>2663</v>
      </c>
      <c r="M16" s="28" t="s">
        <v>2663</v>
      </c>
      <c r="N16" s="28" t="s">
        <v>2663</v>
      </c>
      <c r="O16" s="28" t="s">
        <v>2663</v>
      </c>
      <c r="P16" s="28" t="s">
        <v>2663</v>
      </c>
      <c r="Q16" s="28" t="s">
        <v>2663</v>
      </c>
    </row>
    <row r="17" spans="2:17" ht="19.5" x14ac:dyDescent="0.35">
      <c r="B17" s="28"/>
      <c r="C17" s="28"/>
      <c r="D17" s="26"/>
      <c r="E17" s="108"/>
      <c r="F17" s="109"/>
      <c r="G17" s="122"/>
      <c r="H17" s="131"/>
      <c r="I17" s="131"/>
      <c r="J17" s="28"/>
      <c r="K17" s="28"/>
      <c r="L17" s="28"/>
      <c r="M17" s="28"/>
      <c r="N17" s="28"/>
      <c r="O17" s="28" t="s">
        <v>2663</v>
      </c>
      <c r="P17" s="28" t="s">
        <v>2663</v>
      </c>
      <c r="Q17" s="28" t="s">
        <v>2663</v>
      </c>
    </row>
    <row r="18" spans="2:17" ht="19.5" x14ac:dyDescent="0.35">
      <c r="B18" s="28"/>
      <c r="C18" s="28"/>
      <c r="D18" s="26"/>
      <c r="E18" s="108"/>
      <c r="F18" s="109"/>
      <c r="G18" s="122"/>
      <c r="H18" s="131"/>
      <c r="I18" s="131"/>
      <c r="J18" s="28"/>
      <c r="K18" s="28"/>
      <c r="L18" s="28"/>
      <c r="M18" s="28"/>
      <c r="N18" s="28"/>
      <c r="O18" s="28" t="s">
        <v>2663</v>
      </c>
      <c r="P18" s="28" t="s">
        <v>2663</v>
      </c>
      <c r="Q18" s="28" t="s">
        <v>2663</v>
      </c>
    </row>
    <row r="19" spans="2:17" ht="19.5" x14ac:dyDescent="0.35">
      <c r="B19" s="28"/>
      <c r="C19" s="28"/>
      <c r="D19" s="26"/>
      <c r="E19" s="108"/>
      <c r="F19" s="109"/>
      <c r="G19" s="122"/>
      <c r="H19" s="131"/>
      <c r="I19" s="131"/>
      <c r="J19" s="28"/>
      <c r="K19" s="28"/>
      <c r="L19" s="28"/>
      <c r="M19" s="28"/>
      <c r="N19" s="28"/>
      <c r="O19" s="28" t="s">
        <v>2663</v>
      </c>
      <c r="P19" s="28" t="s">
        <v>2663</v>
      </c>
      <c r="Q19" s="28" t="s">
        <v>2663</v>
      </c>
    </row>
    <row r="20" spans="2:17" ht="19.5" x14ac:dyDescent="0.35">
      <c r="B20" s="28"/>
      <c r="C20" s="28" t="s">
        <v>5971</v>
      </c>
      <c r="D20" s="26"/>
      <c r="E20" s="108"/>
      <c r="F20" s="109"/>
      <c r="G20" s="122"/>
      <c r="H20" s="131"/>
      <c r="I20" s="131"/>
      <c r="J20" s="28"/>
      <c r="K20" s="28"/>
      <c r="L20" s="28"/>
      <c r="M20" s="28"/>
      <c r="N20" s="28" t="s">
        <v>2663</v>
      </c>
      <c r="O20" s="28" t="s">
        <v>2663</v>
      </c>
      <c r="P20" s="28" t="s">
        <v>2663</v>
      </c>
      <c r="Q20" s="28" t="s">
        <v>2663</v>
      </c>
    </row>
    <row r="21" spans="2:17" ht="19.5" x14ac:dyDescent="0.35">
      <c r="B21" s="28"/>
      <c r="C21" s="28"/>
      <c r="D21" s="26"/>
      <c r="E21" s="108"/>
      <c r="F21" s="109"/>
      <c r="G21" s="122"/>
      <c r="H21" s="131"/>
      <c r="I21" s="131"/>
      <c r="J21" s="28"/>
      <c r="K21" s="28"/>
      <c r="L21" s="28"/>
      <c r="M21" s="28"/>
      <c r="N21" s="26" t="s">
        <v>2663</v>
      </c>
      <c r="O21" s="26" t="s">
        <v>2663</v>
      </c>
      <c r="P21" s="26" t="s">
        <v>2663</v>
      </c>
      <c r="Q21" s="26" t="s">
        <v>2663</v>
      </c>
    </row>
    <row r="22" spans="2:17" ht="19.5" x14ac:dyDescent="0.25">
      <c r="B22" s="28"/>
      <c r="C22" s="28"/>
      <c r="D22" s="26"/>
      <c r="E22" s="108"/>
      <c r="F22" s="109"/>
      <c r="G22" s="122"/>
      <c r="H22" s="28"/>
      <c r="I22" s="28"/>
      <c r="J22" s="28"/>
      <c r="K22" s="28"/>
      <c r="L22" s="28"/>
      <c r="M22" s="28" t="s">
        <v>2663</v>
      </c>
      <c r="N22" s="26" t="s">
        <v>2663</v>
      </c>
      <c r="O22" s="26" t="s">
        <v>2663</v>
      </c>
      <c r="P22" s="26" t="s">
        <v>2663</v>
      </c>
      <c r="Q22" s="26" t="s">
        <v>2663</v>
      </c>
    </row>
    <row r="23" spans="2:17" ht="19.5" x14ac:dyDescent="0.25">
      <c r="B23" s="28"/>
      <c r="C23" s="28"/>
      <c r="D23" s="26"/>
      <c r="E23" s="108"/>
      <c r="F23" s="109"/>
      <c r="G23" s="122"/>
      <c r="H23" s="28"/>
      <c r="I23" s="28"/>
      <c r="J23" s="28"/>
      <c r="K23" s="28"/>
      <c r="L23" s="28"/>
      <c r="M23" s="28" t="s">
        <v>2663</v>
      </c>
      <c r="N23" s="26" t="s">
        <v>2663</v>
      </c>
      <c r="O23" s="26" t="s">
        <v>2663</v>
      </c>
      <c r="P23" s="26" t="s">
        <v>2663</v>
      </c>
      <c r="Q23" s="26" t="s">
        <v>2663</v>
      </c>
    </row>
    <row r="24" spans="2:17" ht="19.5" x14ac:dyDescent="0.25">
      <c r="B24" s="28"/>
      <c r="C24" s="28"/>
      <c r="D24" s="26"/>
      <c r="E24" s="108"/>
      <c r="F24" s="109"/>
      <c r="G24" s="122"/>
      <c r="H24" s="28"/>
      <c r="I24" s="28"/>
      <c r="J24" s="28"/>
      <c r="K24" s="28"/>
      <c r="L24" s="28"/>
      <c r="M24" s="28" t="s">
        <v>2663</v>
      </c>
      <c r="N24" s="26" t="s">
        <v>2663</v>
      </c>
      <c r="O24" s="26" t="s">
        <v>2663</v>
      </c>
      <c r="P24" s="26" t="s">
        <v>2663</v>
      </c>
      <c r="Q24" s="26" t="s">
        <v>2663</v>
      </c>
    </row>
    <row r="25" spans="2:17" ht="19.5" x14ac:dyDescent="0.25">
      <c r="B25" s="28"/>
      <c r="C25" s="28"/>
      <c r="D25" s="26"/>
      <c r="E25" s="108"/>
      <c r="F25" s="109"/>
      <c r="G25" s="122"/>
      <c r="H25" s="28"/>
      <c r="I25" s="28"/>
      <c r="J25" s="28"/>
      <c r="K25" s="28"/>
      <c r="L25" s="28"/>
      <c r="M25" s="28" t="s">
        <v>2663</v>
      </c>
      <c r="N25" s="26" t="s">
        <v>2663</v>
      </c>
      <c r="O25" s="26" t="s">
        <v>2663</v>
      </c>
      <c r="P25" s="26" t="s">
        <v>2663</v>
      </c>
      <c r="Q25" s="26" t="s">
        <v>2663</v>
      </c>
    </row>
    <row r="26" spans="2:17" ht="19.5" x14ac:dyDescent="0.25">
      <c r="B26" s="28"/>
      <c r="C26" s="28"/>
      <c r="D26" s="26"/>
      <c r="E26" s="108"/>
      <c r="F26" s="109"/>
      <c r="G26" s="122"/>
      <c r="H26" s="28"/>
      <c r="I26" s="28"/>
      <c r="J26" s="28"/>
      <c r="K26" s="28"/>
      <c r="L26" s="28"/>
      <c r="M26" s="28" t="s">
        <v>2663</v>
      </c>
      <c r="N26" s="26" t="s">
        <v>2663</v>
      </c>
      <c r="O26" s="26" t="s">
        <v>2663</v>
      </c>
      <c r="P26" s="26" t="s">
        <v>2663</v>
      </c>
      <c r="Q26" s="26" t="s">
        <v>2663</v>
      </c>
    </row>
    <row r="27" spans="2:17" ht="19.5" x14ac:dyDescent="0.25">
      <c r="B27" s="28"/>
      <c r="C27" s="28"/>
      <c r="D27" s="26"/>
      <c r="E27" s="108"/>
      <c r="F27" s="109"/>
      <c r="G27" s="122"/>
      <c r="H27" s="28"/>
      <c r="I27" s="28"/>
      <c r="J27" s="28"/>
      <c r="K27" s="28"/>
      <c r="L27" s="28"/>
      <c r="M27" s="28" t="s">
        <v>2663</v>
      </c>
      <c r="N27" s="26" t="s">
        <v>2663</v>
      </c>
      <c r="O27" s="26" t="s">
        <v>2663</v>
      </c>
      <c r="P27" s="26" t="s">
        <v>2663</v>
      </c>
      <c r="Q27" s="26" t="s">
        <v>2663</v>
      </c>
    </row>
    <row r="28" spans="2:17" ht="19.5" x14ac:dyDescent="0.25">
      <c r="B28" s="28"/>
      <c r="C28" s="28"/>
      <c r="D28" s="26"/>
      <c r="E28" s="108"/>
      <c r="F28" s="109"/>
      <c r="G28" s="122"/>
      <c r="H28" s="28"/>
      <c r="I28" s="28"/>
      <c r="J28" s="28"/>
      <c r="K28" s="28"/>
      <c r="L28" s="28"/>
      <c r="M28" s="28" t="s">
        <v>2663</v>
      </c>
      <c r="N28" s="26" t="s">
        <v>2663</v>
      </c>
      <c r="O28" s="26" t="s">
        <v>2663</v>
      </c>
      <c r="P28" s="26" t="s">
        <v>2663</v>
      </c>
      <c r="Q28" s="26" t="s">
        <v>2663</v>
      </c>
    </row>
    <row r="29" spans="2:17" ht="19.5" x14ac:dyDescent="0.25">
      <c r="B29" s="28"/>
      <c r="C29" s="28"/>
      <c r="D29" s="26"/>
      <c r="E29" s="108"/>
      <c r="F29" s="109"/>
      <c r="G29" s="122"/>
      <c r="H29" s="28"/>
      <c r="I29" s="28"/>
      <c r="J29" s="28"/>
      <c r="K29" s="28"/>
      <c r="L29" s="28"/>
      <c r="M29" s="28" t="s">
        <v>2663</v>
      </c>
      <c r="N29" s="26" t="s">
        <v>2663</v>
      </c>
      <c r="O29" s="26" t="s">
        <v>2663</v>
      </c>
      <c r="P29" s="26" t="s">
        <v>2663</v>
      </c>
      <c r="Q29" s="26" t="s">
        <v>2663</v>
      </c>
    </row>
    <row r="30" spans="2:17" ht="19.5" x14ac:dyDescent="0.25">
      <c r="B30" s="28"/>
      <c r="C30" s="28"/>
      <c r="D30" s="26"/>
      <c r="E30" s="108"/>
      <c r="F30" s="109"/>
      <c r="G30" s="122"/>
      <c r="H30" s="28"/>
      <c r="I30" s="28"/>
      <c r="J30" s="28"/>
      <c r="K30" s="28"/>
      <c r="L30" s="28"/>
      <c r="M30" s="28" t="s">
        <v>2663</v>
      </c>
      <c r="N30" s="26" t="s">
        <v>2663</v>
      </c>
      <c r="O30" s="26" t="s">
        <v>2663</v>
      </c>
      <c r="P30" s="26" t="s">
        <v>2663</v>
      </c>
      <c r="Q30" s="26" t="s">
        <v>2663</v>
      </c>
    </row>
    <row r="31" spans="2:17" ht="19.5" x14ac:dyDescent="0.25">
      <c r="B31" s="28"/>
      <c r="C31" s="28"/>
      <c r="D31" s="26"/>
      <c r="E31" s="108"/>
      <c r="F31" s="109"/>
      <c r="G31" s="122"/>
      <c r="H31" s="28"/>
      <c r="I31" s="28"/>
      <c r="J31" s="28"/>
      <c r="K31" s="28"/>
      <c r="L31" s="28"/>
      <c r="M31" s="28" t="s">
        <v>2663</v>
      </c>
      <c r="N31" s="26" t="s">
        <v>2663</v>
      </c>
      <c r="O31" s="26" t="s">
        <v>2663</v>
      </c>
      <c r="P31" s="26" t="s">
        <v>2663</v>
      </c>
      <c r="Q31" s="26" t="s">
        <v>2663</v>
      </c>
    </row>
    <row r="32" spans="2:17" ht="19.5" x14ac:dyDescent="0.25">
      <c r="B32" s="28"/>
      <c r="C32" s="28"/>
      <c r="D32" s="28"/>
      <c r="E32" s="108"/>
      <c r="F32" s="163"/>
      <c r="G32" s="122"/>
      <c r="H32" s="28"/>
      <c r="I32" s="28"/>
      <c r="J32" s="28"/>
      <c r="K32" s="28"/>
      <c r="L32" s="28"/>
      <c r="M32" s="28" t="s">
        <v>2663</v>
      </c>
      <c r="N32" s="28" t="s">
        <v>2663</v>
      </c>
      <c r="O32" s="28" t="s">
        <v>2663</v>
      </c>
      <c r="P32" s="28" t="s">
        <v>2663</v>
      </c>
      <c r="Q32" s="28" t="s">
        <v>2663</v>
      </c>
    </row>
    <row r="33" spans="2:17" ht="19.5" x14ac:dyDescent="0.35">
      <c r="B33" s="28"/>
      <c r="C33" s="28"/>
      <c r="D33" s="26"/>
      <c r="E33" s="108"/>
      <c r="F33" s="109"/>
      <c r="G33" s="122"/>
      <c r="H33" s="131"/>
      <c r="I33" s="131"/>
      <c r="J33" s="28"/>
      <c r="K33" s="28"/>
      <c r="L33" s="28"/>
      <c r="M33" s="28" t="s">
        <v>2663</v>
      </c>
      <c r="N33" s="28" t="s">
        <v>2663</v>
      </c>
      <c r="O33" s="28" t="s">
        <v>2663</v>
      </c>
      <c r="P33" s="28" t="s">
        <v>2663</v>
      </c>
      <c r="Q33" s="28" t="s">
        <v>2663</v>
      </c>
    </row>
    <row r="34" spans="2:17" ht="19.5" x14ac:dyDescent="0.35">
      <c r="B34" s="28"/>
      <c r="C34" s="28"/>
      <c r="D34" s="26"/>
      <c r="E34" s="108"/>
      <c r="F34" s="109"/>
      <c r="G34" s="122"/>
      <c r="H34" s="131"/>
      <c r="I34" s="131"/>
      <c r="J34" s="28"/>
      <c r="K34" s="28"/>
      <c r="L34" s="28"/>
      <c r="M34" s="28" t="s">
        <v>2663</v>
      </c>
      <c r="N34" s="28" t="s">
        <v>2663</v>
      </c>
      <c r="O34" s="28" t="s">
        <v>2663</v>
      </c>
      <c r="P34" s="28" t="s">
        <v>2663</v>
      </c>
      <c r="Q34" s="28" t="s">
        <v>2663</v>
      </c>
    </row>
    <row r="35" spans="2:17" ht="19.5" x14ac:dyDescent="0.35">
      <c r="B35" s="28"/>
      <c r="C35" s="28"/>
      <c r="D35" s="26"/>
      <c r="E35" s="108"/>
      <c r="F35" s="109"/>
      <c r="G35" s="122"/>
      <c r="H35" s="131"/>
      <c r="I35" s="131"/>
      <c r="J35" s="28"/>
      <c r="K35" s="28"/>
      <c r="L35" s="28"/>
      <c r="M35" s="28" t="s">
        <v>2663</v>
      </c>
      <c r="N35" s="28" t="s">
        <v>2663</v>
      </c>
      <c r="O35" s="28" t="s">
        <v>2663</v>
      </c>
      <c r="P35" s="28" t="s">
        <v>2663</v>
      </c>
      <c r="Q35" s="28" t="s">
        <v>2663</v>
      </c>
    </row>
    <row r="36" spans="2:17" ht="19.5" x14ac:dyDescent="0.35">
      <c r="B36" s="28"/>
      <c r="C36" s="28"/>
      <c r="D36" s="26"/>
      <c r="E36" s="108"/>
      <c r="F36" s="109"/>
      <c r="G36" s="122"/>
      <c r="H36" s="131"/>
      <c r="I36" s="131"/>
      <c r="J36" s="28"/>
      <c r="K36" s="28"/>
      <c r="L36" s="28"/>
      <c r="M36" s="28" t="s">
        <v>2663</v>
      </c>
      <c r="N36" s="28" t="s">
        <v>2663</v>
      </c>
      <c r="O36" s="28" t="s">
        <v>2663</v>
      </c>
      <c r="P36" s="28" t="s">
        <v>2663</v>
      </c>
      <c r="Q36" s="28" t="s">
        <v>2663</v>
      </c>
    </row>
    <row r="37" spans="2:17" ht="19.5" x14ac:dyDescent="0.35">
      <c r="B37" s="28"/>
      <c r="C37" s="28"/>
      <c r="D37" s="26"/>
      <c r="E37" s="108"/>
      <c r="F37" s="109"/>
      <c r="G37" s="122"/>
      <c r="H37" s="131"/>
      <c r="I37" s="131"/>
      <c r="J37" s="28"/>
      <c r="K37" s="28"/>
      <c r="L37" s="28"/>
      <c r="M37" s="28" t="s">
        <v>2663</v>
      </c>
      <c r="N37" s="28" t="s">
        <v>2663</v>
      </c>
      <c r="O37" s="28" t="s">
        <v>2663</v>
      </c>
      <c r="P37" s="28" t="s">
        <v>2663</v>
      </c>
      <c r="Q37" s="28" t="s">
        <v>2663</v>
      </c>
    </row>
    <row r="38" spans="2:17" ht="19.5" x14ac:dyDescent="0.35">
      <c r="B38" s="28"/>
      <c r="C38" s="28"/>
      <c r="D38" s="26"/>
      <c r="E38" s="108"/>
      <c r="F38" s="109"/>
      <c r="G38" s="122"/>
      <c r="H38" s="131"/>
      <c r="I38" s="131"/>
      <c r="J38" s="28"/>
      <c r="K38" s="28"/>
      <c r="L38" s="28"/>
      <c r="M38" s="28" t="s">
        <v>2663</v>
      </c>
      <c r="N38" s="28" t="s">
        <v>2663</v>
      </c>
      <c r="O38" s="28" t="s">
        <v>2663</v>
      </c>
      <c r="P38" s="28" t="s">
        <v>2663</v>
      </c>
      <c r="Q38" s="28">
        <v>3</v>
      </c>
    </row>
    <row r="39" spans="2:17" ht="19.5" x14ac:dyDescent="0.35">
      <c r="B39" s="28"/>
      <c r="C39" s="28"/>
      <c r="D39" s="26"/>
      <c r="E39" s="108"/>
      <c r="F39" s="109"/>
      <c r="G39" s="122"/>
      <c r="H39" s="131"/>
      <c r="I39" s="131"/>
      <c r="J39" s="28"/>
      <c r="K39" s="28"/>
      <c r="L39" s="28"/>
      <c r="M39" s="28" t="s">
        <v>2663</v>
      </c>
      <c r="N39" s="28" t="s">
        <v>2663</v>
      </c>
      <c r="O39" s="28" t="s">
        <v>2663</v>
      </c>
      <c r="P39" s="28" t="s">
        <v>2663</v>
      </c>
      <c r="Q39" s="28" t="s">
        <v>2663</v>
      </c>
    </row>
    <row r="40" spans="2:17" ht="19.5" x14ac:dyDescent="0.35">
      <c r="B40" s="28"/>
      <c r="C40" s="28"/>
      <c r="D40" s="26"/>
      <c r="E40" s="108"/>
      <c r="F40" s="109"/>
      <c r="G40" s="122"/>
      <c r="H40" s="131"/>
      <c r="I40" s="131"/>
      <c r="J40" s="28"/>
      <c r="K40" s="28"/>
      <c r="L40" s="28"/>
      <c r="M40" s="28" t="s">
        <v>2663</v>
      </c>
      <c r="N40" s="28" t="s">
        <v>2663</v>
      </c>
      <c r="O40" s="28" t="s">
        <v>2663</v>
      </c>
      <c r="P40" s="28" t="s">
        <v>2663</v>
      </c>
      <c r="Q40" s="28" t="s">
        <v>2663</v>
      </c>
    </row>
    <row r="41" spans="2:17" ht="19.5" x14ac:dyDescent="0.35">
      <c r="B41" s="28"/>
      <c r="C41" s="28"/>
      <c r="D41" s="26"/>
      <c r="E41" s="108"/>
      <c r="F41" s="109"/>
      <c r="G41" s="122"/>
      <c r="H41" s="131"/>
      <c r="I41" s="131"/>
      <c r="J41" s="28"/>
      <c r="K41" s="28"/>
      <c r="L41" s="28"/>
      <c r="M41" s="28" t="s">
        <v>2663</v>
      </c>
      <c r="N41" s="28" t="s">
        <v>2663</v>
      </c>
      <c r="O41" s="28" t="s">
        <v>2663</v>
      </c>
      <c r="P41" s="28" t="s">
        <v>2663</v>
      </c>
      <c r="Q41" s="28" t="s">
        <v>2663</v>
      </c>
    </row>
    <row r="42" spans="2:17" ht="19.5" x14ac:dyDescent="0.35">
      <c r="B42" s="28"/>
      <c r="C42" s="28"/>
      <c r="D42" s="26"/>
      <c r="E42" s="108"/>
      <c r="F42" s="109"/>
      <c r="G42" s="122"/>
      <c r="H42" s="131"/>
      <c r="I42" s="131"/>
      <c r="J42" s="28"/>
      <c r="K42" s="28"/>
      <c r="L42" s="28"/>
      <c r="M42" s="28" t="s">
        <v>2663</v>
      </c>
      <c r="N42" s="28" t="s">
        <v>2663</v>
      </c>
      <c r="O42" s="28" t="s">
        <v>2663</v>
      </c>
      <c r="P42" s="28" t="s">
        <v>2663</v>
      </c>
      <c r="Q42" s="28" t="s">
        <v>2663</v>
      </c>
    </row>
    <row r="43" spans="2:17" ht="19.5" x14ac:dyDescent="0.35">
      <c r="B43" s="28"/>
      <c r="C43" s="28"/>
      <c r="D43" s="26"/>
      <c r="E43" s="108"/>
      <c r="F43" s="109"/>
      <c r="G43" s="122"/>
      <c r="H43" s="131"/>
      <c r="I43" s="131"/>
      <c r="J43" s="28"/>
      <c r="K43" s="28"/>
      <c r="L43" s="28"/>
      <c r="M43" s="28" t="s">
        <v>2663</v>
      </c>
      <c r="N43" s="28" t="s">
        <v>2663</v>
      </c>
      <c r="O43" s="28" t="s">
        <v>2663</v>
      </c>
      <c r="P43" s="28" t="s">
        <v>2663</v>
      </c>
      <c r="Q43" s="28" t="s">
        <v>2663</v>
      </c>
    </row>
    <row r="44" spans="2:17" ht="19.5" x14ac:dyDescent="0.35">
      <c r="B44" s="28"/>
      <c r="C44" s="28"/>
      <c r="D44" s="26"/>
      <c r="E44" s="108"/>
      <c r="F44" s="109"/>
      <c r="G44" s="122"/>
      <c r="H44" s="131"/>
      <c r="I44" s="131"/>
      <c r="J44" s="28"/>
      <c r="K44" s="28"/>
      <c r="L44" s="28"/>
      <c r="M44" s="28" t="s">
        <v>2663</v>
      </c>
      <c r="N44" s="28" t="s">
        <v>2663</v>
      </c>
      <c r="O44" s="28" t="s">
        <v>2663</v>
      </c>
      <c r="P44" s="28" t="s">
        <v>2663</v>
      </c>
      <c r="Q44" s="28" t="s">
        <v>2663</v>
      </c>
    </row>
    <row r="45" spans="2:17" ht="19.5" x14ac:dyDescent="0.35">
      <c r="B45" s="28"/>
      <c r="C45" s="28"/>
      <c r="D45" s="26"/>
      <c r="E45" s="108"/>
      <c r="F45" s="109"/>
      <c r="G45" s="122"/>
      <c r="H45" s="131"/>
      <c r="I45" s="131"/>
      <c r="J45" s="28"/>
      <c r="K45" s="28"/>
      <c r="L45" s="28"/>
      <c r="M45" s="28" t="s">
        <v>2663</v>
      </c>
      <c r="N45" s="28" t="s">
        <v>2663</v>
      </c>
      <c r="O45" s="28" t="s">
        <v>2663</v>
      </c>
      <c r="P45" s="28" t="s">
        <v>2663</v>
      </c>
      <c r="Q45" s="28" t="s">
        <v>2663</v>
      </c>
    </row>
    <row r="46" spans="2:17" ht="19.5" x14ac:dyDescent="0.35">
      <c r="B46" s="28"/>
      <c r="C46" s="28"/>
      <c r="D46" s="26"/>
      <c r="E46" s="108"/>
      <c r="F46" s="109"/>
      <c r="G46" s="122"/>
      <c r="H46" s="131"/>
      <c r="I46" s="131"/>
      <c r="J46" s="28"/>
      <c r="K46" s="28"/>
      <c r="L46" s="28"/>
      <c r="M46" s="28" t="s">
        <v>2663</v>
      </c>
      <c r="N46" s="28" t="s">
        <v>2663</v>
      </c>
      <c r="O46" s="28" t="s">
        <v>2663</v>
      </c>
      <c r="P46" s="28" t="s">
        <v>2663</v>
      </c>
      <c r="Q46" s="28" t="s">
        <v>2663</v>
      </c>
    </row>
    <row r="47" spans="2:17" ht="19.5" x14ac:dyDescent="0.35">
      <c r="B47" s="28"/>
      <c r="C47" s="28"/>
      <c r="D47" s="26"/>
      <c r="E47" s="108"/>
      <c r="F47" s="109"/>
      <c r="G47" s="122"/>
      <c r="H47" s="131"/>
      <c r="I47" s="131"/>
      <c r="J47" s="28" t="s">
        <v>2663</v>
      </c>
      <c r="K47" s="28" t="s">
        <v>2663</v>
      </c>
      <c r="L47" s="28" t="s">
        <v>2663</v>
      </c>
      <c r="M47" s="28" t="s">
        <v>2663</v>
      </c>
      <c r="N47" s="28" t="s">
        <v>2663</v>
      </c>
      <c r="O47" s="28" t="s">
        <v>2663</v>
      </c>
      <c r="P47" s="28" t="s">
        <v>2663</v>
      </c>
      <c r="Q47" s="28" t="s">
        <v>2663</v>
      </c>
    </row>
    <row r="48" spans="2:17" ht="19.5" x14ac:dyDescent="0.35">
      <c r="B48" s="28"/>
      <c r="C48" s="28"/>
      <c r="D48" s="26"/>
      <c r="E48" s="108"/>
      <c r="F48" s="109"/>
      <c r="G48" s="122"/>
      <c r="H48" s="131"/>
      <c r="I48" s="131"/>
      <c r="J48" s="28"/>
      <c r="K48" s="28"/>
      <c r="L48" s="28" t="s">
        <v>2663</v>
      </c>
      <c r="M48" s="28" t="s">
        <v>2663</v>
      </c>
      <c r="N48" s="28" t="s">
        <v>2663</v>
      </c>
      <c r="O48" s="28" t="s">
        <v>2663</v>
      </c>
      <c r="P48" s="28" t="s">
        <v>2663</v>
      </c>
      <c r="Q48" s="28" t="s">
        <v>2663</v>
      </c>
    </row>
    <row r="49" spans="2:17" ht="19.5" x14ac:dyDescent="0.35">
      <c r="B49" s="28"/>
      <c r="C49" s="28"/>
      <c r="D49" s="26"/>
      <c r="E49" s="108"/>
      <c r="F49" s="109"/>
      <c r="G49" s="122"/>
      <c r="H49" s="131"/>
      <c r="I49" s="131"/>
      <c r="J49" s="28"/>
      <c r="K49" s="28"/>
      <c r="L49" s="28" t="s">
        <v>2663</v>
      </c>
      <c r="M49" s="28" t="s">
        <v>2663</v>
      </c>
      <c r="N49" s="28" t="s">
        <v>2663</v>
      </c>
      <c r="O49" s="28" t="s">
        <v>2663</v>
      </c>
      <c r="P49" s="28" t="s">
        <v>2663</v>
      </c>
      <c r="Q49" s="28" t="s">
        <v>2663</v>
      </c>
    </row>
    <row r="50" spans="2:17" ht="19.5" x14ac:dyDescent="0.35">
      <c r="B50" s="28"/>
      <c r="C50" s="28"/>
      <c r="D50" s="26"/>
      <c r="E50" s="108"/>
      <c r="F50" s="109"/>
      <c r="G50" s="122"/>
      <c r="H50" s="131"/>
      <c r="I50" s="131"/>
      <c r="J50" s="28"/>
      <c r="K50" s="28"/>
      <c r="L50" s="28" t="s">
        <v>2663</v>
      </c>
      <c r="M50" s="28" t="s">
        <v>2663</v>
      </c>
      <c r="N50" s="28" t="s">
        <v>2663</v>
      </c>
      <c r="O50" s="28" t="s">
        <v>2663</v>
      </c>
      <c r="P50" s="28" t="s">
        <v>2663</v>
      </c>
      <c r="Q50" s="28" t="s">
        <v>2663</v>
      </c>
    </row>
    <row r="51" spans="2:17" ht="19.5" x14ac:dyDescent="0.35">
      <c r="B51" s="28"/>
      <c r="C51" s="28"/>
      <c r="D51" s="26"/>
      <c r="E51" s="108"/>
      <c r="F51" s="109"/>
      <c r="G51" s="122"/>
      <c r="H51" s="131"/>
      <c r="I51" s="131"/>
      <c r="J51" s="28"/>
      <c r="K51" s="28"/>
      <c r="L51" s="28" t="s">
        <v>2663</v>
      </c>
      <c r="M51" s="28" t="s">
        <v>2663</v>
      </c>
      <c r="N51" s="28" t="s">
        <v>2663</v>
      </c>
      <c r="O51" s="28" t="s">
        <v>2663</v>
      </c>
      <c r="P51" s="28" t="s">
        <v>2663</v>
      </c>
      <c r="Q51" s="28" t="s">
        <v>2663</v>
      </c>
    </row>
    <row r="52" spans="2:17" ht="19.5" x14ac:dyDescent="0.35">
      <c r="B52" s="28"/>
      <c r="C52" s="28"/>
      <c r="D52" s="26"/>
      <c r="E52" s="108"/>
      <c r="F52" s="109"/>
      <c r="G52" s="122"/>
      <c r="H52" s="131"/>
      <c r="I52" s="131"/>
      <c r="J52" s="28"/>
      <c r="K52" s="28"/>
      <c r="L52" s="28" t="s">
        <v>2663</v>
      </c>
      <c r="M52" s="28" t="s">
        <v>2663</v>
      </c>
      <c r="N52" s="28" t="s">
        <v>2663</v>
      </c>
      <c r="O52" s="28" t="s">
        <v>2663</v>
      </c>
      <c r="P52" s="28" t="s">
        <v>2663</v>
      </c>
      <c r="Q52" s="28" t="s">
        <v>2663</v>
      </c>
    </row>
    <row r="53" spans="2:17" ht="19.5" x14ac:dyDescent="0.35">
      <c r="B53" s="28"/>
      <c r="C53" s="28"/>
      <c r="D53" s="26"/>
      <c r="E53" s="108"/>
      <c r="F53" s="109"/>
      <c r="G53" s="122"/>
      <c r="H53" s="131"/>
      <c r="I53" s="131"/>
      <c r="J53" s="28"/>
      <c r="K53" s="26"/>
      <c r="L53" s="28" t="s">
        <v>2663</v>
      </c>
      <c r="M53" s="28" t="s">
        <v>2663</v>
      </c>
      <c r="N53" s="28" t="s">
        <v>2663</v>
      </c>
      <c r="O53" s="28" t="s">
        <v>2663</v>
      </c>
      <c r="P53" s="28" t="s">
        <v>2663</v>
      </c>
      <c r="Q53" s="28" t="s">
        <v>2663</v>
      </c>
    </row>
    <row r="54" spans="2:17" ht="19.5" x14ac:dyDescent="0.35">
      <c r="B54" s="28"/>
      <c r="C54" s="28"/>
      <c r="D54" s="26"/>
      <c r="E54" s="108"/>
      <c r="F54" s="109"/>
      <c r="G54" s="122"/>
      <c r="H54" s="131"/>
      <c r="I54" s="131"/>
      <c r="J54" s="28"/>
      <c r="K54" s="26"/>
      <c r="L54" s="28" t="s">
        <v>2663</v>
      </c>
      <c r="M54" s="28" t="s">
        <v>2663</v>
      </c>
      <c r="N54" s="28" t="s">
        <v>2663</v>
      </c>
      <c r="O54" s="28" t="s">
        <v>2663</v>
      </c>
      <c r="P54" s="28" t="s">
        <v>2663</v>
      </c>
      <c r="Q54" s="28" t="s">
        <v>2663</v>
      </c>
    </row>
    <row r="55" spans="2:17" ht="19.5" x14ac:dyDescent="0.35">
      <c r="B55" s="28"/>
      <c r="C55" s="28"/>
      <c r="D55" s="26"/>
      <c r="E55" s="108"/>
      <c r="F55" s="109"/>
      <c r="G55" s="122"/>
      <c r="H55" s="131"/>
      <c r="I55" s="131"/>
      <c r="J55" s="28" t="s">
        <v>2663</v>
      </c>
      <c r="K55" s="28" t="s">
        <v>2663</v>
      </c>
      <c r="L55" s="28" t="s">
        <v>2663</v>
      </c>
      <c r="M55" s="28" t="s">
        <v>2663</v>
      </c>
      <c r="N55" s="28" t="s">
        <v>2663</v>
      </c>
      <c r="O55" s="28" t="s">
        <v>2663</v>
      </c>
      <c r="P55" s="28" t="s">
        <v>2663</v>
      </c>
      <c r="Q55" s="28" t="s">
        <v>2663</v>
      </c>
    </row>
    <row r="56" spans="2:17" ht="19.5" x14ac:dyDescent="0.25">
      <c r="B56" s="28"/>
      <c r="C56" s="28"/>
      <c r="D56" s="28"/>
      <c r="E56" s="108"/>
      <c r="F56" s="109"/>
      <c r="G56" s="122"/>
      <c r="H56" s="26"/>
      <c r="I56" s="28"/>
      <c r="J56" s="28"/>
      <c r="K56" s="28"/>
      <c r="L56" s="28" t="s">
        <v>2663</v>
      </c>
      <c r="M56" s="28" t="s">
        <v>2663</v>
      </c>
      <c r="N56" s="28" t="s">
        <v>2663</v>
      </c>
      <c r="O56" s="28" t="s">
        <v>2663</v>
      </c>
      <c r="P56" s="28" t="s">
        <v>2663</v>
      </c>
      <c r="Q56" s="28" t="s">
        <v>2663</v>
      </c>
    </row>
    <row r="57" spans="2:17" ht="19.5" x14ac:dyDescent="0.25">
      <c r="B57" s="28"/>
      <c r="C57" s="28"/>
      <c r="D57" s="26"/>
      <c r="E57" s="108"/>
      <c r="F57" s="163"/>
      <c r="G57" s="122"/>
      <c r="H57" s="28"/>
      <c r="I57" s="28"/>
      <c r="J57" s="28"/>
      <c r="K57" s="28"/>
      <c r="L57" s="28" t="s">
        <v>2663</v>
      </c>
      <c r="M57" s="28" t="s">
        <v>2663</v>
      </c>
      <c r="N57" s="28" t="s">
        <v>2663</v>
      </c>
      <c r="O57" s="28" t="s">
        <v>2663</v>
      </c>
      <c r="P57" s="28" t="s">
        <v>2663</v>
      </c>
      <c r="Q57" s="28" t="s">
        <v>2663</v>
      </c>
    </row>
    <row r="58" spans="2:17" ht="19.5" x14ac:dyDescent="0.25">
      <c r="B58" s="28"/>
      <c r="C58" s="28"/>
      <c r="D58" s="26"/>
      <c r="E58" s="108"/>
      <c r="F58" s="163"/>
      <c r="G58" s="122"/>
      <c r="H58" s="28"/>
      <c r="I58" s="28"/>
      <c r="J58" s="28"/>
      <c r="K58" s="28"/>
      <c r="L58" s="28"/>
      <c r="M58" s="28" t="s">
        <v>2663</v>
      </c>
      <c r="N58" s="28" t="s">
        <v>2663</v>
      </c>
      <c r="O58" s="28" t="s">
        <v>2663</v>
      </c>
      <c r="P58" s="28" t="s">
        <v>2663</v>
      </c>
      <c r="Q58" s="28" t="s">
        <v>2663</v>
      </c>
    </row>
    <row r="59" spans="2:17" ht="19.5" x14ac:dyDescent="0.25">
      <c r="B59" s="28"/>
      <c r="C59" s="28"/>
      <c r="D59" s="26"/>
      <c r="E59" s="108"/>
      <c r="F59" s="163"/>
      <c r="G59" s="122"/>
      <c r="H59" s="28"/>
      <c r="I59" s="28"/>
      <c r="J59" s="28"/>
      <c r="K59" s="28"/>
      <c r="L59" s="28"/>
      <c r="M59" s="28" t="s">
        <v>2663</v>
      </c>
      <c r="N59" s="28" t="s">
        <v>2663</v>
      </c>
      <c r="O59" s="28" t="s">
        <v>2663</v>
      </c>
      <c r="P59" s="28" t="s">
        <v>2663</v>
      </c>
      <c r="Q59" s="28" t="s">
        <v>2663</v>
      </c>
    </row>
    <row r="60" spans="2:17" ht="19.5" x14ac:dyDescent="0.35">
      <c r="B60" s="28"/>
      <c r="C60" s="28"/>
      <c r="D60" s="26"/>
      <c r="E60" s="108"/>
      <c r="F60" s="109"/>
      <c r="G60" s="122"/>
      <c r="H60" s="131"/>
      <c r="I60" s="131"/>
      <c r="J60" s="28"/>
      <c r="K60" s="28"/>
      <c r="L60" s="28"/>
      <c r="M60" s="28" t="s">
        <v>2663</v>
      </c>
      <c r="N60" s="28" t="s">
        <v>2663</v>
      </c>
      <c r="O60" s="28" t="s">
        <v>2663</v>
      </c>
      <c r="P60" s="28" t="s">
        <v>2663</v>
      </c>
      <c r="Q60" s="28" t="s">
        <v>2663</v>
      </c>
    </row>
    <row r="61" spans="2:17" ht="19.5" x14ac:dyDescent="0.35">
      <c r="B61" s="28"/>
      <c r="C61" s="28"/>
      <c r="D61" s="26"/>
      <c r="E61" s="108"/>
      <c r="F61" s="109"/>
      <c r="G61" s="122"/>
      <c r="H61" s="131"/>
      <c r="I61" s="131"/>
      <c r="J61" s="28"/>
      <c r="K61" s="28"/>
      <c r="L61" s="28"/>
      <c r="M61" s="28" t="s">
        <v>2663</v>
      </c>
      <c r="N61" s="28" t="s">
        <v>2663</v>
      </c>
      <c r="O61" s="28" t="s">
        <v>2663</v>
      </c>
      <c r="P61" s="28" t="s">
        <v>2663</v>
      </c>
      <c r="Q61" s="28" t="s">
        <v>2663</v>
      </c>
    </row>
    <row r="62" spans="2:17" ht="19.5" x14ac:dyDescent="0.35">
      <c r="B62" s="28"/>
      <c r="C62" s="28"/>
      <c r="D62" s="26"/>
      <c r="E62" s="108"/>
      <c r="F62" s="109"/>
      <c r="G62" s="122"/>
      <c r="H62" s="131"/>
      <c r="I62" s="131"/>
      <c r="J62" s="28"/>
      <c r="K62" s="28"/>
      <c r="L62" s="28"/>
      <c r="M62" s="28" t="s">
        <v>2663</v>
      </c>
      <c r="N62" s="28" t="s">
        <v>2663</v>
      </c>
      <c r="O62" s="28" t="s">
        <v>2663</v>
      </c>
      <c r="P62" s="28" t="s">
        <v>2663</v>
      </c>
      <c r="Q62" s="28" t="s">
        <v>2663</v>
      </c>
    </row>
    <row r="63" spans="2:17" ht="19.5" x14ac:dyDescent="0.35">
      <c r="B63" s="28"/>
      <c r="C63" s="28"/>
      <c r="D63" s="26"/>
      <c r="E63" s="108"/>
      <c r="F63" s="109"/>
      <c r="G63" s="122"/>
      <c r="H63" s="131"/>
      <c r="I63" s="131"/>
      <c r="J63" s="28"/>
      <c r="K63" s="28"/>
      <c r="L63" s="28"/>
      <c r="M63" s="28" t="s">
        <v>2663</v>
      </c>
      <c r="N63" s="28" t="s">
        <v>2663</v>
      </c>
      <c r="O63" s="28" t="s">
        <v>2663</v>
      </c>
      <c r="P63" s="28" t="s">
        <v>2663</v>
      </c>
      <c r="Q63" s="28" t="s">
        <v>2663</v>
      </c>
    </row>
    <row r="64" spans="2:17" ht="19.5" x14ac:dyDescent="0.35">
      <c r="B64" s="28"/>
      <c r="C64" s="28"/>
      <c r="D64" s="26"/>
      <c r="E64" s="108"/>
      <c r="F64" s="109"/>
      <c r="G64" s="122"/>
      <c r="H64" s="131"/>
      <c r="I64" s="131"/>
      <c r="J64" s="28"/>
      <c r="K64" s="28"/>
      <c r="L64" s="28"/>
      <c r="M64" s="28" t="s">
        <v>2663</v>
      </c>
      <c r="N64" s="28" t="s">
        <v>2663</v>
      </c>
      <c r="O64" s="28" t="s">
        <v>2663</v>
      </c>
      <c r="P64" s="28" t="s">
        <v>2663</v>
      </c>
      <c r="Q64" s="28" t="s">
        <v>2663</v>
      </c>
    </row>
    <row r="65" spans="2:17" ht="19.5" x14ac:dyDescent="0.35">
      <c r="B65" s="28"/>
      <c r="C65" s="28"/>
      <c r="D65" s="26"/>
      <c r="E65" s="108"/>
      <c r="F65" s="109"/>
      <c r="G65" s="122"/>
      <c r="H65" s="131"/>
      <c r="I65" s="131"/>
      <c r="J65" s="28"/>
      <c r="K65" s="28"/>
      <c r="L65" s="28"/>
      <c r="M65" s="28" t="s">
        <v>2663</v>
      </c>
      <c r="N65" s="28" t="s">
        <v>2663</v>
      </c>
      <c r="O65" s="28" t="s">
        <v>2663</v>
      </c>
      <c r="P65" s="28" t="s">
        <v>2663</v>
      </c>
      <c r="Q65" s="28" t="s">
        <v>2663</v>
      </c>
    </row>
    <row r="66" spans="2:17" ht="59.25" customHeight="1" x14ac:dyDescent="0.35">
      <c r="B66" s="28"/>
      <c r="C66" s="28"/>
      <c r="D66" s="26"/>
      <c r="E66" s="108"/>
      <c r="F66" s="109"/>
      <c r="G66" s="122"/>
      <c r="H66" s="131"/>
      <c r="I66" s="131"/>
      <c r="J66" s="28"/>
      <c r="K66" s="28"/>
      <c r="L66" s="28" t="s">
        <v>2663</v>
      </c>
      <c r="M66" s="28" t="s">
        <v>2663</v>
      </c>
      <c r="N66" s="28" t="s">
        <v>2663</v>
      </c>
      <c r="O66" s="28" t="s">
        <v>2663</v>
      </c>
      <c r="P66" s="28" t="s">
        <v>2663</v>
      </c>
      <c r="Q66" s="28" t="s">
        <v>2663</v>
      </c>
    </row>
    <row r="67" spans="2:17" ht="19.5" x14ac:dyDescent="0.35">
      <c r="B67" s="28">
        <v>16</v>
      </c>
      <c r="C67" s="28"/>
      <c r="D67" s="26"/>
      <c r="E67" s="110"/>
      <c r="F67" s="163"/>
      <c r="G67" s="26"/>
      <c r="H67" s="131"/>
      <c r="I67" s="131"/>
      <c r="J67" s="28"/>
      <c r="K67" s="28"/>
      <c r="L67" s="28" t="s">
        <v>2663</v>
      </c>
      <c r="M67" s="28" t="s">
        <v>2663</v>
      </c>
      <c r="N67" s="28" t="s">
        <v>2663</v>
      </c>
      <c r="O67" s="28" t="s">
        <v>2663</v>
      </c>
      <c r="P67" s="28" t="s">
        <v>2663</v>
      </c>
      <c r="Q67" s="28" t="s">
        <v>2663</v>
      </c>
    </row>
    <row r="68" spans="2:17" ht="19.5" x14ac:dyDescent="0.35">
      <c r="B68" s="28">
        <v>15</v>
      </c>
      <c r="C68" s="28"/>
      <c r="D68" s="26"/>
      <c r="E68" s="110"/>
      <c r="F68" s="163"/>
      <c r="G68" s="26"/>
      <c r="H68" s="131"/>
      <c r="I68" s="131"/>
      <c r="J68" s="28"/>
      <c r="K68" s="28"/>
      <c r="L68" s="28" t="s">
        <v>2663</v>
      </c>
      <c r="M68" s="28" t="s">
        <v>2663</v>
      </c>
      <c r="N68" s="28" t="s">
        <v>2663</v>
      </c>
      <c r="O68" s="28" t="s">
        <v>2663</v>
      </c>
      <c r="P68" s="28" t="s">
        <v>2663</v>
      </c>
      <c r="Q68" s="28" t="s">
        <v>2663</v>
      </c>
    </row>
    <row r="69" spans="2:17" ht="19.5" x14ac:dyDescent="0.35">
      <c r="B69" s="28">
        <v>16</v>
      </c>
      <c r="C69" s="28"/>
      <c r="D69" s="26"/>
      <c r="E69" s="108"/>
      <c r="F69" s="109"/>
      <c r="G69" s="122"/>
      <c r="H69" s="131"/>
      <c r="I69" s="131"/>
      <c r="J69" s="28"/>
      <c r="K69" s="28"/>
      <c r="L69" s="28" t="s">
        <v>2663</v>
      </c>
      <c r="M69" s="28" t="s">
        <v>2663</v>
      </c>
      <c r="N69" s="28" t="s">
        <v>2663</v>
      </c>
      <c r="O69" s="28" t="s">
        <v>2663</v>
      </c>
      <c r="P69" s="28" t="s">
        <v>2663</v>
      </c>
      <c r="Q69" s="28" t="s">
        <v>2663</v>
      </c>
    </row>
    <row r="70" spans="2:17" ht="19.5" x14ac:dyDescent="0.25">
      <c r="B70" s="28">
        <v>15</v>
      </c>
      <c r="C70" s="28"/>
      <c r="D70" s="28"/>
      <c r="E70" s="108"/>
      <c r="F70" s="109"/>
      <c r="G70" s="122"/>
      <c r="H70" s="26"/>
      <c r="I70" s="28"/>
      <c r="J70" s="28"/>
      <c r="K70" s="28"/>
      <c r="L70" s="28" t="s">
        <v>2663</v>
      </c>
      <c r="M70" s="28" t="s">
        <v>2663</v>
      </c>
      <c r="N70" s="28" t="s">
        <v>2663</v>
      </c>
      <c r="O70" s="28" t="s">
        <v>2663</v>
      </c>
      <c r="P70" s="28" t="s">
        <v>2663</v>
      </c>
      <c r="Q70" s="28" t="s">
        <v>2663</v>
      </c>
    </row>
    <row r="71" spans="2:17" ht="19.5" x14ac:dyDescent="0.25">
      <c r="B71" s="28">
        <v>16</v>
      </c>
      <c r="C71" s="28"/>
      <c r="D71" s="28"/>
      <c r="E71" s="108"/>
      <c r="F71" s="109"/>
      <c r="G71" s="122"/>
      <c r="H71" s="26"/>
      <c r="I71" s="28"/>
      <c r="J71" s="28"/>
      <c r="K71" s="28"/>
      <c r="L71" s="28" t="s">
        <v>2663</v>
      </c>
      <c r="M71" s="28" t="s">
        <v>2663</v>
      </c>
      <c r="N71" s="28" t="s">
        <v>2663</v>
      </c>
      <c r="O71" s="28" t="s">
        <v>2663</v>
      </c>
      <c r="P71" s="28" t="s">
        <v>2663</v>
      </c>
      <c r="Q71" s="28" t="s">
        <v>2663</v>
      </c>
    </row>
    <row r="72" spans="2:17" ht="19.5" x14ac:dyDescent="0.25">
      <c r="B72" s="28">
        <v>15</v>
      </c>
      <c r="C72" s="28"/>
      <c r="D72" s="28"/>
      <c r="E72" s="108"/>
      <c r="F72" s="109"/>
      <c r="G72" s="122"/>
      <c r="H72" s="26"/>
      <c r="I72" s="28"/>
      <c r="J72" s="28"/>
      <c r="K72" s="28"/>
      <c r="L72" s="28" t="s">
        <v>2663</v>
      </c>
      <c r="M72" s="28" t="s">
        <v>2663</v>
      </c>
      <c r="N72" s="28" t="s">
        <v>2663</v>
      </c>
      <c r="O72" s="28" t="s">
        <v>2663</v>
      </c>
      <c r="P72" s="28" t="s">
        <v>2663</v>
      </c>
      <c r="Q72" s="28" t="s">
        <v>2663</v>
      </c>
    </row>
    <row r="73" spans="2:17" ht="19.5" x14ac:dyDescent="0.25">
      <c r="B73" s="28">
        <v>16</v>
      </c>
      <c r="C73" s="28"/>
      <c r="D73" s="28"/>
      <c r="E73" s="108"/>
      <c r="F73" s="109"/>
      <c r="G73" s="122"/>
      <c r="H73" s="26"/>
      <c r="I73" s="28"/>
      <c r="J73" s="28"/>
      <c r="K73" s="28"/>
      <c r="L73" s="28"/>
      <c r="M73" s="28"/>
      <c r="N73" s="28" t="s">
        <v>2663</v>
      </c>
      <c r="O73" s="28" t="s">
        <v>2663</v>
      </c>
      <c r="P73" s="28" t="s">
        <v>2663</v>
      </c>
      <c r="Q73" s="28" t="s">
        <v>2663</v>
      </c>
    </row>
    <row r="74" spans="2:17" ht="19.5" x14ac:dyDescent="0.25">
      <c r="B74" s="28">
        <v>15</v>
      </c>
      <c r="C74" s="28"/>
      <c r="D74" s="28"/>
      <c r="E74" s="108"/>
      <c r="F74" s="109"/>
      <c r="G74" s="122"/>
      <c r="H74" s="26"/>
      <c r="I74" s="28"/>
      <c r="J74" s="28"/>
      <c r="K74" s="28"/>
      <c r="L74" s="28"/>
      <c r="M74" s="28"/>
      <c r="N74" s="28" t="s">
        <v>2663</v>
      </c>
      <c r="O74" s="28" t="s">
        <v>2663</v>
      </c>
      <c r="P74" s="28" t="s">
        <v>2663</v>
      </c>
      <c r="Q74" s="28" t="s">
        <v>2663</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A0D0-D5CC-4333-A39A-0EE61D96F1AA}">
  <dimension ref="B2:R106"/>
  <sheetViews>
    <sheetView topLeftCell="K8" workbookViewId="0">
      <selection activeCell="K3" sqref="K3:R25"/>
    </sheetView>
  </sheetViews>
  <sheetFormatPr defaultRowHeight="15" x14ac:dyDescent="0.25"/>
  <cols>
    <col min="3" max="3" width="11.7109375" customWidth="1"/>
    <col min="4" max="4" width="10.42578125" bestFit="1" customWidth="1"/>
    <col min="5" max="5" width="11.28515625" customWidth="1"/>
    <col min="7" max="7" width="50.140625" customWidth="1"/>
    <col min="8" max="9" width="10.28515625" style="191" customWidth="1"/>
    <col min="10" max="10" width="21" customWidth="1"/>
  </cols>
  <sheetData>
    <row r="2" spans="2:18" ht="147" x14ac:dyDescent="0.25">
      <c r="B2" s="27" t="s">
        <v>76</v>
      </c>
      <c r="C2" s="105" t="s">
        <v>77</v>
      </c>
      <c r="D2" s="27" t="s">
        <v>78</v>
      </c>
      <c r="E2" s="187" t="s">
        <v>79</v>
      </c>
      <c r="F2" s="27" t="s">
        <v>80</v>
      </c>
      <c r="G2" s="27" t="s">
        <v>81</v>
      </c>
      <c r="H2" s="183" t="s">
        <v>82</v>
      </c>
      <c r="I2" s="183"/>
      <c r="J2" s="27" t="s">
        <v>83</v>
      </c>
      <c r="K2" s="27" t="s">
        <v>84</v>
      </c>
      <c r="L2" s="27" t="s">
        <v>85</v>
      </c>
      <c r="M2" s="27" t="s">
        <v>86</v>
      </c>
      <c r="N2" s="27" t="s">
        <v>91</v>
      </c>
      <c r="O2" s="27" t="s">
        <v>87</v>
      </c>
      <c r="P2" s="27" t="s">
        <v>90</v>
      </c>
      <c r="Q2" s="27" t="s">
        <v>88</v>
      </c>
      <c r="R2" s="27" t="s">
        <v>89</v>
      </c>
    </row>
    <row r="3" spans="2:18" ht="24" x14ac:dyDescent="0.25">
      <c r="B3" s="104">
        <v>1</v>
      </c>
      <c r="C3" s="113" t="s">
        <v>4826</v>
      </c>
      <c r="D3" s="113" t="s">
        <v>5684</v>
      </c>
      <c r="E3" s="189">
        <v>45449</v>
      </c>
      <c r="F3" s="190">
        <v>0.14930555555555555</v>
      </c>
      <c r="G3" s="244" t="s">
        <v>5923</v>
      </c>
      <c r="H3" s="26" t="s">
        <v>385</v>
      </c>
      <c r="I3" s="26"/>
      <c r="J3" s="113"/>
      <c r="K3" s="113">
        <v>50000</v>
      </c>
      <c r="L3" s="113">
        <v>650000</v>
      </c>
      <c r="M3" s="113" t="s">
        <v>20</v>
      </c>
      <c r="N3" s="113" t="s">
        <v>20</v>
      </c>
      <c r="O3" s="113" t="s">
        <v>20</v>
      </c>
      <c r="P3" s="113" t="s">
        <v>20</v>
      </c>
      <c r="Q3" s="113" t="s">
        <v>20</v>
      </c>
      <c r="R3" s="113" t="s">
        <v>20</v>
      </c>
    </row>
    <row r="4" spans="2:18" ht="24" x14ac:dyDescent="0.65">
      <c r="B4" s="104">
        <v>2</v>
      </c>
      <c r="C4" s="113" t="s">
        <v>4826</v>
      </c>
      <c r="D4" s="113" t="s">
        <v>5684</v>
      </c>
      <c r="E4" s="189">
        <v>45452</v>
      </c>
      <c r="F4" s="190">
        <v>0.62847222222222221</v>
      </c>
      <c r="G4" s="245" t="s">
        <v>5924</v>
      </c>
      <c r="H4" s="26" t="s">
        <v>406</v>
      </c>
      <c r="I4" s="26"/>
      <c r="J4" s="113"/>
      <c r="K4" s="113"/>
      <c r="L4" s="113"/>
      <c r="M4" s="113" t="s">
        <v>20</v>
      </c>
      <c r="N4" s="113" t="s">
        <v>20</v>
      </c>
      <c r="O4" s="113" t="s">
        <v>20</v>
      </c>
      <c r="P4" s="113" t="s">
        <v>20</v>
      </c>
      <c r="Q4" s="113" t="s">
        <v>20</v>
      </c>
      <c r="R4" s="113" t="s">
        <v>20</v>
      </c>
    </row>
    <row r="5" spans="2:18" ht="24" x14ac:dyDescent="0.25">
      <c r="B5" s="104">
        <v>3</v>
      </c>
      <c r="C5" s="113" t="s">
        <v>4826</v>
      </c>
      <c r="D5" s="113" t="s">
        <v>5684</v>
      </c>
      <c r="E5" s="189">
        <v>45454</v>
      </c>
      <c r="F5" s="190">
        <v>0.60763888888888884</v>
      </c>
      <c r="G5" s="244" t="s">
        <v>5925</v>
      </c>
      <c r="H5" s="26" t="s">
        <v>406</v>
      </c>
      <c r="I5" s="26"/>
      <c r="J5" s="113"/>
      <c r="K5" s="113"/>
      <c r="L5" s="113"/>
      <c r="M5" s="113" t="s">
        <v>20</v>
      </c>
      <c r="N5" s="113" t="s">
        <v>20</v>
      </c>
      <c r="O5" s="113" t="s">
        <v>20</v>
      </c>
      <c r="P5" s="113" t="s">
        <v>20</v>
      </c>
      <c r="Q5" s="113" t="s">
        <v>20</v>
      </c>
      <c r="R5" s="113" t="s">
        <v>20</v>
      </c>
    </row>
    <row r="6" spans="2:18" ht="24" x14ac:dyDescent="0.25">
      <c r="B6" s="104">
        <v>4</v>
      </c>
      <c r="C6" s="113" t="s">
        <v>4826</v>
      </c>
      <c r="D6" s="113" t="s">
        <v>5684</v>
      </c>
      <c r="E6" s="189">
        <v>45456</v>
      </c>
      <c r="F6" s="190">
        <v>0.83263888888888893</v>
      </c>
      <c r="G6" s="244" t="s">
        <v>5926</v>
      </c>
      <c r="H6" s="26" t="s">
        <v>385</v>
      </c>
      <c r="I6" s="26"/>
      <c r="J6" s="113"/>
      <c r="K6" s="113" t="s">
        <v>20</v>
      </c>
      <c r="L6" s="113" t="s">
        <v>20</v>
      </c>
      <c r="M6" s="113" t="s">
        <v>20</v>
      </c>
      <c r="N6" s="113" t="s">
        <v>20</v>
      </c>
      <c r="O6" s="113" t="s">
        <v>20</v>
      </c>
      <c r="P6" s="113" t="s">
        <v>20</v>
      </c>
      <c r="Q6" s="113" t="s">
        <v>20</v>
      </c>
      <c r="R6" s="113" t="s">
        <v>20</v>
      </c>
    </row>
    <row r="7" spans="2:18" ht="24" x14ac:dyDescent="0.25">
      <c r="B7" s="104">
        <v>5</v>
      </c>
      <c r="C7" s="113" t="s">
        <v>4826</v>
      </c>
      <c r="D7" s="113" t="s">
        <v>5684</v>
      </c>
      <c r="E7" s="189">
        <v>45459</v>
      </c>
      <c r="F7" s="190">
        <v>0.90208333333333335</v>
      </c>
      <c r="G7" s="244" t="s">
        <v>5925</v>
      </c>
      <c r="H7" s="26" t="s">
        <v>406</v>
      </c>
      <c r="I7" s="26"/>
      <c r="J7" s="113"/>
      <c r="K7" s="113" t="s">
        <v>20</v>
      </c>
      <c r="L7" s="113" t="s">
        <v>20</v>
      </c>
      <c r="M7" s="113" t="s">
        <v>20</v>
      </c>
      <c r="N7" s="113" t="s">
        <v>20</v>
      </c>
      <c r="O7" s="113" t="s">
        <v>20</v>
      </c>
      <c r="P7" s="113" t="s">
        <v>20</v>
      </c>
      <c r="Q7" s="113" t="s">
        <v>20</v>
      </c>
      <c r="R7" s="113" t="s">
        <v>20</v>
      </c>
    </row>
    <row r="8" spans="2:18" ht="24" x14ac:dyDescent="0.25">
      <c r="B8" s="104">
        <v>6</v>
      </c>
      <c r="C8" s="113" t="s">
        <v>4826</v>
      </c>
      <c r="D8" s="113" t="s">
        <v>5683</v>
      </c>
      <c r="E8" s="189">
        <v>45444</v>
      </c>
      <c r="F8" s="190">
        <v>0.46180555555555558</v>
      </c>
      <c r="G8" s="244" t="s">
        <v>5906</v>
      </c>
      <c r="H8" s="26"/>
      <c r="I8" s="26"/>
      <c r="J8" s="113" t="s">
        <v>2443</v>
      </c>
      <c r="K8" s="113" t="s">
        <v>20</v>
      </c>
      <c r="L8" s="113" t="s">
        <v>20</v>
      </c>
      <c r="M8" s="113" t="s">
        <v>20</v>
      </c>
      <c r="N8" s="113" t="s">
        <v>20</v>
      </c>
      <c r="O8" s="113" t="s">
        <v>20</v>
      </c>
      <c r="P8" s="113" t="s">
        <v>20</v>
      </c>
      <c r="Q8" s="113" t="s">
        <v>20</v>
      </c>
      <c r="R8" s="113" t="s">
        <v>20</v>
      </c>
    </row>
    <row r="9" spans="2:18" ht="24" x14ac:dyDescent="0.25">
      <c r="B9" s="104">
        <v>7</v>
      </c>
      <c r="C9" s="113" t="s">
        <v>4826</v>
      </c>
      <c r="D9" s="113" t="s">
        <v>5683</v>
      </c>
      <c r="E9" s="189">
        <v>45447</v>
      </c>
      <c r="F9" s="190">
        <v>0.62847222222222221</v>
      </c>
      <c r="G9" s="244" t="s">
        <v>5907</v>
      </c>
      <c r="H9" s="26"/>
      <c r="I9" s="26"/>
      <c r="J9" s="113" t="s">
        <v>2443</v>
      </c>
      <c r="K9" s="113" t="s">
        <v>20</v>
      </c>
      <c r="L9" s="113" t="s">
        <v>20</v>
      </c>
      <c r="M9" s="113" t="s">
        <v>20</v>
      </c>
      <c r="N9" s="113" t="s">
        <v>20</v>
      </c>
      <c r="O9" s="113" t="s">
        <v>20</v>
      </c>
      <c r="P9" s="113" t="s">
        <v>20</v>
      </c>
      <c r="Q9" s="113" t="s">
        <v>20</v>
      </c>
      <c r="R9" s="113" t="s">
        <v>20</v>
      </c>
    </row>
    <row r="10" spans="2:18" ht="24" x14ac:dyDescent="0.25">
      <c r="B10" s="104">
        <v>8</v>
      </c>
      <c r="C10" s="113" t="s">
        <v>4826</v>
      </c>
      <c r="D10" s="113" t="s">
        <v>5683</v>
      </c>
      <c r="E10" s="189">
        <v>45450</v>
      </c>
      <c r="F10" s="190">
        <v>0.82152777777777775</v>
      </c>
      <c r="G10" s="244" t="s">
        <v>5908</v>
      </c>
      <c r="H10" s="26"/>
      <c r="I10" s="26"/>
      <c r="J10" s="113" t="s">
        <v>2443</v>
      </c>
      <c r="K10" s="113" t="s">
        <v>20</v>
      </c>
      <c r="L10" s="113" t="s">
        <v>20</v>
      </c>
      <c r="M10" s="113" t="s">
        <v>20</v>
      </c>
      <c r="N10" s="113" t="s">
        <v>20</v>
      </c>
      <c r="O10" s="113" t="s">
        <v>20</v>
      </c>
      <c r="P10" s="113" t="s">
        <v>20</v>
      </c>
      <c r="Q10" s="113" t="s">
        <v>20</v>
      </c>
      <c r="R10" s="113" t="s">
        <v>20</v>
      </c>
    </row>
    <row r="11" spans="2:18" ht="24" x14ac:dyDescent="0.25">
      <c r="B11" s="104">
        <v>9</v>
      </c>
      <c r="C11" s="113" t="s">
        <v>4826</v>
      </c>
      <c r="D11" s="113" t="s">
        <v>5683</v>
      </c>
      <c r="E11" s="189">
        <v>45451</v>
      </c>
      <c r="F11" s="190">
        <v>0.7729166666666667</v>
      </c>
      <c r="G11" s="244" t="s">
        <v>5909</v>
      </c>
      <c r="H11" s="26"/>
      <c r="I11" s="26"/>
      <c r="J11" s="113" t="s">
        <v>2443</v>
      </c>
      <c r="K11" s="113" t="s">
        <v>20</v>
      </c>
      <c r="L11" s="113" t="s">
        <v>20</v>
      </c>
      <c r="M11" s="113" t="s">
        <v>20</v>
      </c>
      <c r="N11" s="113" t="s">
        <v>20</v>
      </c>
      <c r="O11" s="113" t="s">
        <v>20</v>
      </c>
      <c r="P11" s="113" t="s">
        <v>20</v>
      </c>
      <c r="Q11" s="113" t="s">
        <v>20</v>
      </c>
      <c r="R11" s="113" t="s">
        <v>20</v>
      </c>
    </row>
    <row r="12" spans="2:18" ht="24" x14ac:dyDescent="0.25">
      <c r="B12" s="104">
        <v>10</v>
      </c>
      <c r="C12" s="113" t="s">
        <v>4826</v>
      </c>
      <c r="D12" s="113" t="s">
        <v>5683</v>
      </c>
      <c r="E12" s="189">
        <v>45452</v>
      </c>
      <c r="F12" s="190">
        <v>0.31041666666666667</v>
      </c>
      <c r="G12" s="244" t="s">
        <v>5910</v>
      </c>
      <c r="H12" s="26"/>
      <c r="I12" s="26"/>
      <c r="J12" s="113" t="s">
        <v>2443</v>
      </c>
      <c r="K12" s="113" t="s">
        <v>20</v>
      </c>
      <c r="L12" s="113" t="s">
        <v>20</v>
      </c>
      <c r="M12" s="113" t="s">
        <v>20</v>
      </c>
      <c r="N12" s="113" t="s">
        <v>20</v>
      </c>
      <c r="O12" s="113" t="s">
        <v>20</v>
      </c>
      <c r="P12" s="113" t="s">
        <v>20</v>
      </c>
      <c r="Q12" s="113" t="s">
        <v>20</v>
      </c>
      <c r="R12" s="113" t="s">
        <v>20</v>
      </c>
    </row>
    <row r="13" spans="2:18" ht="24" x14ac:dyDescent="0.25">
      <c r="B13" s="104">
        <v>11</v>
      </c>
      <c r="C13" s="113" t="s">
        <v>4826</v>
      </c>
      <c r="D13" s="113" t="s">
        <v>5683</v>
      </c>
      <c r="E13" s="189">
        <v>45452</v>
      </c>
      <c r="F13" s="190">
        <v>0.52638888888888891</v>
      </c>
      <c r="G13" s="244" t="s">
        <v>5911</v>
      </c>
      <c r="H13" s="26"/>
      <c r="I13" s="26"/>
      <c r="J13" s="113" t="s">
        <v>2443</v>
      </c>
      <c r="K13" s="113">
        <v>162000</v>
      </c>
      <c r="L13" s="113">
        <v>500000</v>
      </c>
      <c r="M13" s="113"/>
      <c r="N13" s="113"/>
      <c r="O13" s="113"/>
      <c r="P13" s="113"/>
      <c r="Q13" s="113"/>
      <c r="R13" s="113"/>
    </row>
    <row r="14" spans="2:18" ht="24" x14ac:dyDescent="0.25">
      <c r="B14" s="104">
        <v>12</v>
      </c>
      <c r="C14" s="113" t="s">
        <v>4826</v>
      </c>
      <c r="D14" s="113" t="s">
        <v>5683</v>
      </c>
      <c r="E14" s="189">
        <v>45452</v>
      </c>
      <c r="F14" s="190">
        <v>0.81874999999999998</v>
      </c>
      <c r="G14" s="244" t="s">
        <v>5912</v>
      </c>
      <c r="H14" s="26"/>
      <c r="I14" s="26"/>
      <c r="J14" s="113" t="s">
        <v>2443</v>
      </c>
      <c r="K14" s="113" t="s">
        <v>20</v>
      </c>
      <c r="L14" s="113" t="s">
        <v>20</v>
      </c>
      <c r="M14" s="113" t="s">
        <v>20</v>
      </c>
      <c r="N14" s="113" t="s">
        <v>20</v>
      </c>
      <c r="O14" s="113" t="s">
        <v>20</v>
      </c>
      <c r="P14" s="113" t="s">
        <v>20</v>
      </c>
      <c r="Q14" s="113" t="s">
        <v>20</v>
      </c>
      <c r="R14" s="113" t="s">
        <v>20</v>
      </c>
    </row>
    <row r="15" spans="2:18" ht="24" x14ac:dyDescent="0.25">
      <c r="B15" s="104">
        <v>13</v>
      </c>
      <c r="C15" s="113" t="s">
        <v>4826</v>
      </c>
      <c r="D15" s="113" t="s">
        <v>5683</v>
      </c>
      <c r="E15" s="189">
        <v>45455</v>
      </c>
      <c r="F15" s="190">
        <v>0.7270833333333333</v>
      </c>
      <c r="G15" s="244" t="s">
        <v>5913</v>
      </c>
      <c r="H15" s="26"/>
      <c r="I15" s="26"/>
      <c r="J15" s="113" t="s">
        <v>2443</v>
      </c>
      <c r="K15" s="113" t="s">
        <v>20</v>
      </c>
      <c r="L15" s="113" t="s">
        <v>20</v>
      </c>
      <c r="M15" s="113" t="s">
        <v>20</v>
      </c>
      <c r="N15" s="113" t="s">
        <v>20</v>
      </c>
      <c r="O15" s="113" t="s">
        <v>20</v>
      </c>
      <c r="P15" s="113" t="s">
        <v>20</v>
      </c>
      <c r="Q15" s="113" t="s">
        <v>20</v>
      </c>
      <c r="R15" s="113" t="s">
        <v>20</v>
      </c>
    </row>
    <row r="16" spans="2:18" ht="24" x14ac:dyDescent="0.25">
      <c r="B16" s="104">
        <v>14</v>
      </c>
      <c r="C16" s="113" t="s">
        <v>4826</v>
      </c>
      <c r="D16" s="113" t="s">
        <v>5683</v>
      </c>
      <c r="E16" s="189">
        <v>45455</v>
      </c>
      <c r="F16" s="190">
        <v>0.90763888888888888</v>
      </c>
      <c r="G16" s="244" t="s">
        <v>5916</v>
      </c>
      <c r="H16" s="26"/>
      <c r="I16" s="26"/>
      <c r="J16" s="113" t="s">
        <v>2443</v>
      </c>
      <c r="K16" s="113" t="s">
        <v>20</v>
      </c>
      <c r="L16" s="113" t="s">
        <v>20</v>
      </c>
      <c r="M16" s="113" t="s">
        <v>20</v>
      </c>
      <c r="N16" s="113" t="s">
        <v>20</v>
      </c>
      <c r="O16" s="113" t="s">
        <v>20</v>
      </c>
      <c r="P16" s="113" t="s">
        <v>20</v>
      </c>
      <c r="Q16" s="113" t="s">
        <v>20</v>
      </c>
      <c r="R16" s="113" t="s">
        <v>20</v>
      </c>
    </row>
    <row r="17" spans="2:18" ht="24" x14ac:dyDescent="0.25">
      <c r="B17" s="104">
        <v>15</v>
      </c>
      <c r="C17" s="113" t="s">
        <v>4826</v>
      </c>
      <c r="D17" s="113" t="s">
        <v>5683</v>
      </c>
      <c r="E17" s="189">
        <v>45456</v>
      </c>
      <c r="F17" s="190">
        <v>0.72777777777777775</v>
      </c>
      <c r="G17" s="244" t="s">
        <v>5913</v>
      </c>
      <c r="H17" s="26"/>
      <c r="I17" s="26"/>
      <c r="J17" s="113" t="s">
        <v>2443</v>
      </c>
      <c r="K17" s="113" t="s">
        <v>20</v>
      </c>
      <c r="L17" s="113" t="s">
        <v>20</v>
      </c>
      <c r="M17" s="113" t="s">
        <v>20</v>
      </c>
      <c r="N17" s="113" t="s">
        <v>20</v>
      </c>
      <c r="O17" s="113" t="s">
        <v>20</v>
      </c>
      <c r="P17" s="113" t="s">
        <v>20</v>
      </c>
      <c r="Q17" s="113" t="s">
        <v>20</v>
      </c>
      <c r="R17" s="113" t="s">
        <v>20</v>
      </c>
    </row>
    <row r="18" spans="2:18" ht="24" x14ac:dyDescent="0.25">
      <c r="B18" s="104">
        <v>16</v>
      </c>
      <c r="C18" s="113" t="s">
        <v>4826</v>
      </c>
      <c r="D18" s="113" t="s">
        <v>5683</v>
      </c>
      <c r="E18" s="189">
        <v>45457</v>
      </c>
      <c r="F18" s="190">
        <v>0.8354166666666667</v>
      </c>
      <c r="G18" s="244" t="s">
        <v>5914</v>
      </c>
      <c r="H18" s="26"/>
      <c r="I18" s="26"/>
      <c r="J18" s="113" t="s">
        <v>2443</v>
      </c>
      <c r="K18" s="113" t="s">
        <v>20</v>
      </c>
      <c r="L18" s="113" t="s">
        <v>20</v>
      </c>
      <c r="M18" s="113" t="s">
        <v>20</v>
      </c>
      <c r="N18" s="113" t="s">
        <v>20</v>
      </c>
      <c r="O18" s="113" t="s">
        <v>20</v>
      </c>
      <c r="P18" s="113" t="s">
        <v>20</v>
      </c>
      <c r="Q18" s="113" t="s">
        <v>20</v>
      </c>
      <c r="R18" s="113" t="s">
        <v>20</v>
      </c>
    </row>
    <row r="19" spans="2:18" ht="24" x14ac:dyDescent="0.25">
      <c r="B19" s="104">
        <v>17</v>
      </c>
      <c r="C19" s="113" t="s">
        <v>4826</v>
      </c>
      <c r="D19" s="113" t="s">
        <v>5683</v>
      </c>
      <c r="E19" s="189">
        <v>45457</v>
      </c>
      <c r="F19" s="190">
        <v>0.88194444444444442</v>
      </c>
      <c r="G19" s="244" t="s">
        <v>5915</v>
      </c>
      <c r="H19" s="26"/>
      <c r="I19" s="26"/>
      <c r="J19" s="113" t="s">
        <v>2443</v>
      </c>
      <c r="K19" s="113" t="s">
        <v>20</v>
      </c>
      <c r="L19" s="113" t="s">
        <v>20</v>
      </c>
      <c r="M19" s="113" t="s">
        <v>20</v>
      </c>
      <c r="N19" s="113" t="s">
        <v>20</v>
      </c>
      <c r="O19" s="113" t="s">
        <v>20</v>
      </c>
      <c r="P19" s="113" t="s">
        <v>20</v>
      </c>
      <c r="Q19" s="113" t="s">
        <v>20</v>
      </c>
      <c r="R19" s="113" t="s">
        <v>20</v>
      </c>
    </row>
    <row r="20" spans="2:18" ht="24" x14ac:dyDescent="0.25">
      <c r="B20" s="104">
        <v>18</v>
      </c>
      <c r="C20" s="113" t="s">
        <v>4826</v>
      </c>
      <c r="D20" s="113" t="s">
        <v>5683</v>
      </c>
      <c r="E20" s="189">
        <v>45459</v>
      </c>
      <c r="F20" s="190">
        <v>0.8569444444444444</v>
      </c>
      <c r="G20" s="244" t="s">
        <v>5917</v>
      </c>
      <c r="H20" s="26"/>
      <c r="I20" s="26"/>
      <c r="J20" s="113" t="s">
        <v>2443</v>
      </c>
      <c r="K20" s="113" t="s">
        <v>20</v>
      </c>
      <c r="L20" s="113" t="s">
        <v>20</v>
      </c>
      <c r="M20" s="113" t="s">
        <v>20</v>
      </c>
      <c r="N20" s="113" t="s">
        <v>20</v>
      </c>
      <c r="O20" s="113" t="s">
        <v>20</v>
      </c>
      <c r="P20" s="113" t="s">
        <v>20</v>
      </c>
      <c r="Q20" s="113" t="s">
        <v>20</v>
      </c>
      <c r="R20" s="113" t="s">
        <v>20</v>
      </c>
    </row>
    <row r="21" spans="2:18" ht="24" x14ac:dyDescent="0.25">
      <c r="B21" s="104">
        <v>19</v>
      </c>
      <c r="C21" s="113" t="s">
        <v>4826</v>
      </c>
      <c r="D21" s="113" t="s">
        <v>5684</v>
      </c>
      <c r="E21" s="189">
        <v>45453</v>
      </c>
      <c r="F21" s="190">
        <v>0.8569444444444444</v>
      </c>
      <c r="G21" s="244" t="s">
        <v>5928</v>
      </c>
      <c r="H21" s="26"/>
      <c r="I21" s="26"/>
      <c r="J21" s="113" t="s">
        <v>2443</v>
      </c>
      <c r="K21" s="113" t="s">
        <v>20</v>
      </c>
      <c r="L21" s="113" t="s">
        <v>20</v>
      </c>
      <c r="M21" s="113" t="s">
        <v>20</v>
      </c>
      <c r="N21" s="113" t="s">
        <v>20</v>
      </c>
      <c r="O21" s="113" t="s">
        <v>20</v>
      </c>
      <c r="P21" s="113" t="s">
        <v>20</v>
      </c>
      <c r="Q21" s="113" t="s">
        <v>20</v>
      </c>
      <c r="R21" s="113" t="s">
        <v>20</v>
      </c>
    </row>
    <row r="22" spans="2:18" ht="24" x14ac:dyDescent="0.25">
      <c r="B22" s="104">
        <v>20</v>
      </c>
      <c r="C22" s="113" t="s">
        <v>4826</v>
      </c>
      <c r="D22" s="113" t="s">
        <v>5684</v>
      </c>
      <c r="E22" s="189">
        <v>45454</v>
      </c>
      <c r="F22" s="190">
        <v>0.65347222222222223</v>
      </c>
      <c r="G22" s="244" t="s">
        <v>5918</v>
      </c>
      <c r="H22" s="26"/>
      <c r="I22" s="26"/>
      <c r="J22" s="113" t="s">
        <v>2443</v>
      </c>
      <c r="K22" s="113" t="s">
        <v>20</v>
      </c>
      <c r="L22" s="113" t="s">
        <v>20</v>
      </c>
      <c r="M22" s="113" t="s">
        <v>20</v>
      </c>
      <c r="N22" s="113" t="s">
        <v>20</v>
      </c>
      <c r="O22" s="113" t="s">
        <v>20</v>
      </c>
      <c r="P22" s="113" t="s">
        <v>20</v>
      </c>
      <c r="Q22" s="113" t="s">
        <v>20</v>
      </c>
      <c r="R22" s="113" t="s">
        <v>20</v>
      </c>
    </row>
    <row r="23" spans="2:18" ht="24" x14ac:dyDescent="0.25">
      <c r="B23" s="104">
        <v>21</v>
      </c>
      <c r="C23" s="113" t="s">
        <v>4826</v>
      </c>
      <c r="D23" s="113" t="s">
        <v>5684</v>
      </c>
      <c r="E23" s="189">
        <v>45455</v>
      </c>
      <c r="F23" s="190">
        <v>0.39305555555555555</v>
      </c>
      <c r="G23" s="244" t="s">
        <v>5927</v>
      </c>
      <c r="H23" s="26"/>
      <c r="I23" s="26"/>
      <c r="J23" s="113" t="s">
        <v>2443</v>
      </c>
      <c r="K23" s="113" t="s">
        <v>20</v>
      </c>
      <c r="L23" s="113" t="s">
        <v>20</v>
      </c>
      <c r="M23" s="113" t="s">
        <v>20</v>
      </c>
      <c r="N23" s="113" t="s">
        <v>20</v>
      </c>
      <c r="O23" s="113" t="s">
        <v>20</v>
      </c>
      <c r="P23" s="113" t="s">
        <v>20</v>
      </c>
      <c r="Q23" s="113" t="s">
        <v>20</v>
      </c>
      <c r="R23" s="113" t="s">
        <v>20</v>
      </c>
    </row>
    <row r="24" spans="2:18" ht="24" x14ac:dyDescent="0.25">
      <c r="B24" s="104">
        <v>22</v>
      </c>
      <c r="C24" s="113" t="s">
        <v>4826</v>
      </c>
      <c r="D24" s="113" t="s">
        <v>5684</v>
      </c>
      <c r="E24" s="189">
        <v>45459</v>
      </c>
      <c r="F24" s="190">
        <v>0.36249999999999999</v>
      </c>
      <c r="G24" s="244" t="s">
        <v>5929</v>
      </c>
      <c r="H24" s="26"/>
      <c r="I24" s="26"/>
      <c r="J24" s="113" t="s">
        <v>2443</v>
      </c>
      <c r="K24" s="113" t="s">
        <v>20</v>
      </c>
      <c r="L24" s="113" t="s">
        <v>20</v>
      </c>
      <c r="M24" s="113" t="s">
        <v>20</v>
      </c>
      <c r="N24" s="113" t="s">
        <v>20</v>
      </c>
      <c r="O24" s="113" t="s">
        <v>20</v>
      </c>
      <c r="P24" s="113" t="s">
        <v>20</v>
      </c>
      <c r="Q24" s="113" t="s">
        <v>20</v>
      </c>
      <c r="R24" s="113" t="s">
        <v>20</v>
      </c>
    </row>
    <row r="25" spans="2:18" ht="24" x14ac:dyDescent="0.25">
      <c r="B25" s="104">
        <v>23</v>
      </c>
      <c r="C25" s="113" t="s">
        <v>4826</v>
      </c>
      <c r="D25" s="113" t="s">
        <v>5684</v>
      </c>
      <c r="E25" s="189">
        <v>45459</v>
      </c>
      <c r="F25" s="190">
        <v>0.65277777777777779</v>
      </c>
      <c r="G25" s="244" t="s">
        <v>5919</v>
      </c>
      <c r="H25" s="26"/>
      <c r="I25" s="26"/>
      <c r="J25" s="113" t="s">
        <v>2443</v>
      </c>
      <c r="K25" s="113" t="s">
        <v>20</v>
      </c>
      <c r="L25" s="113" t="s">
        <v>20</v>
      </c>
      <c r="M25" s="113" t="s">
        <v>20</v>
      </c>
      <c r="N25" s="113" t="s">
        <v>20</v>
      </c>
      <c r="O25" s="113" t="s">
        <v>20</v>
      </c>
      <c r="P25" s="113" t="s">
        <v>20</v>
      </c>
      <c r="Q25" s="113" t="s">
        <v>20</v>
      </c>
      <c r="R25" s="113" t="s">
        <v>20</v>
      </c>
    </row>
    <row r="26" spans="2:18" ht="24" x14ac:dyDescent="0.25">
      <c r="B26" s="104">
        <v>24</v>
      </c>
      <c r="C26" s="113" t="s">
        <v>4826</v>
      </c>
      <c r="D26" s="113" t="s">
        <v>4826</v>
      </c>
      <c r="E26" s="189">
        <v>45453</v>
      </c>
      <c r="F26" s="190">
        <v>0.7583333333333333</v>
      </c>
      <c r="G26" s="244" t="s">
        <v>5920</v>
      </c>
      <c r="H26" s="26"/>
      <c r="I26" s="26"/>
      <c r="J26" s="113" t="s">
        <v>2443</v>
      </c>
      <c r="K26" s="113"/>
      <c r="L26" s="113"/>
      <c r="M26" s="113"/>
      <c r="N26" s="113"/>
      <c r="O26" s="113"/>
      <c r="P26" s="113"/>
      <c r="Q26" s="113"/>
      <c r="R26" s="113"/>
    </row>
    <row r="27" spans="2:18" ht="24" x14ac:dyDescent="0.25">
      <c r="B27" s="104">
        <v>25</v>
      </c>
      <c r="C27" s="113" t="s">
        <v>4826</v>
      </c>
      <c r="D27" s="113" t="s">
        <v>4826</v>
      </c>
      <c r="E27" s="189">
        <v>45456</v>
      </c>
      <c r="F27" s="190">
        <v>0.65625</v>
      </c>
      <c r="G27" s="244" t="s">
        <v>5921</v>
      </c>
      <c r="H27" s="26"/>
      <c r="I27" s="26"/>
      <c r="J27" s="113" t="s">
        <v>2443</v>
      </c>
      <c r="K27" s="113"/>
      <c r="L27" s="113"/>
      <c r="M27" s="113"/>
      <c r="N27" s="113"/>
      <c r="O27" s="113"/>
      <c r="P27" s="113"/>
      <c r="Q27" s="113"/>
      <c r="R27" s="113"/>
    </row>
    <row r="28" spans="2:18" ht="24" x14ac:dyDescent="0.25">
      <c r="B28" s="104">
        <v>26</v>
      </c>
      <c r="C28" s="113" t="s">
        <v>4826</v>
      </c>
      <c r="D28" s="113" t="s">
        <v>4826</v>
      </c>
      <c r="E28" s="189">
        <v>45463</v>
      </c>
      <c r="F28" s="190">
        <v>0.44791666666666669</v>
      </c>
      <c r="G28" s="244" t="s">
        <v>5922</v>
      </c>
      <c r="H28" s="26"/>
      <c r="I28" s="26"/>
      <c r="J28" s="113" t="s">
        <v>2443</v>
      </c>
      <c r="K28" s="113"/>
      <c r="L28" s="113"/>
      <c r="M28" s="113"/>
      <c r="N28" s="113"/>
      <c r="O28" s="113"/>
      <c r="P28" s="113"/>
      <c r="Q28" s="113"/>
      <c r="R28" s="113"/>
    </row>
    <row r="29" spans="2:18" ht="19.5" x14ac:dyDescent="0.25">
      <c r="B29" s="104"/>
      <c r="C29" s="113"/>
      <c r="D29" s="113"/>
      <c r="E29" s="113"/>
      <c r="F29" s="113"/>
      <c r="G29" s="113"/>
      <c r="H29" s="26"/>
      <c r="I29" s="26"/>
      <c r="J29" s="113"/>
      <c r="K29" s="113"/>
      <c r="L29" s="113"/>
      <c r="M29" s="113"/>
      <c r="N29" s="113"/>
      <c r="O29" s="113"/>
      <c r="P29" s="113"/>
      <c r="Q29" s="113"/>
      <c r="R29" s="113"/>
    </row>
    <row r="30" spans="2:18" ht="19.5" x14ac:dyDescent="0.25">
      <c r="B30" s="104"/>
      <c r="C30" s="113"/>
      <c r="D30" s="113"/>
      <c r="E30" s="113"/>
      <c r="F30" s="113"/>
      <c r="G30" s="113"/>
      <c r="H30" s="26"/>
      <c r="I30" s="26"/>
      <c r="J30" s="113"/>
      <c r="K30" s="113"/>
      <c r="L30" s="113"/>
      <c r="M30" s="113"/>
      <c r="N30" s="113"/>
      <c r="O30" s="113"/>
      <c r="P30" s="113"/>
      <c r="Q30" s="113"/>
      <c r="R30" s="113"/>
    </row>
    <row r="31" spans="2:18" ht="19.5" x14ac:dyDescent="0.25">
      <c r="B31" s="104"/>
      <c r="C31" s="113"/>
      <c r="D31" s="113"/>
      <c r="E31" s="113"/>
      <c r="F31" s="113"/>
      <c r="G31" s="113"/>
      <c r="H31" s="26"/>
      <c r="I31" s="26"/>
      <c r="J31" s="113"/>
      <c r="K31" s="113"/>
      <c r="L31" s="113"/>
      <c r="M31" s="113"/>
      <c r="N31" s="113"/>
      <c r="O31" s="113"/>
      <c r="P31" s="113"/>
      <c r="Q31" s="113"/>
      <c r="R31" s="113"/>
    </row>
    <row r="32" spans="2:18" ht="19.5" x14ac:dyDescent="0.25">
      <c r="B32" s="104"/>
      <c r="C32" s="113"/>
      <c r="D32" s="113"/>
      <c r="E32" s="113"/>
      <c r="F32" s="113"/>
      <c r="G32" s="113"/>
      <c r="H32" s="26"/>
      <c r="I32" s="26"/>
      <c r="J32" s="113"/>
      <c r="K32" s="113"/>
      <c r="L32" s="113"/>
      <c r="M32" s="113"/>
      <c r="N32" s="113"/>
      <c r="O32" s="113"/>
      <c r="P32" s="113"/>
      <c r="Q32" s="113"/>
      <c r="R32" s="113"/>
    </row>
    <row r="33" spans="2:18" ht="19.5" x14ac:dyDescent="0.25">
      <c r="B33" s="104"/>
      <c r="C33" s="113"/>
      <c r="D33" s="113"/>
      <c r="E33" s="113"/>
      <c r="F33" s="113"/>
      <c r="G33" s="113"/>
      <c r="H33" s="26"/>
      <c r="I33" s="26"/>
      <c r="J33" s="113"/>
      <c r="K33" s="113"/>
      <c r="L33" s="113"/>
      <c r="M33" s="113"/>
      <c r="N33" s="113"/>
      <c r="O33" s="113"/>
      <c r="P33" s="113"/>
      <c r="Q33" s="113"/>
      <c r="R33" s="113"/>
    </row>
    <row r="34" spans="2:18" ht="19.5" x14ac:dyDescent="0.25">
      <c r="B34" s="104"/>
      <c r="C34" s="113"/>
      <c r="D34" s="113"/>
      <c r="E34" s="113"/>
      <c r="F34" s="113"/>
      <c r="G34" s="113"/>
      <c r="H34" s="26"/>
      <c r="I34" s="26"/>
      <c r="J34" s="113"/>
      <c r="K34" s="113"/>
      <c r="L34" s="113"/>
      <c r="M34" s="113"/>
      <c r="N34" s="113"/>
      <c r="O34" s="113"/>
      <c r="P34" s="113"/>
      <c r="Q34" s="113"/>
      <c r="R34" s="113"/>
    </row>
    <row r="35" spans="2:18" ht="19.5" x14ac:dyDescent="0.25">
      <c r="B35" s="104"/>
      <c r="C35" s="113"/>
      <c r="D35" s="113"/>
      <c r="E35" s="113"/>
      <c r="F35" s="113"/>
      <c r="G35" s="113"/>
      <c r="H35" s="26"/>
      <c r="I35" s="26"/>
      <c r="J35" s="113"/>
      <c r="K35" s="113"/>
      <c r="L35" s="113"/>
      <c r="M35" s="113"/>
      <c r="N35" s="113"/>
      <c r="O35" s="113"/>
      <c r="P35" s="113"/>
      <c r="Q35" s="113"/>
      <c r="R35" s="113"/>
    </row>
    <row r="36" spans="2:18" ht="19.5" x14ac:dyDescent="0.25">
      <c r="B36" s="104"/>
      <c r="C36" s="113"/>
      <c r="D36" s="113"/>
      <c r="E36" s="113"/>
      <c r="F36" s="113"/>
      <c r="G36" s="113"/>
      <c r="H36" s="26"/>
      <c r="I36" s="26"/>
      <c r="J36" s="113"/>
      <c r="K36" s="113"/>
      <c r="L36" s="113"/>
      <c r="M36" s="113"/>
      <c r="N36" s="113"/>
      <c r="O36" s="113"/>
      <c r="P36" s="113"/>
      <c r="Q36" s="113"/>
      <c r="R36" s="113"/>
    </row>
    <row r="37" spans="2:18" ht="19.5" x14ac:dyDescent="0.25">
      <c r="B37" s="104"/>
      <c r="C37" s="113"/>
      <c r="D37" s="113"/>
      <c r="E37" s="113"/>
      <c r="F37" s="113"/>
      <c r="G37" s="113"/>
      <c r="H37" s="26"/>
      <c r="I37" s="26"/>
      <c r="J37" s="113"/>
      <c r="K37" s="113"/>
      <c r="L37" s="113"/>
      <c r="M37" s="113"/>
      <c r="N37" s="113"/>
      <c r="O37" s="113"/>
      <c r="P37" s="113"/>
      <c r="Q37" s="113"/>
      <c r="R37" s="113"/>
    </row>
    <row r="38" spans="2:18" ht="19.5" x14ac:dyDescent="0.25">
      <c r="B38" s="104"/>
      <c r="C38" s="113"/>
      <c r="D38" s="113"/>
      <c r="E38" s="113"/>
      <c r="F38" s="113"/>
      <c r="G38" s="113"/>
      <c r="H38" s="26"/>
      <c r="I38" s="26"/>
      <c r="J38" s="113"/>
      <c r="K38" s="113"/>
      <c r="L38" s="113"/>
      <c r="M38" s="113"/>
      <c r="N38" s="113"/>
      <c r="O38" s="113"/>
      <c r="P38" s="113"/>
      <c r="Q38" s="113"/>
      <c r="R38" s="113"/>
    </row>
    <row r="39" spans="2:18" ht="19.5" x14ac:dyDescent="0.25">
      <c r="B39" s="104"/>
      <c r="C39" s="113"/>
      <c r="D39" s="113"/>
      <c r="E39" s="113"/>
      <c r="F39" s="113"/>
      <c r="G39" s="113"/>
      <c r="H39" s="26"/>
      <c r="I39" s="26"/>
      <c r="J39" s="113"/>
      <c r="K39" s="113"/>
      <c r="L39" s="113"/>
      <c r="M39" s="113"/>
      <c r="N39" s="113"/>
      <c r="O39" s="113"/>
      <c r="P39" s="113"/>
      <c r="Q39" s="113"/>
      <c r="R39" s="113"/>
    </row>
    <row r="40" spans="2:18" ht="19.5" x14ac:dyDescent="0.25">
      <c r="B40" s="104"/>
      <c r="C40" s="113"/>
      <c r="D40" s="113"/>
      <c r="E40" s="113"/>
      <c r="F40" s="113"/>
      <c r="G40" s="113"/>
      <c r="H40" s="26"/>
      <c r="I40" s="26"/>
      <c r="J40" s="113"/>
      <c r="K40" s="113"/>
      <c r="L40" s="113"/>
      <c r="M40" s="113"/>
      <c r="N40" s="113"/>
      <c r="O40" s="113"/>
      <c r="P40" s="113"/>
      <c r="Q40" s="113"/>
      <c r="R40" s="113"/>
    </row>
    <row r="41" spans="2:18" ht="19.5" x14ac:dyDescent="0.25">
      <c r="B41" s="104"/>
      <c r="C41" s="113"/>
      <c r="D41" s="113"/>
      <c r="E41" s="113"/>
      <c r="F41" s="113"/>
      <c r="G41" s="113"/>
      <c r="H41" s="26"/>
      <c r="I41" s="26"/>
      <c r="J41" s="113"/>
      <c r="K41" s="113"/>
      <c r="L41" s="113"/>
      <c r="M41" s="113"/>
      <c r="N41" s="113"/>
      <c r="O41" s="113"/>
      <c r="P41" s="113"/>
      <c r="Q41" s="113"/>
      <c r="R41" s="113"/>
    </row>
    <row r="42" spans="2:18" ht="19.5" x14ac:dyDescent="0.25">
      <c r="B42" s="104"/>
      <c r="C42" s="113"/>
      <c r="D42" s="113"/>
      <c r="E42" s="113"/>
      <c r="F42" s="113"/>
      <c r="G42" s="113"/>
      <c r="H42" s="26"/>
      <c r="I42" s="26"/>
      <c r="J42" s="113"/>
      <c r="K42" s="113"/>
      <c r="L42" s="113"/>
      <c r="M42" s="113"/>
      <c r="N42" s="113"/>
      <c r="O42" s="113"/>
      <c r="P42" s="113"/>
      <c r="Q42" s="113"/>
      <c r="R42" s="113"/>
    </row>
    <row r="43" spans="2:18" ht="19.5" x14ac:dyDescent="0.25">
      <c r="B43" s="104"/>
      <c r="C43" s="113"/>
      <c r="D43" s="113"/>
      <c r="E43" s="113"/>
      <c r="F43" s="113"/>
      <c r="G43" s="113"/>
      <c r="H43" s="26"/>
      <c r="I43" s="26"/>
      <c r="J43" s="113"/>
      <c r="K43" s="113"/>
      <c r="L43" s="113"/>
      <c r="M43" s="113"/>
      <c r="N43" s="113"/>
      <c r="O43" s="113"/>
      <c r="P43" s="113"/>
      <c r="Q43" s="113"/>
      <c r="R43" s="113"/>
    </row>
    <row r="44" spans="2:18" ht="19.5" x14ac:dyDescent="0.25">
      <c r="B44" s="104"/>
      <c r="C44" s="113"/>
      <c r="D44" s="113"/>
      <c r="E44" s="113"/>
      <c r="F44" s="113"/>
      <c r="G44" s="113"/>
      <c r="H44" s="26"/>
      <c r="I44" s="26"/>
      <c r="J44" s="113"/>
      <c r="K44" s="113"/>
      <c r="L44" s="113"/>
      <c r="M44" s="113"/>
      <c r="N44" s="113"/>
      <c r="O44" s="113"/>
      <c r="P44" s="113"/>
      <c r="Q44" s="113"/>
      <c r="R44" s="113"/>
    </row>
    <row r="45" spans="2:18" ht="19.5" x14ac:dyDescent="0.25">
      <c r="B45" s="104"/>
      <c r="C45" s="113"/>
      <c r="D45" s="113"/>
      <c r="E45" s="113"/>
      <c r="F45" s="113"/>
      <c r="G45" s="113"/>
      <c r="H45" s="26"/>
      <c r="I45" s="26"/>
      <c r="J45" s="113"/>
      <c r="K45" s="113"/>
      <c r="L45" s="113"/>
      <c r="M45" s="113"/>
      <c r="N45" s="113"/>
      <c r="O45" s="113"/>
      <c r="P45" s="113"/>
      <c r="Q45" s="113"/>
      <c r="R45" s="113"/>
    </row>
    <row r="46" spans="2:18" ht="19.5" x14ac:dyDescent="0.25">
      <c r="B46" s="104"/>
      <c r="C46" s="113"/>
      <c r="D46" s="113"/>
      <c r="E46" s="113"/>
      <c r="F46" s="113"/>
      <c r="G46" s="113"/>
      <c r="H46" s="26"/>
      <c r="I46" s="26"/>
      <c r="J46" s="113"/>
      <c r="K46" s="113"/>
      <c r="L46" s="113"/>
      <c r="M46" s="113"/>
      <c r="N46" s="113"/>
      <c r="O46" s="113"/>
      <c r="P46" s="113"/>
      <c r="Q46" s="113"/>
      <c r="R46" s="113"/>
    </row>
    <row r="47" spans="2:18" ht="19.5" x14ac:dyDescent="0.25">
      <c r="B47" s="104"/>
      <c r="C47" s="113"/>
      <c r="D47" s="113"/>
      <c r="E47" s="113"/>
      <c r="F47" s="113"/>
      <c r="G47" s="113"/>
      <c r="H47" s="26"/>
      <c r="I47" s="26"/>
      <c r="J47" s="113"/>
      <c r="K47" s="113"/>
      <c r="L47" s="113"/>
      <c r="M47" s="113"/>
      <c r="N47" s="113"/>
      <c r="O47" s="113"/>
      <c r="P47" s="113"/>
      <c r="Q47" s="113"/>
      <c r="R47" s="113"/>
    </row>
    <row r="48" spans="2:18" ht="19.5" x14ac:dyDescent="0.25">
      <c r="B48" s="104"/>
      <c r="C48" s="113"/>
      <c r="D48" s="113"/>
      <c r="E48" s="113"/>
      <c r="F48" s="113"/>
      <c r="G48" s="113"/>
      <c r="H48" s="26"/>
      <c r="I48" s="26"/>
      <c r="J48" s="113"/>
      <c r="K48" s="113"/>
      <c r="L48" s="113"/>
      <c r="M48" s="113"/>
      <c r="N48" s="113"/>
      <c r="O48" s="113"/>
      <c r="P48" s="113"/>
      <c r="Q48" s="113"/>
      <c r="R48" s="113"/>
    </row>
    <row r="49" spans="2:18" ht="19.5" x14ac:dyDescent="0.25">
      <c r="B49" s="104"/>
      <c r="C49" s="113"/>
      <c r="D49" s="113"/>
      <c r="E49" s="113"/>
      <c r="F49" s="113"/>
      <c r="G49" s="113"/>
      <c r="H49" s="26"/>
      <c r="I49" s="26"/>
      <c r="J49" s="113"/>
      <c r="K49" s="113"/>
      <c r="L49" s="113"/>
      <c r="M49" s="113"/>
      <c r="N49" s="113"/>
      <c r="O49" s="113"/>
      <c r="P49" s="113"/>
      <c r="Q49" s="113"/>
      <c r="R49" s="113"/>
    </row>
    <row r="50" spans="2:18" ht="19.5" x14ac:dyDescent="0.25">
      <c r="B50" s="104"/>
      <c r="C50" s="113"/>
      <c r="D50" s="113"/>
      <c r="E50" s="113"/>
      <c r="F50" s="113"/>
      <c r="G50" s="113"/>
      <c r="H50" s="26"/>
      <c r="I50" s="26"/>
      <c r="J50" s="113"/>
      <c r="K50" s="113"/>
      <c r="L50" s="113"/>
      <c r="M50" s="113"/>
      <c r="N50" s="113"/>
      <c r="O50" s="113"/>
      <c r="P50" s="113"/>
      <c r="Q50" s="113"/>
      <c r="R50" s="113"/>
    </row>
    <row r="51" spans="2:18" ht="19.5" x14ac:dyDescent="0.25">
      <c r="B51" s="104"/>
      <c r="C51" s="113"/>
      <c r="D51" s="113"/>
      <c r="E51" s="113"/>
      <c r="F51" s="113"/>
      <c r="G51" s="113"/>
      <c r="H51" s="26"/>
      <c r="I51" s="26"/>
      <c r="J51" s="113"/>
      <c r="K51" s="113"/>
      <c r="L51" s="113"/>
      <c r="M51" s="113"/>
      <c r="N51" s="113"/>
      <c r="O51" s="113"/>
      <c r="P51" s="113"/>
      <c r="Q51" s="113"/>
      <c r="R51" s="113"/>
    </row>
    <row r="52" spans="2:18" ht="19.5" x14ac:dyDescent="0.25">
      <c r="B52" s="104"/>
      <c r="C52" s="113"/>
      <c r="D52" s="113"/>
      <c r="E52" s="113"/>
      <c r="F52" s="113"/>
      <c r="G52" s="113"/>
      <c r="H52" s="26"/>
      <c r="I52" s="26"/>
      <c r="J52" s="113"/>
      <c r="K52" s="113"/>
      <c r="L52" s="113"/>
      <c r="M52" s="113"/>
      <c r="N52" s="113"/>
      <c r="O52" s="113"/>
      <c r="P52" s="113"/>
      <c r="Q52" s="113"/>
      <c r="R52" s="113"/>
    </row>
    <row r="53" spans="2:18" ht="19.5" x14ac:dyDescent="0.25">
      <c r="B53" s="104"/>
      <c r="C53" s="113"/>
      <c r="D53" s="113"/>
      <c r="E53" s="113"/>
      <c r="F53" s="113"/>
      <c r="G53" s="113"/>
      <c r="H53" s="26"/>
      <c r="I53" s="26"/>
      <c r="J53" s="113"/>
      <c r="K53" s="113"/>
      <c r="L53" s="113"/>
      <c r="M53" s="113"/>
      <c r="N53" s="113"/>
      <c r="O53" s="113"/>
      <c r="P53" s="113"/>
      <c r="Q53" s="113"/>
      <c r="R53" s="113"/>
    </row>
    <row r="54" spans="2:18" ht="19.5" x14ac:dyDescent="0.25">
      <c r="B54" s="104"/>
      <c r="C54" s="113"/>
      <c r="D54" s="113"/>
      <c r="E54" s="113"/>
      <c r="F54" s="113"/>
      <c r="G54" s="113"/>
      <c r="H54" s="26"/>
      <c r="I54" s="26"/>
      <c r="J54" s="113"/>
      <c r="K54" s="113"/>
      <c r="L54" s="113"/>
      <c r="M54" s="113"/>
      <c r="N54" s="113"/>
      <c r="O54" s="113"/>
      <c r="P54" s="113"/>
      <c r="Q54" s="113"/>
      <c r="R54" s="113"/>
    </row>
    <row r="55" spans="2:18" ht="19.5" x14ac:dyDescent="0.25">
      <c r="B55" s="104"/>
      <c r="C55" s="113"/>
      <c r="D55" s="113"/>
      <c r="E55" s="113"/>
      <c r="F55" s="113"/>
      <c r="G55" s="113"/>
      <c r="H55" s="26"/>
      <c r="I55" s="26"/>
      <c r="J55" s="113"/>
      <c r="K55" s="113"/>
      <c r="L55" s="113"/>
      <c r="M55" s="113"/>
      <c r="N55" s="113"/>
      <c r="O55" s="113"/>
      <c r="P55" s="113"/>
      <c r="Q55" s="113"/>
      <c r="R55" s="113"/>
    </row>
    <row r="56" spans="2:18" ht="19.5" x14ac:dyDescent="0.25">
      <c r="B56" s="104"/>
      <c r="C56" s="113"/>
      <c r="D56" s="113"/>
      <c r="E56" s="113"/>
      <c r="F56" s="113"/>
      <c r="G56" s="113"/>
      <c r="H56" s="26"/>
      <c r="I56" s="26"/>
      <c r="J56" s="113"/>
      <c r="K56" s="113"/>
      <c r="L56" s="113"/>
      <c r="M56" s="113"/>
      <c r="N56" s="113"/>
      <c r="O56" s="113"/>
      <c r="P56" s="113"/>
      <c r="Q56" s="113"/>
      <c r="R56" s="113"/>
    </row>
    <row r="57" spans="2:18" ht="19.5" x14ac:dyDescent="0.25">
      <c r="B57" s="104"/>
      <c r="C57" s="113"/>
      <c r="D57" s="113"/>
      <c r="E57" s="113"/>
      <c r="F57" s="113"/>
      <c r="G57" s="113"/>
      <c r="H57" s="26"/>
      <c r="I57" s="26"/>
      <c r="J57" s="113"/>
      <c r="K57" s="113"/>
      <c r="L57" s="113"/>
      <c r="M57" s="113"/>
      <c r="N57" s="113"/>
      <c r="O57" s="113"/>
      <c r="P57" s="113"/>
      <c r="Q57" s="113"/>
      <c r="R57" s="113"/>
    </row>
    <row r="58" spans="2:18" ht="19.5" x14ac:dyDescent="0.25">
      <c r="B58" s="104"/>
      <c r="C58" s="113"/>
      <c r="D58" s="113"/>
      <c r="E58" s="113"/>
      <c r="F58" s="113"/>
      <c r="G58" s="113"/>
      <c r="H58" s="26"/>
      <c r="I58" s="26"/>
      <c r="J58" s="113"/>
      <c r="K58" s="113"/>
      <c r="L58" s="113"/>
      <c r="M58" s="113"/>
      <c r="N58" s="113"/>
      <c r="O58" s="113"/>
      <c r="P58" s="113"/>
      <c r="Q58" s="113"/>
      <c r="R58" s="113"/>
    </row>
    <row r="59" spans="2:18" ht="19.5" x14ac:dyDescent="0.25">
      <c r="B59" s="104"/>
      <c r="C59" s="113"/>
      <c r="D59" s="113"/>
      <c r="E59" s="113"/>
      <c r="F59" s="113"/>
      <c r="G59" s="113"/>
      <c r="H59" s="26"/>
      <c r="I59" s="26"/>
      <c r="J59" s="113"/>
      <c r="K59" s="113"/>
      <c r="L59" s="113"/>
      <c r="M59" s="113"/>
      <c r="N59" s="113"/>
      <c r="O59" s="113"/>
      <c r="P59" s="113"/>
      <c r="Q59" s="113"/>
      <c r="R59" s="113"/>
    </row>
    <row r="60" spans="2:18" ht="19.5" x14ac:dyDescent="0.25">
      <c r="B60" s="104"/>
      <c r="C60" s="113"/>
      <c r="D60" s="113"/>
      <c r="E60" s="113"/>
      <c r="F60" s="113"/>
      <c r="G60" s="113"/>
      <c r="H60" s="26"/>
      <c r="I60" s="26"/>
      <c r="J60" s="113"/>
      <c r="K60" s="113"/>
      <c r="L60" s="113"/>
      <c r="M60" s="113"/>
      <c r="N60" s="113"/>
      <c r="O60" s="113"/>
      <c r="P60" s="113"/>
      <c r="Q60" s="113"/>
      <c r="R60" s="113"/>
    </row>
    <row r="61" spans="2:18" ht="19.5" x14ac:dyDescent="0.25">
      <c r="B61" s="104"/>
      <c r="C61" s="113"/>
      <c r="D61" s="113"/>
      <c r="E61" s="113"/>
      <c r="F61" s="113"/>
      <c r="G61" s="113"/>
      <c r="H61" s="26"/>
      <c r="I61" s="26"/>
      <c r="J61" s="113"/>
      <c r="K61" s="113"/>
      <c r="L61" s="113"/>
      <c r="M61" s="113"/>
      <c r="N61" s="113"/>
      <c r="O61" s="113"/>
      <c r="P61" s="113"/>
      <c r="Q61" s="113"/>
      <c r="R61" s="113"/>
    </row>
    <row r="62" spans="2:18" ht="19.5" x14ac:dyDescent="0.25">
      <c r="B62" s="104"/>
      <c r="C62" s="113"/>
      <c r="D62" s="113"/>
      <c r="E62" s="113"/>
      <c r="F62" s="113"/>
      <c r="G62" s="113"/>
      <c r="H62" s="26"/>
      <c r="I62" s="26"/>
      <c r="J62" s="113"/>
      <c r="K62" s="113"/>
      <c r="L62" s="113"/>
      <c r="M62" s="113"/>
      <c r="N62" s="113"/>
      <c r="O62" s="113"/>
      <c r="P62" s="113"/>
      <c r="Q62" s="113"/>
      <c r="R62" s="113"/>
    </row>
    <row r="63" spans="2:18" ht="19.5" x14ac:dyDescent="0.25">
      <c r="B63" s="104"/>
      <c r="C63" s="113"/>
      <c r="D63" s="113"/>
      <c r="E63" s="113"/>
      <c r="F63" s="113"/>
      <c r="G63" s="113"/>
      <c r="H63" s="26"/>
      <c r="I63" s="26"/>
      <c r="J63" s="113"/>
      <c r="K63" s="113"/>
      <c r="L63" s="113"/>
      <c r="M63" s="113"/>
      <c r="N63" s="113"/>
      <c r="O63" s="113"/>
      <c r="P63" s="113"/>
      <c r="Q63" s="113"/>
      <c r="R63" s="113"/>
    </row>
    <row r="64" spans="2:18" ht="19.5" x14ac:dyDescent="0.25">
      <c r="B64" s="104"/>
      <c r="C64" s="113"/>
      <c r="D64" s="113"/>
      <c r="E64" s="113"/>
      <c r="F64" s="113"/>
      <c r="G64" s="113"/>
      <c r="H64" s="26"/>
      <c r="I64" s="26"/>
      <c r="J64" s="113"/>
      <c r="K64" s="113"/>
      <c r="L64" s="113"/>
      <c r="M64" s="113"/>
      <c r="N64" s="113"/>
      <c r="O64" s="113"/>
      <c r="P64" s="113"/>
      <c r="Q64" s="113"/>
      <c r="R64" s="113"/>
    </row>
    <row r="65" spans="2:18" ht="19.5" x14ac:dyDescent="0.25">
      <c r="B65" s="104"/>
      <c r="C65" s="113"/>
      <c r="D65" s="113"/>
      <c r="E65" s="113"/>
      <c r="F65" s="113"/>
      <c r="G65" s="113"/>
      <c r="H65" s="26"/>
      <c r="I65" s="26"/>
      <c r="J65" s="113"/>
      <c r="K65" s="113"/>
      <c r="L65" s="113"/>
      <c r="M65" s="113"/>
      <c r="N65" s="113"/>
      <c r="O65" s="113"/>
      <c r="P65" s="113"/>
      <c r="Q65" s="113"/>
      <c r="R65" s="113"/>
    </row>
    <row r="66" spans="2:18" ht="19.5" x14ac:dyDescent="0.25">
      <c r="B66" s="104"/>
      <c r="C66" s="113"/>
      <c r="D66" s="113"/>
      <c r="E66" s="113"/>
      <c r="F66" s="113"/>
      <c r="G66" s="113"/>
      <c r="H66" s="26"/>
      <c r="I66" s="26"/>
      <c r="J66" s="113"/>
      <c r="K66" s="113"/>
      <c r="L66" s="113"/>
      <c r="M66" s="113"/>
      <c r="N66" s="113"/>
      <c r="O66" s="113"/>
      <c r="P66" s="113"/>
      <c r="Q66" s="113"/>
      <c r="R66" s="113"/>
    </row>
    <row r="67" spans="2:18" ht="19.5" x14ac:dyDescent="0.25">
      <c r="B67" s="104"/>
      <c r="C67" s="113"/>
      <c r="D67" s="113"/>
      <c r="E67" s="113"/>
      <c r="F67" s="113"/>
      <c r="G67" s="113"/>
      <c r="H67" s="26"/>
      <c r="I67" s="26"/>
      <c r="J67" s="113"/>
      <c r="K67" s="113"/>
      <c r="L67" s="113"/>
      <c r="M67" s="113"/>
      <c r="N67" s="113"/>
      <c r="O67" s="113"/>
      <c r="P67" s="113"/>
      <c r="Q67" s="113"/>
      <c r="R67" s="113"/>
    </row>
    <row r="68" spans="2:18" ht="19.5" x14ac:dyDescent="0.25">
      <c r="B68" s="104"/>
      <c r="C68" s="113"/>
      <c r="D68" s="113"/>
      <c r="E68" s="113"/>
      <c r="F68" s="113"/>
      <c r="G68" s="113"/>
      <c r="H68" s="26"/>
      <c r="I68" s="26"/>
      <c r="J68" s="113"/>
      <c r="K68" s="113"/>
      <c r="L68" s="113"/>
      <c r="M68" s="113"/>
      <c r="N68" s="113"/>
      <c r="O68" s="113"/>
      <c r="P68" s="113"/>
      <c r="Q68" s="113"/>
      <c r="R68" s="113"/>
    </row>
    <row r="69" spans="2:18" ht="19.5" x14ac:dyDescent="0.25">
      <c r="B69" s="104"/>
      <c r="C69" s="113"/>
      <c r="D69" s="113"/>
      <c r="E69" s="113"/>
      <c r="F69" s="113"/>
      <c r="G69" s="113"/>
      <c r="H69" s="26"/>
      <c r="I69" s="26"/>
      <c r="J69" s="113"/>
      <c r="K69" s="113"/>
      <c r="L69" s="113"/>
      <c r="M69" s="113"/>
      <c r="N69" s="113"/>
      <c r="O69" s="113"/>
      <c r="P69" s="113"/>
      <c r="Q69" s="113"/>
      <c r="R69" s="113"/>
    </row>
    <row r="70" spans="2:18" ht="19.5" x14ac:dyDescent="0.25">
      <c r="B70" s="104"/>
      <c r="C70" s="113"/>
      <c r="D70" s="113"/>
      <c r="E70" s="113"/>
      <c r="F70" s="113"/>
      <c r="G70" s="113"/>
      <c r="H70" s="26"/>
      <c r="I70" s="26"/>
      <c r="J70" s="113"/>
      <c r="K70" s="113"/>
      <c r="L70" s="113"/>
      <c r="M70" s="113"/>
      <c r="N70" s="113"/>
      <c r="O70" s="113"/>
      <c r="P70" s="113"/>
      <c r="Q70" s="113"/>
      <c r="R70" s="113"/>
    </row>
    <row r="71" spans="2:18" ht="19.5" x14ac:dyDescent="0.25">
      <c r="B71" s="104"/>
      <c r="C71" s="113"/>
      <c r="D71" s="113"/>
      <c r="E71" s="113"/>
      <c r="F71" s="113"/>
      <c r="G71" s="113"/>
      <c r="H71" s="26"/>
      <c r="I71" s="26"/>
      <c r="J71" s="113"/>
      <c r="K71" s="113"/>
      <c r="L71" s="113"/>
      <c r="M71" s="113"/>
      <c r="N71" s="113"/>
      <c r="O71" s="113"/>
      <c r="P71" s="113"/>
      <c r="Q71" s="113"/>
      <c r="R71" s="113"/>
    </row>
    <row r="72" spans="2:18" ht="19.5" x14ac:dyDescent="0.25">
      <c r="B72" s="104"/>
      <c r="C72" s="113"/>
      <c r="D72" s="113"/>
      <c r="E72" s="113"/>
      <c r="F72" s="113"/>
      <c r="G72" s="113"/>
      <c r="H72" s="26"/>
      <c r="I72" s="26"/>
      <c r="J72" s="113"/>
      <c r="K72" s="113"/>
      <c r="L72" s="113"/>
      <c r="M72" s="113"/>
      <c r="N72" s="113"/>
      <c r="O72" s="113"/>
      <c r="P72" s="113"/>
      <c r="Q72" s="113"/>
      <c r="R72" s="113"/>
    </row>
    <row r="73" spans="2:18" ht="19.5" x14ac:dyDescent="0.25">
      <c r="B73" s="104"/>
      <c r="C73" s="113"/>
      <c r="D73" s="113"/>
      <c r="E73" s="113"/>
      <c r="F73" s="113"/>
      <c r="G73" s="113"/>
      <c r="H73" s="26"/>
      <c r="I73" s="26"/>
      <c r="J73" s="113"/>
      <c r="K73" s="113"/>
      <c r="L73" s="113"/>
      <c r="M73" s="113"/>
      <c r="N73" s="113"/>
      <c r="O73" s="113"/>
      <c r="P73" s="113"/>
      <c r="Q73" s="113"/>
      <c r="R73" s="113"/>
    </row>
    <row r="74" spans="2:18" ht="19.5" x14ac:dyDescent="0.25">
      <c r="B74" s="104"/>
      <c r="C74" s="113"/>
      <c r="D74" s="113"/>
      <c r="E74" s="113"/>
      <c r="F74" s="113"/>
      <c r="G74" s="113"/>
      <c r="H74" s="26"/>
      <c r="I74" s="26"/>
      <c r="J74" s="113"/>
      <c r="K74" s="113"/>
      <c r="L74" s="113"/>
      <c r="M74" s="113"/>
      <c r="N74" s="113"/>
      <c r="O74" s="113"/>
      <c r="P74" s="113"/>
      <c r="Q74" s="113"/>
      <c r="R74" s="113"/>
    </row>
    <row r="75" spans="2:18" ht="19.5" x14ac:dyDescent="0.25">
      <c r="B75" s="104"/>
      <c r="C75" s="113"/>
      <c r="D75" s="113"/>
      <c r="E75" s="113"/>
      <c r="F75" s="113"/>
      <c r="G75" s="113"/>
      <c r="H75" s="26"/>
      <c r="I75" s="26"/>
      <c r="J75" s="113"/>
      <c r="K75" s="113"/>
      <c r="L75" s="113"/>
      <c r="M75" s="113"/>
      <c r="N75" s="113"/>
      <c r="O75" s="113"/>
      <c r="P75" s="113"/>
      <c r="Q75" s="113"/>
      <c r="R75" s="113"/>
    </row>
    <row r="76" spans="2:18" ht="19.5" x14ac:dyDescent="0.25">
      <c r="B76" s="104"/>
      <c r="C76" s="113"/>
      <c r="D76" s="113"/>
      <c r="E76" s="113"/>
      <c r="F76" s="113"/>
      <c r="G76" s="113"/>
      <c r="H76" s="26"/>
      <c r="I76" s="26"/>
      <c r="J76" s="113"/>
      <c r="K76" s="113"/>
      <c r="L76" s="113"/>
      <c r="M76" s="113"/>
      <c r="N76" s="113"/>
      <c r="O76" s="113"/>
      <c r="P76" s="113"/>
      <c r="Q76" s="113"/>
      <c r="R76" s="113"/>
    </row>
    <row r="77" spans="2:18" ht="19.5" x14ac:dyDescent="0.25">
      <c r="B77" s="104"/>
      <c r="C77" s="113"/>
      <c r="D77" s="113"/>
      <c r="E77" s="113"/>
      <c r="F77" s="113"/>
      <c r="G77" s="113"/>
      <c r="H77" s="26"/>
      <c r="I77" s="26"/>
      <c r="J77" s="113"/>
      <c r="K77" s="113"/>
      <c r="L77" s="113"/>
      <c r="M77" s="113"/>
      <c r="N77" s="113"/>
      <c r="O77" s="113"/>
      <c r="P77" s="113"/>
      <c r="Q77" s="113"/>
      <c r="R77" s="113"/>
    </row>
    <row r="78" spans="2:18" ht="19.5" x14ac:dyDescent="0.25">
      <c r="B78" s="104"/>
      <c r="C78" s="113"/>
      <c r="D78" s="113"/>
      <c r="E78" s="113"/>
      <c r="F78" s="113"/>
      <c r="G78" s="113"/>
      <c r="H78" s="26"/>
      <c r="I78" s="26"/>
      <c r="J78" s="113"/>
      <c r="K78" s="113"/>
      <c r="L78" s="113"/>
      <c r="M78" s="113"/>
      <c r="N78" s="113"/>
      <c r="O78" s="113"/>
      <c r="P78" s="113"/>
      <c r="Q78" s="113"/>
      <c r="R78" s="113"/>
    </row>
    <row r="79" spans="2:18" ht="19.5" x14ac:dyDescent="0.25">
      <c r="B79" s="104"/>
      <c r="C79" s="113"/>
      <c r="D79" s="113"/>
      <c r="E79" s="113"/>
      <c r="F79" s="113"/>
      <c r="G79" s="113"/>
      <c r="H79" s="26"/>
      <c r="I79" s="26"/>
      <c r="J79" s="113"/>
      <c r="K79" s="113"/>
      <c r="L79" s="113"/>
      <c r="M79" s="113"/>
      <c r="N79" s="113"/>
      <c r="O79" s="113"/>
      <c r="P79" s="113"/>
      <c r="Q79" s="113"/>
      <c r="R79" s="113"/>
    </row>
    <row r="80" spans="2:18" ht="19.5" x14ac:dyDescent="0.25">
      <c r="B80" s="104"/>
      <c r="C80" s="113"/>
      <c r="D80" s="113"/>
      <c r="E80" s="113"/>
      <c r="F80" s="113"/>
      <c r="G80" s="113"/>
      <c r="H80" s="26"/>
      <c r="I80" s="26"/>
      <c r="J80" s="113"/>
      <c r="K80" s="113"/>
      <c r="L80" s="113"/>
      <c r="M80" s="113"/>
      <c r="N80" s="113"/>
      <c r="O80" s="113"/>
      <c r="P80" s="113"/>
      <c r="Q80" s="113"/>
      <c r="R80" s="113"/>
    </row>
    <row r="81" spans="2:18" ht="19.5" x14ac:dyDescent="0.25">
      <c r="B81" s="104"/>
      <c r="C81" s="113"/>
      <c r="D81" s="113"/>
      <c r="E81" s="113"/>
      <c r="F81" s="113"/>
      <c r="G81" s="113"/>
      <c r="H81" s="26"/>
      <c r="I81" s="26"/>
      <c r="J81" s="113"/>
      <c r="K81" s="113"/>
      <c r="L81" s="113"/>
      <c r="M81" s="113"/>
      <c r="N81" s="113"/>
      <c r="O81" s="113"/>
      <c r="P81" s="113"/>
      <c r="Q81" s="113"/>
      <c r="R81" s="113"/>
    </row>
    <row r="82" spans="2:18" ht="19.5" x14ac:dyDescent="0.25">
      <c r="B82" s="104"/>
      <c r="C82" s="113"/>
      <c r="D82" s="113"/>
      <c r="E82" s="113"/>
      <c r="F82" s="113"/>
      <c r="G82" s="113"/>
      <c r="H82" s="26"/>
      <c r="I82" s="26"/>
      <c r="J82" s="113"/>
      <c r="K82" s="113"/>
      <c r="L82" s="113"/>
      <c r="M82" s="113"/>
      <c r="N82" s="113"/>
      <c r="O82" s="113"/>
      <c r="P82" s="113"/>
      <c r="Q82" s="113"/>
      <c r="R82" s="113"/>
    </row>
    <row r="83" spans="2:18" ht="19.5" x14ac:dyDescent="0.25">
      <c r="B83" s="104"/>
      <c r="C83" s="113"/>
      <c r="D83" s="113"/>
      <c r="E83" s="113"/>
      <c r="F83" s="113"/>
      <c r="G83" s="113"/>
      <c r="H83" s="26"/>
      <c r="I83" s="26"/>
      <c r="J83" s="113"/>
      <c r="K83" s="113"/>
      <c r="L83" s="113"/>
      <c r="M83" s="113"/>
      <c r="N83" s="113"/>
      <c r="O83" s="113"/>
      <c r="P83" s="113"/>
      <c r="Q83" s="113"/>
      <c r="R83" s="113"/>
    </row>
    <row r="84" spans="2:18" ht="19.5" x14ac:dyDescent="0.25">
      <c r="B84" s="104"/>
      <c r="C84" s="113"/>
      <c r="D84" s="113"/>
      <c r="E84" s="113"/>
      <c r="F84" s="113"/>
      <c r="G84" s="113"/>
      <c r="H84" s="26"/>
      <c r="I84" s="26"/>
      <c r="J84" s="113"/>
      <c r="K84" s="113"/>
      <c r="L84" s="113"/>
      <c r="M84" s="113"/>
      <c r="N84" s="113"/>
      <c r="O84" s="113"/>
      <c r="P84" s="113"/>
      <c r="Q84" s="113"/>
      <c r="R84" s="113"/>
    </row>
    <row r="85" spans="2:18" ht="19.5" x14ac:dyDescent="0.25">
      <c r="B85" s="104"/>
      <c r="C85" s="113"/>
      <c r="D85" s="113"/>
      <c r="E85" s="113"/>
      <c r="F85" s="113"/>
      <c r="G85" s="113"/>
      <c r="H85" s="26"/>
      <c r="I85" s="26"/>
      <c r="J85" s="113"/>
      <c r="K85" s="113"/>
      <c r="L85" s="113"/>
      <c r="M85" s="113"/>
      <c r="N85" s="113"/>
      <c r="O85" s="113"/>
      <c r="P85" s="113"/>
      <c r="Q85" s="113"/>
      <c r="R85" s="113"/>
    </row>
    <row r="86" spans="2:18" ht="19.5" x14ac:dyDescent="0.25">
      <c r="B86" s="104"/>
      <c r="C86" s="113"/>
      <c r="D86" s="113"/>
      <c r="E86" s="113"/>
      <c r="F86" s="113"/>
      <c r="G86" s="113"/>
      <c r="H86" s="26"/>
      <c r="I86" s="26"/>
      <c r="J86" s="113"/>
      <c r="K86" s="113"/>
      <c r="L86" s="113"/>
      <c r="M86" s="113"/>
      <c r="N86" s="113"/>
      <c r="O86" s="113"/>
      <c r="P86" s="113"/>
      <c r="Q86" s="113"/>
      <c r="R86" s="113"/>
    </row>
    <row r="87" spans="2:18" ht="19.5" x14ac:dyDescent="0.25">
      <c r="B87" s="104"/>
      <c r="C87" s="113"/>
      <c r="D87" s="113"/>
      <c r="E87" s="113"/>
      <c r="F87" s="113"/>
      <c r="G87" s="113"/>
      <c r="H87" s="26"/>
      <c r="I87" s="26"/>
      <c r="J87" s="113"/>
      <c r="K87" s="113"/>
      <c r="L87" s="113"/>
      <c r="M87" s="113"/>
      <c r="N87" s="113"/>
      <c r="O87" s="113"/>
      <c r="P87" s="113"/>
      <c r="Q87" s="113"/>
      <c r="R87" s="113"/>
    </row>
    <row r="88" spans="2:18" ht="19.5" x14ac:dyDescent="0.25">
      <c r="B88" s="104"/>
      <c r="C88" s="113"/>
      <c r="D88" s="113"/>
      <c r="E88" s="113"/>
      <c r="F88" s="113"/>
      <c r="G88" s="113"/>
      <c r="H88" s="26"/>
      <c r="I88" s="26"/>
      <c r="J88" s="113"/>
      <c r="K88" s="113"/>
      <c r="L88" s="113"/>
      <c r="M88" s="113"/>
      <c r="N88" s="113"/>
      <c r="O88" s="113"/>
      <c r="P88" s="113"/>
      <c r="Q88" s="113"/>
      <c r="R88" s="113"/>
    </row>
    <row r="89" spans="2:18" ht="19.5" x14ac:dyDescent="0.25">
      <c r="B89" s="104"/>
      <c r="C89" s="113"/>
      <c r="D89" s="113"/>
      <c r="E89" s="113"/>
      <c r="F89" s="113"/>
      <c r="G89" s="113"/>
      <c r="H89" s="26"/>
      <c r="I89" s="26"/>
      <c r="J89" s="113"/>
      <c r="K89" s="113"/>
      <c r="L89" s="113"/>
      <c r="M89" s="113"/>
      <c r="N89" s="113"/>
      <c r="O89" s="113"/>
      <c r="P89" s="113"/>
      <c r="Q89" s="113"/>
      <c r="R89" s="113"/>
    </row>
    <row r="90" spans="2:18" ht="19.5" x14ac:dyDescent="0.25">
      <c r="B90" s="104"/>
      <c r="C90" s="113"/>
      <c r="D90" s="113"/>
      <c r="E90" s="113"/>
      <c r="F90" s="113"/>
      <c r="G90" s="113"/>
      <c r="H90" s="26"/>
      <c r="I90" s="26"/>
      <c r="J90" s="113"/>
      <c r="K90" s="113"/>
      <c r="L90" s="113"/>
      <c r="M90" s="113"/>
      <c r="N90" s="113"/>
      <c r="O90" s="113"/>
      <c r="P90" s="113"/>
      <c r="Q90" s="113"/>
      <c r="R90" s="113"/>
    </row>
    <row r="91" spans="2:18" ht="19.5" x14ac:dyDescent="0.25">
      <c r="B91" s="104"/>
      <c r="C91" s="113"/>
      <c r="D91" s="113"/>
      <c r="E91" s="113"/>
      <c r="F91" s="113"/>
      <c r="G91" s="113"/>
      <c r="H91" s="26"/>
      <c r="I91" s="26"/>
      <c r="J91" s="113"/>
      <c r="K91" s="113"/>
      <c r="L91" s="113"/>
      <c r="M91" s="113"/>
      <c r="N91" s="113"/>
      <c r="O91" s="113"/>
      <c r="P91" s="113"/>
      <c r="Q91" s="113"/>
      <c r="R91" s="113"/>
    </row>
    <row r="92" spans="2:18" ht="19.5" x14ac:dyDescent="0.25">
      <c r="B92" s="104"/>
      <c r="C92" s="113"/>
      <c r="D92" s="113"/>
      <c r="E92" s="113"/>
      <c r="F92" s="113"/>
      <c r="G92" s="113"/>
      <c r="H92" s="26"/>
      <c r="I92" s="26"/>
      <c r="J92" s="113"/>
      <c r="K92" s="113"/>
      <c r="L92" s="113"/>
      <c r="M92" s="113"/>
      <c r="N92" s="113"/>
      <c r="O92" s="113"/>
      <c r="P92" s="113"/>
      <c r="Q92" s="113"/>
      <c r="R92" s="113"/>
    </row>
    <row r="93" spans="2:18" ht="19.5" x14ac:dyDescent="0.25">
      <c r="B93" s="104"/>
      <c r="C93" s="113"/>
      <c r="D93" s="113"/>
      <c r="E93" s="113"/>
      <c r="F93" s="113"/>
      <c r="G93" s="113"/>
      <c r="H93" s="26"/>
      <c r="I93" s="26"/>
      <c r="J93" s="113"/>
      <c r="K93" s="113"/>
      <c r="L93" s="113"/>
      <c r="M93" s="113"/>
      <c r="N93" s="113"/>
      <c r="O93" s="113"/>
      <c r="P93" s="113"/>
      <c r="Q93" s="113"/>
      <c r="R93" s="113"/>
    </row>
    <row r="94" spans="2:18" ht="19.5" x14ac:dyDescent="0.25">
      <c r="B94" s="104"/>
      <c r="C94" s="113"/>
      <c r="D94" s="113"/>
      <c r="E94" s="113"/>
      <c r="F94" s="113"/>
      <c r="G94" s="113"/>
      <c r="H94" s="26"/>
      <c r="I94" s="26"/>
      <c r="J94" s="113"/>
      <c r="K94" s="113"/>
      <c r="L94" s="113"/>
      <c r="M94" s="113"/>
      <c r="N94" s="113"/>
      <c r="O94" s="113"/>
      <c r="P94" s="113"/>
      <c r="Q94" s="113"/>
      <c r="R94" s="113"/>
    </row>
    <row r="95" spans="2:18" ht="19.5" x14ac:dyDescent="0.25">
      <c r="B95" s="104"/>
      <c r="C95" s="113"/>
      <c r="D95" s="113"/>
      <c r="E95" s="113"/>
      <c r="F95" s="113"/>
      <c r="G95" s="113"/>
      <c r="H95" s="26"/>
      <c r="I95" s="26"/>
      <c r="J95" s="113"/>
      <c r="K95" s="113"/>
      <c r="L95" s="113"/>
      <c r="M95" s="113"/>
      <c r="N95" s="113"/>
      <c r="O95" s="113"/>
      <c r="P95" s="113"/>
      <c r="Q95" s="113"/>
      <c r="R95" s="113"/>
    </row>
    <row r="96" spans="2:18" ht="19.5" x14ac:dyDescent="0.25">
      <c r="B96" s="104"/>
      <c r="C96" s="113"/>
      <c r="D96" s="113"/>
      <c r="E96" s="113"/>
      <c r="F96" s="113"/>
      <c r="G96" s="113"/>
      <c r="H96" s="26"/>
      <c r="I96" s="26"/>
      <c r="J96" s="113"/>
      <c r="K96" s="113"/>
      <c r="L96" s="113"/>
      <c r="M96" s="113"/>
      <c r="N96" s="113"/>
      <c r="O96" s="113"/>
      <c r="P96" s="113"/>
      <c r="Q96" s="113"/>
      <c r="R96" s="113"/>
    </row>
    <row r="97" spans="2:18" ht="19.5" x14ac:dyDescent="0.25">
      <c r="B97" s="104"/>
      <c r="C97" s="113"/>
      <c r="D97" s="113"/>
      <c r="E97" s="113"/>
      <c r="F97" s="113"/>
      <c r="G97" s="113"/>
      <c r="H97" s="26"/>
      <c r="I97" s="26"/>
      <c r="J97" s="113"/>
      <c r="K97" s="113"/>
      <c r="L97" s="113"/>
      <c r="M97" s="113"/>
      <c r="N97" s="113"/>
      <c r="O97" s="113"/>
      <c r="P97" s="113"/>
      <c r="Q97" s="113"/>
      <c r="R97" s="113"/>
    </row>
    <row r="98" spans="2:18" ht="19.5" x14ac:dyDescent="0.25">
      <c r="B98" s="104"/>
      <c r="C98" s="113"/>
      <c r="D98" s="113"/>
      <c r="E98" s="113"/>
      <c r="F98" s="113"/>
      <c r="G98" s="113"/>
      <c r="H98" s="26"/>
      <c r="I98" s="26"/>
      <c r="J98" s="113"/>
      <c r="K98" s="113"/>
      <c r="L98" s="113"/>
      <c r="M98" s="113"/>
      <c r="N98" s="113"/>
      <c r="O98" s="113"/>
      <c r="P98" s="113"/>
      <c r="Q98" s="113"/>
      <c r="R98" s="113"/>
    </row>
    <row r="99" spans="2:18" ht="19.5" x14ac:dyDescent="0.25">
      <c r="B99" s="104"/>
      <c r="C99" s="113"/>
      <c r="D99" s="113"/>
      <c r="E99" s="113"/>
      <c r="F99" s="113"/>
      <c r="G99" s="113"/>
      <c r="H99" s="26"/>
      <c r="I99" s="26"/>
      <c r="J99" s="113"/>
      <c r="K99" s="113"/>
      <c r="L99" s="113"/>
      <c r="M99" s="113"/>
      <c r="N99" s="113"/>
      <c r="O99" s="113"/>
      <c r="P99" s="113"/>
      <c r="Q99" s="113"/>
      <c r="R99" s="113"/>
    </row>
    <row r="100" spans="2:18" ht="19.5" x14ac:dyDescent="0.25">
      <c r="B100" s="104"/>
      <c r="C100" s="113"/>
      <c r="D100" s="113"/>
      <c r="E100" s="113"/>
      <c r="F100" s="113"/>
      <c r="G100" s="113"/>
      <c r="H100" s="26"/>
      <c r="I100" s="26"/>
      <c r="J100" s="113"/>
      <c r="K100" s="113"/>
      <c r="L100" s="113"/>
      <c r="M100" s="113"/>
      <c r="N100" s="113"/>
      <c r="O100" s="113"/>
      <c r="P100" s="113"/>
      <c r="Q100" s="113"/>
      <c r="R100" s="113"/>
    </row>
    <row r="101" spans="2:18" ht="19.5" x14ac:dyDescent="0.25">
      <c r="B101" s="104"/>
      <c r="C101" s="113"/>
      <c r="D101" s="113"/>
      <c r="E101" s="113"/>
      <c r="F101" s="113"/>
      <c r="G101" s="113"/>
      <c r="H101" s="26"/>
      <c r="I101" s="26"/>
      <c r="J101" s="113"/>
      <c r="K101" s="113"/>
      <c r="L101" s="113"/>
      <c r="M101" s="113"/>
      <c r="N101" s="113"/>
      <c r="O101" s="113"/>
      <c r="P101" s="113"/>
      <c r="Q101" s="113"/>
      <c r="R101" s="113"/>
    </row>
    <row r="102" spans="2:18" ht="19.5" x14ac:dyDescent="0.25">
      <c r="B102" s="104"/>
      <c r="C102" s="113"/>
      <c r="D102" s="113"/>
      <c r="E102" s="113"/>
      <c r="F102" s="113"/>
      <c r="G102" s="113"/>
      <c r="H102" s="26"/>
      <c r="I102" s="26"/>
      <c r="J102" s="113"/>
      <c r="K102" s="113"/>
      <c r="L102" s="113"/>
      <c r="M102" s="113"/>
      <c r="N102" s="113"/>
      <c r="O102" s="113"/>
      <c r="P102" s="113"/>
      <c r="Q102" s="113"/>
      <c r="R102" s="113"/>
    </row>
    <row r="103" spans="2:18" ht="19.5" x14ac:dyDescent="0.25">
      <c r="B103" s="104"/>
      <c r="C103" s="113"/>
      <c r="D103" s="113"/>
      <c r="E103" s="113"/>
      <c r="F103" s="113"/>
      <c r="G103" s="113"/>
      <c r="H103" s="26"/>
      <c r="I103" s="26"/>
      <c r="J103" s="113"/>
      <c r="K103" s="113"/>
      <c r="L103" s="113"/>
      <c r="M103" s="113"/>
      <c r="N103" s="113"/>
      <c r="O103" s="113"/>
      <c r="P103" s="113"/>
      <c r="Q103" s="113"/>
      <c r="R103" s="113"/>
    </row>
    <row r="104" spans="2:18" ht="19.5" x14ac:dyDescent="0.25">
      <c r="B104" s="104"/>
      <c r="C104" s="113"/>
      <c r="D104" s="113"/>
      <c r="E104" s="113"/>
      <c r="F104" s="113"/>
      <c r="G104" s="113"/>
      <c r="H104" s="26"/>
      <c r="I104" s="26"/>
      <c r="J104" s="113"/>
      <c r="K104" s="113"/>
      <c r="L104" s="113"/>
      <c r="M104" s="113"/>
      <c r="N104" s="113"/>
      <c r="O104" s="113"/>
      <c r="P104" s="113"/>
      <c r="Q104" s="113"/>
      <c r="R104" s="113"/>
    </row>
    <row r="105" spans="2:18" ht="19.5" x14ac:dyDescent="0.25">
      <c r="B105" s="104"/>
      <c r="C105" s="113"/>
      <c r="D105" s="113"/>
      <c r="E105" s="113"/>
      <c r="F105" s="113"/>
      <c r="G105" s="113"/>
      <c r="H105" s="26"/>
      <c r="I105" s="26"/>
      <c r="J105" s="113"/>
      <c r="K105" s="113"/>
      <c r="L105" s="113"/>
      <c r="M105" s="113"/>
      <c r="N105" s="113"/>
      <c r="O105" s="113"/>
      <c r="P105" s="113"/>
      <c r="Q105" s="113"/>
      <c r="R105" s="113"/>
    </row>
    <row r="106" spans="2:18" ht="19.5" x14ac:dyDescent="0.25">
      <c r="B106" s="104"/>
      <c r="C106" s="113"/>
      <c r="D106" s="113"/>
      <c r="E106" s="113"/>
      <c r="F106" s="113"/>
      <c r="G106" s="113"/>
      <c r="H106" s="26"/>
      <c r="I106" s="26"/>
      <c r="J106" s="113"/>
      <c r="K106" s="113"/>
      <c r="L106" s="113"/>
      <c r="M106" s="113"/>
      <c r="N106" s="113"/>
      <c r="O106" s="113"/>
      <c r="P106" s="113"/>
      <c r="Q106" s="113"/>
      <c r="R106" s="11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2B560-D382-471A-8040-F185E63E4D1C}">
  <dimension ref="B2:R738"/>
  <sheetViews>
    <sheetView tabSelected="1" topLeftCell="E668" zoomScale="70" zoomScaleNormal="70" workbookViewId="0">
      <selection activeCell="J653" sqref="J653"/>
    </sheetView>
  </sheetViews>
  <sheetFormatPr defaultRowHeight="19.5" x14ac:dyDescent="0.35"/>
  <cols>
    <col min="4" max="4" width="10.28515625" bestFit="1" customWidth="1"/>
    <col min="5" max="5" width="11.28515625" style="31" bestFit="1" customWidth="1"/>
    <col min="6" max="6" width="8.85546875" style="102"/>
    <col min="7" max="7" width="22" customWidth="1"/>
    <col min="8" max="9" width="13.7109375" style="126" customWidth="1"/>
    <col min="10" max="10" width="31.140625" customWidth="1"/>
    <col min="11" max="12" width="11.140625" style="102" customWidth="1"/>
    <col min="13" max="18" width="8.85546875" style="102"/>
  </cols>
  <sheetData>
    <row r="2" spans="2:18" ht="97.5" x14ac:dyDescent="0.25">
      <c r="B2" s="28" t="s">
        <v>76</v>
      </c>
      <c r="C2" s="122" t="s">
        <v>77</v>
      </c>
      <c r="D2" s="28" t="s">
        <v>78</v>
      </c>
      <c r="E2" s="28" t="s">
        <v>79</v>
      </c>
      <c r="F2" s="28" t="s">
        <v>80</v>
      </c>
      <c r="G2" s="28" t="s">
        <v>81</v>
      </c>
      <c r="H2" s="124" t="s">
        <v>82</v>
      </c>
      <c r="I2" s="124"/>
      <c r="J2" s="28" t="s">
        <v>83</v>
      </c>
      <c r="K2" s="28" t="s">
        <v>84</v>
      </c>
      <c r="L2" s="28" t="s">
        <v>85</v>
      </c>
      <c r="M2" s="28" t="s">
        <v>86</v>
      </c>
      <c r="N2" s="28" t="s">
        <v>91</v>
      </c>
      <c r="O2" s="28" t="s">
        <v>87</v>
      </c>
      <c r="P2" s="28" t="s">
        <v>90</v>
      </c>
      <c r="Q2" s="28" t="s">
        <v>88</v>
      </c>
      <c r="R2" s="28" t="s">
        <v>89</v>
      </c>
    </row>
    <row r="3" spans="2:18" ht="39" x14ac:dyDescent="0.25">
      <c r="B3" s="28">
        <v>1</v>
      </c>
      <c r="C3" s="28" t="s">
        <v>1789</v>
      </c>
      <c r="D3" s="28" t="s">
        <v>1789</v>
      </c>
      <c r="E3" s="28" t="s">
        <v>599</v>
      </c>
      <c r="F3" s="109">
        <v>2.2222222222222223E-2</v>
      </c>
      <c r="G3" s="122" t="s">
        <v>1847</v>
      </c>
      <c r="H3" s="124" t="s">
        <v>1848</v>
      </c>
      <c r="I3" s="124"/>
      <c r="J3" s="28" t="s">
        <v>1849</v>
      </c>
      <c r="K3" s="28" t="s">
        <v>20</v>
      </c>
      <c r="L3" s="28" t="s">
        <v>20</v>
      </c>
      <c r="M3" s="28" t="s">
        <v>20</v>
      </c>
      <c r="N3" s="28" t="s">
        <v>20</v>
      </c>
      <c r="O3" s="28" t="s">
        <v>20</v>
      </c>
      <c r="P3" s="28" t="s">
        <v>20</v>
      </c>
      <c r="Q3" s="28" t="s">
        <v>20</v>
      </c>
      <c r="R3" s="28" t="s">
        <v>20</v>
      </c>
    </row>
    <row r="4" spans="2:18" x14ac:dyDescent="0.25">
      <c r="B4" s="28">
        <v>2</v>
      </c>
      <c r="C4" s="28" t="s">
        <v>1789</v>
      </c>
      <c r="D4" s="28" t="s">
        <v>1789</v>
      </c>
      <c r="E4" s="108">
        <v>45292</v>
      </c>
      <c r="F4" s="109">
        <v>0.30416666666666664</v>
      </c>
      <c r="G4" s="122" t="s">
        <v>1850</v>
      </c>
      <c r="H4" s="124" t="s">
        <v>1849</v>
      </c>
      <c r="I4" s="124"/>
      <c r="J4" s="28" t="s">
        <v>1851</v>
      </c>
      <c r="K4" s="28" t="s">
        <v>20</v>
      </c>
      <c r="L4" s="28" t="s">
        <v>20</v>
      </c>
      <c r="M4" s="28" t="s">
        <v>20</v>
      </c>
      <c r="N4" s="28" t="s">
        <v>20</v>
      </c>
      <c r="O4" s="28" t="s">
        <v>20</v>
      </c>
      <c r="P4" s="28" t="s">
        <v>20</v>
      </c>
      <c r="Q4" s="28" t="s">
        <v>20</v>
      </c>
      <c r="R4" s="28" t="s">
        <v>20</v>
      </c>
    </row>
    <row r="5" spans="2:18" ht="39" x14ac:dyDescent="0.25">
      <c r="B5" s="28">
        <v>3</v>
      </c>
      <c r="C5" s="28" t="s">
        <v>1789</v>
      </c>
      <c r="D5" s="28" t="s">
        <v>1789</v>
      </c>
      <c r="E5" s="108">
        <v>45292</v>
      </c>
      <c r="F5" s="109">
        <v>0.94027777777777777</v>
      </c>
      <c r="G5" s="28" t="s">
        <v>1852</v>
      </c>
      <c r="H5" s="124" t="s">
        <v>406</v>
      </c>
      <c r="I5" s="124"/>
      <c r="J5" s="28" t="s">
        <v>1853</v>
      </c>
      <c r="K5" s="28">
        <v>180000</v>
      </c>
      <c r="L5" s="28">
        <v>20000</v>
      </c>
      <c r="M5" s="28" t="s">
        <v>20</v>
      </c>
      <c r="N5" s="28" t="s">
        <v>20</v>
      </c>
      <c r="O5" s="28" t="s">
        <v>20</v>
      </c>
      <c r="P5" s="28" t="s">
        <v>20</v>
      </c>
      <c r="Q5" s="28" t="s">
        <v>20</v>
      </c>
      <c r="R5" s="28" t="s">
        <v>20</v>
      </c>
    </row>
    <row r="6" spans="2:18" ht="39" x14ac:dyDescent="0.25">
      <c r="B6" s="28">
        <v>4</v>
      </c>
      <c r="C6" s="28" t="s">
        <v>1789</v>
      </c>
      <c r="D6" s="28" t="s">
        <v>1789</v>
      </c>
      <c r="E6" s="108">
        <v>45293</v>
      </c>
      <c r="F6" s="109">
        <v>0.3034722222222222</v>
      </c>
      <c r="G6" s="28" t="s">
        <v>1854</v>
      </c>
      <c r="H6" s="124" t="s">
        <v>1855</v>
      </c>
      <c r="I6" s="124"/>
      <c r="J6" s="28" t="s">
        <v>1856</v>
      </c>
      <c r="K6" s="28">
        <v>500000</v>
      </c>
      <c r="L6" s="28">
        <v>500000</v>
      </c>
      <c r="M6" s="28" t="s">
        <v>20</v>
      </c>
      <c r="N6" s="28" t="s">
        <v>20</v>
      </c>
      <c r="O6" s="28" t="s">
        <v>20</v>
      </c>
      <c r="P6" s="28" t="s">
        <v>20</v>
      </c>
      <c r="Q6" s="28" t="s">
        <v>20</v>
      </c>
      <c r="R6" s="28" t="s">
        <v>20</v>
      </c>
    </row>
    <row r="7" spans="2:18" ht="39" x14ac:dyDescent="0.25">
      <c r="B7" s="28">
        <v>5</v>
      </c>
      <c r="C7" s="28" t="s">
        <v>1789</v>
      </c>
      <c r="D7" s="28" t="s">
        <v>1789</v>
      </c>
      <c r="E7" s="28" t="s">
        <v>612</v>
      </c>
      <c r="F7" s="109">
        <v>0.37777777777777777</v>
      </c>
      <c r="G7" s="28" t="s">
        <v>1857</v>
      </c>
      <c r="H7" s="124" t="s">
        <v>1858</v>
      </c>
      <c r="I7" s="124"/>
      <c r="J7" s="28" t="s">
        <v>1859</v>
      </c>
      <c r="K7" s="28" t="s">
        <v>617</v>
      </c>
      <c r="L7" s="28" t="s">
        <v>618</v>
      </c>
      <c r="M7" s="28" t="s">
        <v>20</v>
      </c>
      <c r="N7" s="28" t="s">
        <v>20</v>
      </c>
      <c r="O7" s="28" t="s">
        <v>20</v>
      </c>
      <c r="P7" s="28" t="s">
        <v>20</v>
      </c>
      <c r="Q7" s="28" t="s">
        <v>20</v>
      </c>
      <c r="R7" s="28" t="s">
        <v>20</v>
      </c>
    </row>
    <row r="8" spans="2:18" x14ac:dyDescent="0.25">
      <c r="B8" s="28">
        <v>6</v>
      </c>
      <c r="C8" s="28" t="s">
        <v>1789</v>
      </c>
      <c r="D8" s="28" t="s">
        <v>1789</v>
      </c>
      <c r="E8" s="108">
        <v>45297</v>
      </c>
      <c r="F8" s="109">
        <v>0.73958333333333337</v>
      </c>
      <c r="G8" s="28" t="s">
        <v>1860</v>
      </c>
      <c r="H8" s="124" t="s">
        <v>1861</v>
      </c>
      <c r="I8" s="124"/>
      <c r="J8" s="28" t="s">
        <v>1862</v>
      </c>
      <c r="K8" s="28" t="s">
        <v>20</v>
      </c>
      <c r="L8" s="28" t="s">
        <v>20</v>
      </c>
      <c r="M8" s="28" t="s">
        <v>20</v>
      </c>
      <c r="N8" s="28" t="s">
        <v>20</v>
      </c>
      <c r="O8" s="28" t="s">
        <v>20</v>
      </c>
      <c r="P8" s="28" t="s">
        <v>20</v>
      </c>
      <c r="Q8" s="28" t="s">
        <v>20</v>
      </c>
      <c r="R8" s="28" t="s">
        <v>20</v>
      </c>
    </row>
    <row r="9" spans="2:18" x14ac:dyDescent="0.25">
      <c r="B9" s="28">
        <v>7</v>
      </c>
      <c r="C9" s="28" t="s">
        <v>1789</v>
      </c>
      <c r="D9" s="28" t="s">
        <v>1789</v>
      </c>
      <c r="E9" s="108">
        <v>45298</v>
      </c>
      <c r="F9" s="109">
        <v>0.12361111111111112</v>
      </c>
      <c r="G9" s="28" t="s">
        <v>1863</v>
      </c>
      <c r="H9" s="124" t="s">
        <v>1864</v>
      </c>
      <c r="I9" s="124"/>
      <c r="J9" s="28" t="s">
        <v>1865</v>
      </c>
      <c r="K9" s="28">
        <v>3000000</v>
      </c>
      <c r="L9" s="28">
        <v>2000000</v>
      </c>
      <c r="M9" s="28" t="s">
        <v>20</v>
      </c>
      <c r="N9" s="28" t="s">
        <v>20</v>
      </c>
      <c r="O9" s="28" t="s">
        <v>20</v>
      </c>
      <c r="P9" s="28" t="s">
        <v>20</v>
      </c>
      <c r="Q9" s="28" t="s">
        <v>20</v>
      </c>
      <c r="R9" s="28" t="s">
        <v>20</v>
      </c>
    </row>
    <row r="10" spans="2:18" ht="39" x14ac:dyDescent="0.25">
      <c r="B10" s="28">
        <v>8</v>
      </c>
      <c r="C10" s="28" t="s">
        <v>1789</v>
      </c>
      <c r="D10" s="28" t="s">
        <v>1789</v>
      </c>
      <c r="E10" s="108">
        <v>45298</v>
      </c>
      <c r="F10" s="109">
        <v>0.69097222222222221</v>
      </c>
      <c r="G10" s="28" t="s">
        <v>1866</v>
      </c>
      <c r="H10" s="124" t="s">
        <v>385</v>
      </c>
      <c r="I10" s="124"/>
      <c r="J10" s="28" t="s">
        <v>1859</v>
      </c>
      <c r="K10" s="28" t="s">
        <v>20</v>
      </c>
      <c r="L10" s="28" t="s">
        <v>20</v>
      </c>
      <c r="M10" s="28" t="s">
        <v>20</v>
      </c>
      <c r="N10" s="28" t="s">
        <v>20</v>
      </c>
      <c r="O10" s="28" t="s">
        <v>20</v>
      </c>
      <c r="P10" s="28" t="s">
        <v>20</v>
      </c>
      <c r="Q10" s="28" t="s">
        <v>20</v>
      </c>
      <c r="R10" s="28" t="s">
        <v>20</v>
      </c>
    </row>
    <row r="11" spans="2:18" ht="58.5" x14ac:dyDescent="0.25">
      <c r="B11" s="28">
        <v>9</v>
      </c>
      <c r="C11" s="28" t="s">
        <v>1789</v>
      </c>
      <c r="D11" s="28" t="s">
        <v>1789</v>
      </c>
      <c r="E11" s="28" t="s">
        <v>630</v>
      </c>
      <c r="F11" s="109">
        <v>0.90277777777777779</v>
      </c>
      <c r="G11" s="28" t="s">
        <v>1867</v>
      </c>
      <c r="H11" s="124" t="s">
        <v>1858</v>
      </c>
      <c r="I11" s="124"/>
      <c r="J11" s="28" t="s">
        <v>1868</v>
      </c>
      <c r="K11" s="28">
        <v>1500000</v>
      </c>
      <c r="L11" s="28">
        <v>500000</v>
      </c>
      <c r="M11" s="28" t="s">
        <v>20</v>
      </c>
      <c r="N11" s="28" t="s">
        <v>20</v>
      </c>
      <c r="O11" s="28" t="s">
        <v>20</v>
      </c>
      <c r="P11" s="28" t="s">
        <v>20</v>
      </c>
      <c r="Q11" s="28" t="s">
        <v>20</v>
      </c>
      <c r="R11" s="28" t="s">
        <v>20</v>
      </c>
    </row>
    <row r="12" spans="2:18" ht="39" x14ac:dyDescent="0.25">
      <c r="B12" s="28">
        <v>10</v>
      </c>
      <c r="C12" s="28" t="s">
        <v>1789</v>
      </c>
      <c r="D12" s="28" t="s">
        <v>1789</v>
      </c>
      <c r="E12" s="108">
        <v>45301</v>
      </c>
      <c r="F12" s="109">
        <v>0.74305555555555558</v>
      </c>
      <c r="G12" s="28" t="s">
        <v>1869</v>
      </c>
      <c r="H12" s="124" t="s">
        <v>1861</v>
      </c>
      <c r="I12" s="124"/>
      <c r="J12" s="28" t="s">
        <v>1870</v>
      </c>
      <c r="K12" s="28">
        <v>30000</v>
      </c>
      <c r="L12" s="28" t="s">
        <v>20</v>
      </c>
      <c r="M12" s="28" t="s">
        <v>20</v>
      </c>
      <c r="N12" s="28" t="s">
        <v>20</v>
      </c>
      <c r="O12" s="28" t="s">
        <v>20</v>
      </c>
      <c r="P12" s="28" t="s">
        <v>20</v>
      </c>
      <c r="Q12" s="28" t="s">
        <v>20</v>
      </c>
      <c r="R12" s="28" t="s">
        <v>20</v>
      </c>
    </row>
    <row r="13" spans="2:18" ht="39" x14ac:dyDescent="0.25">
      <c r="B13" s="28">
        <v>11</v>
      </c>
      <c r="C13" s="28" t="s">
        <v>1789</v>
      </c>
      <c r="D13" s="28" t="s">
        <v>1789</v>
      </c>
      <c r="E13" s="108">
        <v>45302</v>
      </c>
      <c r="F13" s="109">
        <v>0.22013888888888888</v>
      </c>
      <c r="G13" s="28" t="s">
        <v>1871</v>
      </c>
      <c r="H13" s="124" t="s">
        <v>406</v>
      </c>
      <c r="I13" s="124"/>
      <c r="J13" s="28" t="s">
        <v>1872</v>
      </c>
      <c r="K13" s="28">
        <v>180000</v>
      </c>
      <c r="L13" s="28">
        <v>20000</v>
      </c>
      <c r="M13" s="28" t="s">
        <v>20</v>
      </c>
      <c r="N13" s="28" t="s">
        <v>20</v>
      </c>
      <c r="O13" s="28" t="s">
        <v>20</v>
      </c>
      <c r="P13" s="28" t="s">
        <v>20</v>
      </c>
      <c r="Q13" s="28" t="s">
        <v>20</v>
      </c>
      <c r="R13" s="28" t="s">
        <v>20</v>
      </c>
    </row>
    <row r="14" spans="2:18" ht="39" x14ac:dyDescent="0.25">
      <c r="B14" s="28">
        <v>12</v>
      </c>
      <c r="C14" s="28" t="s">
        <v>1789</v>
      </c>
      <c r="D14" s="28" t="s">
        <v>1789</v>
      </c>
      <c r="E14" s="108">
        <v>45304</v>
      </c>
      <c r="F14" s="109">
        <v>4.4444444444444446E-2</v>
      </c>
      <c r="G14" s="28" t="s">
        <v>1873</v>
      </c>
      <c r="H14" s="124" t="s">
        <v>1858</v>
      </c>
      <c r="I14" s="124"/>
      <c r="J14" s="28" t="s">
        <v>1874</v>
      </c>
      <c r="K14" s="28">
        <v>5000</v>
      </c>
      <c r="L14" s="28">
        <v>995000</v>
      </c>
      <c r="M14" s="28" t="s">
        <v>20</v>
      </c>
      <c r="N14" s="28" t="s">
        <v>20</v>
      </c>
      <c r="O14" s="28" t="s">
        <v>20</v>
      </c>
      <c r="P14" s="28" t="s">
        <v>20</v>
      </c>
      <c r="Q14" s="28" t="s">
        <v>20</v>
      </c>
      <c r="R14" s="28" t="s">
        <v>20</v>
      </c>
    </row>
    <row r="15" spans="2:18" ht="39" x14ac:dyDescent="0.25">
      <c r="B15" s="28">
        <v>13</v>
      </c>
      <c r="C15" s="28" t="s">
        <v>1789</v>
      </c>
      <c r="D15" s="28" t="s">
        <v>1789</v>
      </c>
      <c r="E15" s="123">
        <v>45304</v>
      </c>
      <c r="F15" s="109">
        <v>0.3576388888888889</v>
      </c>
      <c r="G15" s="28" t="s">
        <v>1875</v>
      </c>
      <c r="H15" s="124" t="s">
        <v>1876</v>
      </c>
      <c r="I15" s="124"/>
      <c r="J15" s="122" t="s">
        <v>1877</v>
      </c>
      <c r="K15" s="28">
        <v>200000</v>
      </c>
      <c r="L15" s="28">
        <v>380000</v>
      </c>
      <c r="M15" s="28" t="s">
        <v>20</v>
      </c>
      <c r="N15" s="28" t="s">
        <v>20</v>
      </c>
      <c r="O15" s="28" t="s">
        <v>20</v>
      </c>
      <c r="P15" s="28" t="s">
        <v>20</v>
      </c>
      <c r="Q15" s="28" t="s">
        <v>20</v>
      </c>
      <c r="R15" s="28" t="s">
        <v>20</v>
      </c>
    </row>
    <row r="16" spans="2:18" x14ac:dyDescent="0.25">
      <c r="B16" s="28">
        <v>14</v>
      </c>
      <c r="C16" s="28" t="s">
        <v>1789</v>
      </c>
      <c r="D16" s="28" t="s">
        <v>1789</v>
      </c>
      <c r="E16" s="108">
        <v>45306</v>
      </c>
      <c r="F16" s="109">
        <v>0.20416666666666666</v>
      </c>
      <c r="G16" s="28" t="s">
        <v>1878</v>
      </c>
      <c r="H16" s="124" t="s">
        <v>2545</v>
      </c>
      <c r="I16" s="124"/>
      <c r="J16" s="28" t="s">
        <v>1851</v>
      </c>
      <c r="K16" s="28">
        <v>1000000</v>
      </c>
      <c r="L16" s="28">
        <v>7000000</v>
      </c>
      <c r="M16" s="28" t="s">
        <v>20</v>
      </c>
      <c r="N16" s="28" t="s">
        <v>20</v>
      </c>
      <c r="O16" s="28" t="s">
        <v>20</v>
      </c>
      <c r="P16" s="28" t="s">
        <v>20</v>
      </c>
      <c r="Q16" s="28" t="s">
        <v>20</v>
      </c>
      <c r="R16" s="28" t="s">
        <v>20</v>
      </c>
    </row>
    <row r="17" spans="2:18" ht="39" x14ac:dyDescent="0.25">
      <c r="B17" s="28">
        <v>15</v>
      </c>
      <c r="C17" s="28" t="s">
        <v>1789</v>
      </c>
      <c r="D17" s="28" t="s">
        <v>1789</v>
      </c>
      <c r="E17" s="108">
        <v>45306</v>
      </c>
      <c r="F17" s="109">
        <v>0.63749999999999996</v>
      </c>
      <c r="G17" s="28" t="s">
        <v>1879</v>
      </c>
      <c r="H17" s="124" t="s">
        <v>1880</v>
      </c>
      <c r="I17" s="124"/>
      <c r="J17" s="28" t="s">
        <v>1851</v>
      </c>
      <c r="K17" s="28">
        <v>150000</v>
      </c>
      <c r="L17" s="28">
        <v>1850000</v>
      </c>
      <c r="M17" s="28" t="s">
        <v>20</v>
      </c>
      <c r="N17" s="28" t="s">
        <v>20</v>
      </c>
      <c r="O17" s="28" t="s">
        <v>20</v>
      </c>
      <c r="P17" s="28" t="s">
        <v>20</v>
      </c>
      <c r="Q17" s="28" t="s">
        <v>20</v>
      </c>
      <c r="R17" s="28" t="s">
        <v>20</v>
      </c>
    </row>
    <row r="18" spans="2:18" x14ac:dyDescent="0.25">
      <c r="B18" s="28">
        <v>16</v>
      </c>
      <c r="C18" s="28" t="s">
        <v>1789</v>
      </c>
      <c r="D18" s="28" t="s">
        <v>1789</v>
      </c>
      <c r="E18" s="108">
        <v>45308</v>
      </c>
      <c r="F18" s="109">
        <v>0.82986111111111116</v>
      </c>
      <c r="G18" s="28" t="s">
        <v>1881</v>
      </c>
      <c r="H18" s="124" t="s">
        <v>406</v>
      </c>
      <c r="I18" s="124"/>
      <c r="J18" s="28" t="s">
        <v>1851</v>
      </c>
      <c r="K18" s="28" t="s">
        <v>20</v>
      </c>
      <c r="L18" s="28" t="s">
        <v>20</v>
      </c>
      <c r="M18" s="28" t="s">
        <v>20</v>
      </c>
      <c r="N18" s="28" t="s">
        <v>20</v>
      </c>
      <c r="O18" s="28" t="s">
        <v>20</v>
      </c>
      <c r="P18" s="28" t="s">
        <v>20</v>
      </c>
      <c r="Q18" s="28" t="s">
        <v>20</v>
      </c>
      <c r="R18" s="28" t="s">
        <v>20</v>
      </c>
    </row>
    <row r="19" spans="2:18" x14ac:dyDescent="0.25">
      <c r="B19" s="28">
        <v>17</v>
      </c>
      <c r="C19" s="28" t="s">
        <v>1789</v>
      </c>
      <c r="D19" s="28" t="s">
        <v>1789</v>
      </c>
      <c r="E19" s="108">
        <v>45308</v>
      </c>
      <c r="F19" s="109">
        <v>0.90972222222222221</v>
      </c>
      <c r="G19" s="122" t="s">
        <v>1882</v>
      </c>
      <c r="H19" s="124" t="s">
        <v>406</v>
      </c>
      <c r="I19" s="124"/>
      <c r="J19" s="28" t="s">
        <v>1883</v>
      </c>
      <c r="K19" s="28">
        <v>380000</v>
      </c>
      <c r="L19" s="28">
        <v>20000</v>
      </c>
      <c r="M19" s="28" t="s">
        <v>20</v>
      </c>
      <c r="N19" s="28" t="s">
        <v>20</v>
      </c>
      <c r="O19" s="28" t="s">
        <v>20</v>
      </c>
      <c r="P19" s="28" t="s">
        <v>20</v>
      </c>
      <c r="Q19" s="28" t="s">
        <v>20</v>
      </c>
      <c r="R19" s="28" t="s">
        <v>20</v>
      </c>
    </row>
    <row r="20" spans="2:18" x14ac:dyDescent="0.25">
      <c r="B20" s="28">
        <v>18</v>
      </c>
      <c r="C20" s="28" t="s">
        <v>1789</v>
      </c>
      <c r="D20" s="28" t="s">
        <v>1789</v>
      </c>
      <c r="E20" s="108">
        <v>45312</v>
      </c>
      <c r="F20" s="109">
        <v>0.74722222222222223</v>
      </c>
      <c r="G20" s="26" t="s">
        <v>1884</v>
      </c>
      <c r="H20" s="124" t="s">
        <v>385</v>
      </c>
      <c r="I20" s="124"/>
      <c r="J20" s="28" t="s">
        <v>1885</v>
      </c>
      <c r="K20" s="28">
        <v>50000</v>
      </c>
      <c r="L20" s="28">
        <v>50000</v>
      </c>
      <c r="M20" s="28" t="s">
        <v>20</v>
      </c>
      <c r="N20" s="28" t="s">
        <v>20</v>
      </c>
      <c r="O20" s="28" t="s">
        <v>20</v>
      </c>
      <c r="P20" s="28" t="s">
        <v>20</v>
      </c>
      <c r="Q20" s="28" t="s">
        <v>20</v>
      </c>
      <c r="R20" s="28" t="s">
        <v>20</v>
      </c>
    </row>
    <row r="21" spans="2:18" x14ac:dyDescent="0.25">
      <c r="B21" s="28">
        <v>19</v>
      </c>
      <c r="C21" s="28" t="s">
        <v>1789</v>
      </c>
      <c r="D21" s="28" t="s">
        <v>1789</v>
      </c>
      <c r="E21" s="28"/>
      <c r="F21" s="28"/>
      <c r="G21" s="26"/>
      <c r="H21" s="124"/>
      <c r="I21" s="124"/>
      <c r="J21" s="28"/>
      <c r="K21" s="28"/>
      <c r="L21" s="28"/>
      <c r="M21" s="28" t="s">
        <v>20</v>
      </c>
      <c r="N21" s="28" t="s">
        <v>20</v>
      </c>
      <c r="O21" s="28" t="s">
        <v>20</v>
      </c>
      <c r="P21" s="28" t="s">
        <v>20</v>
      </c>
      <c r="Q21" s="28" t="s">
        <v>20</v>
      </c>
      <c r="R21" s="28" t="s">
        <v>20</v>
      </c>
    </row>
    <row r="22" spans="2:18" ht="39" x14ac:dyDescent="0.25">
      <c r="B22" s="28">
        <v>20</v>
      </c>
      <c r="C22" s="28" t="s">
        <v>1789</v>
      </c>
      <c r="D22" s="28" t="s">
        <v>1789</v>
      </c>
      <c r="E22" s="108">
        <v>45313</v>
      </c>
      <c r="F22" s="109">
        <v>0.40972222222222221</v>
      </c>
      <c r="G22" s="26" t="s">
        <v>1886</v>
      </c>
      <c r="H22" s="124" t="s">
        <v>1887</v>
      </c>
      <c r="I22" s="124"/>
      <c r="J22" s="28" t="s">
        <v>1859</v>
      </c>
      <c r="K22" s="28" t="s">
        <v>618</v>
      </c>
      <c r="L22" s="28" t="s">
        <v>664</v>
      </c>
      <c r="M22" s="28" t="s">
        <v>20</v>
      </c>
      <c r="N22" s="28" t="s">
        <v>20</v>
      </c>
      <c r="O22" s="28" t="s">
        <v>20</v>
      </c>
      <c r="P22" s="28" t="s">
        <v>20</v>
      </c>
      <c r="Q22" s="28" t="s">
        <v>20</v>
      </c>
      <c r="R22" s="28" t="s">
        <v>20</v>
      </c>
    </row>
    <row r="23" spans="2:18" ht="39" x14ac:dyDescent="0.25">
      <c r="B23" s="28">
        <v>21</v>
      </c>
      <c r="C23" s="28" t="s">
        <v>1789</v>
      </c>
      <c r="D23" s="28" t="s">
        <v>1789</v>
      </c>
      <c r="E23" s="108">
        <v>45313</v>
      </c>
      <c r="F23" s="109">
        <v>0.55138888888888893</v>
      </c>
      <c r="G23" s="26" t="s">
        <v>1888</v>
      </c>
      <c r="H23" s="124" t="s">
        <v>2546</v>
      </c>
      <c r="I23" s="124"/>
      <c r="J23" s="28" t="s">
        <v>1889</v>
      </c>
      <c r="K23" s="28">
        <v>10000</v>
      </c>
      <c r="L23" s="28">
        <v>490000</v>
      </c>
      <c r="M23" s="28" t="s">
        <v>20</v>
      </c>
      <c r="N23" s="28" t="s">
        <v>20</v>
      </c>
      <c r="O23" s="28" t="s">
        <v>20</v>
      </c>
      <c r="P23" s="28" t="s">
        <v>20</v>
      </c>
      <c r="Q23" s="28" t="s">
        <v>20</v>
      </c>
      <c r="R23" s="28" t="s">
        <v>20</v>
      </c>
    </row>
    <row r="24" spans="2:18" ht="39" x14ac:dyDescent="0.25">
      <c r="B24" s="28">
        <v>22</v>
      </c>
      <c r="C24" s="28" t="s">
        <v>1789</v>
      </c>
      <c r="D24" s="28" t="s">
        <v>1789</v>
      </c>
      <c r="E24" s="108">
        <v>45313</v>
      </c>
      <c r="F24" s="109">
        <v>0.87430555555555556</v>
      </c>
      <c r="G24" s="26" t="s">
        <v>1890</v>
      </c>
      <c r="H24" s="124" t="s">
        <v>1861</v>
      </c>
      <c r="I24" s="124"/>
      <c r="J24" s="28" t="s">
        <v>1891</v>
      </c>
      <c r="K24" s="28" t="s">
        <v>618</v>
      </c>
      <c r="L24" s="28" t="s">
        <v>664</v>
      </c>
      <c r="M24" s="28" t="s">
        <v>20</v>
      </c>
      <c r="N24" s="28" t="s">
        <v>20</v>
      </c>
      <c r="O24" s="28" t="s">
        <v>20</v>
      </c>
      <c r="P24" s="28" t="s">
        <v>20</v>
      </c>
      <c r="Q24" s="28" t="s">
        <v>20</v>
      </c>
      <c r="R24" s="28" t="s">
        <v>20</v>
      </c>
    </row>
    <row r="25" spans="2:18" ht="39" x14ac:dyDescent="0.25">
      <c r="B25" s="28">
        <v>23</v>
      </c>
      <c r="C25" s="28" t="s">
        <v>1789</v>
      </c>
      <c r="D25" s="28"/>
      <c r="E25" s="123">
        <v>45314</v>
      </c>
      <c r="F25" s="109">
        <v>0.59375</v>
      </c>
      <c r="G25" s="26" t="s">
        <v>1892</v>
      </c>
      <c r="H25" s="124" t="s">
        <v>1880</v>
      </c>
      <c r="I25" s="124"/>
      <c r="J25" s="28" t="s">
        <v>1885</v>
      </c>
      <c r="K25" s="28">
        <v>10000</v>
      </c>
      <c r="L25" s="28">
        <v>190000</v>
      </c>
      <c r="M25" s="28"/>
      <c r="N25" s="28"/>
      <c r="O25" s="28"/>
      <c r="P25" s="28"/>
      <c r="Q25" s="28"/>
      <c r="R25" s="28"/>
    </row>
    <row r="26" spans="2:18" ht="39" x14ac:dyDescent="0.25">
      <c r="B26" s="28">
        <v>24</v>
      </c>
      <c r="C26" s="28" t="s">
        <v>1789</v>
      </c>
      <c r="D26" s="28" t="s">
        <v>1789</v>
      </c>
      <c r="E26" s="108">
        <v>45314</v>
      </c>
      <c r="F26" s="109">
        <v>0.82222222222222219</v>
      </c>
      <c r="G26" s="26" t="s">
        <v>1893</v>
      </c>
      <c r="H26" s="124" t="s">
        <v>1880</v>
      </c>
      <c r="I26" s="124"/>
      <c r="J26" s="28" t="s">
        <v>1885</v>
      </c>
      <c r="K26" s="28">
        <v>10000</v>
      </c>
      <c r="L26" s="28">
        <v>190000</v>
      </c>
      <c r="M26" s="28" t="s">
        <v>20</v>
      </c>
      <c r="N26" s="28" t="s">
        <v>20</v>
      </c>
      <c r="O26" s="28" t="s">
        <v>20</v>
      </c>
      <c r="P26" s="28" t="s">
        <v>20</v>
      </c>
      <c r="Q26" s="28" t="s">
        <v>20</v>
      </c>
      <c r="R26" s="28" t="s">
        <v>20</v>
      </c>
    </row>
    <row r="27" spans="2:18" x14ac:dyDescent="0.25">
      <c r="B27" s="28">
        <v>25</v>
      </c>
      <c r="C27" s="28" t="s">
        <v>1789</v>
      </c>
      <c r="D27" s="28" t="s">
        <v>1789</v>
      </c>
      <c r="E27" s="108">
        <v>45314</v>
      </c>
      <c r="F27" s="109">
        <v>0.94791666666666663</v>
      </c>
      <c r="G27" s="26" t="s">
        <v>1894</v>
      </c>
      <c r="H27" s="124" t="s">
        <v>385</v>
      </c>
      <c r="I27" s="124"/>
      <c r="J27" s="28" t="s">
        <v>1895</v>
      </c>
      <c r="K27" s="28">
        <v>3000000</v>
      </c>
      <c r="L27" s="28">
        <v>10000000</v>
      </c>
      <c r="M27" s="28" t="s">
        <v>20</v>
      </c>
      <c r="N27" s="28" t="s">
        <v>20</v>
      </c>
      <c r="O27" s="28" t="s">
        <v>20</v>
      </c>
      <c r="P27" s="28" t="s">
        <v>20</v>
      </c>
      <c r="Q27" s="28" t="s">
        <v>20</v>
      </c>
      <c r="R27" s="28" t="s">
        <v>20</v>
      </c>
    </row>
    <row r="28" spans="2:18" ht="58.5" x14ac:dyDescent="0.25">
      <c r="B28" s="28">
        <v>26</v>
      </c>
      <c r="C28" s="28" t="s">
        <v>1789</v>
      </c>
      <c r="D28" s="28" t="s">
        <v>1789</v>
      </c>
      <c r="E28" s="108">
        <v>45315</v>
      </c>
      <c r="F28" s="109">
        <v>0.69791666666666663</v>
      </c>
      <c r="G28" s="26" t="s">
        <v>1896</v>
      </c>
      <c r="H28" s="124" t="s">
        <v>1880</v>
      </c>
      <c r="I28" s="124"/>
      <c r="J28" s="28" t="s">
        <v>1897</v>
      </c>
      <c r="K28" s="28">
        <v>10000</v>
      </c>
      <c r="L28" s="28">
        <v>10000</v>
      </c>
      <c r="M28" s="28" t="s">
        <v>20</v>
      </c>
      <c r="N28" s="28" t="s">
        <v>20</v>
      </c>
      <c r="O28" s="28" t="s">
        <v>20</v>
      </c>
      <c r="P28" s="28" t="s">
        <v>20</v>
      </c>
      <c r="Q28" s="28" t="s">
        <v>20</v>
      </c>
      <c r="R28" s="28" t="s">
        <v>20</v>
      </c>
    </row>
    <row r="29" spans="2:18" x14ac:dyDescent="0.25">
      <c r="B29" s="28">
        <v>27</v>
      </c>
      <c r="C29" s="28" t="s">
        <v>1789</v>
      </c>
      <c r="D29" s="28" t="s">
        <v>1789</v>
      </c>
      <c r="E29" s="108">
        <v>45315</v>
      </c>
      <c r="F29" s="109">
        <v>0.95486111111111116</v>
      </c>
      <c r="G29" s="26" t="s">
        <v>1898</v>
      </c>
      <c r="H29" s="124" t="s">
        <v>1899</v>
      </c>
      <c r="I29" s="124"/>
      <c r="J29" s="28" t="s">
        <v>1899</v>
      </c>
      <c r="K29" s="28" t="s">
        <v>617</v>
      </c>
      <c r="L29" s="28" t="s">
        <v>617</v>
      </c>
      <c r="M29" s="28" t="s">
        <v>20</v>
      </c>
      <c r="N29" s="28" t="s">
        <v>20</v>
      </c>
      <c r="O29" s="28" t="s">
        <v>20</v>
      </c>
      <c r="P29" s="28" t="s">
        <v>20</v>
      </c>
      <c r="Q29" s="28" t="s">
        <v>20</v>
      </c>
      <c r="R29" s="28" t="s">
        <v>20</v>
      </c>
    </row>
    <row r="30" spans="2:18" ht="58.5" x14ac:dyDescent="0.25">
      <c r="B30" s="28">
        <v>28</v>
      </c>
      <c r="C30" s="28" t="s">
        <v>1789</v>
      </c>
      <c r="D30" s="28" t="s">
        <v>1789</v>
      </c>
      <c r="E30" s="108">
        <v>45315</v>
      </c>
      <c r="F30" s="109">
        <v>0.96666666666666667</v>
      </c>
      <c r="G30" s="26" t="s">
        <v>1900</v>
      </c>
      <c r="H30" s="124" t="s">
        <v>1901</v>
      </c>
      <c r="I30" s="124"/>
      <c r="J30" s="122" t="s">
        <v>1901</v>
      </c>
      <c r="K30" s="28" t="s">
        <v>617</v>
      </c>
      <c r="L30" s="28" t="s">
        <v>617</v>
      </c>
      <c r="M30" s="28"/>
      <c r="N30" s="28"/>
      <c r="O30" s="28"/>
      <c r="P30" s="28"/>
      <c r="Q30" s="28"/>
      <c r="R30" s="28"/>
    </row>
    <row r="31" spans="2:18" ht="39" x14ac:dyDescent="0.25">
      <c r="B31" s="122">
        <v>29</v>
      </c>
      <c r="C31" s="28" t="s">
        <v>1789</v>
      </c>
      <c r="D31" s="28" t="s">
        <v>1789</v>
      </c>
      <c r="E31" s="108">
        <v>45316</v>
      </c>
      <c r="F31" s="109">
        <v>0.50347222222222221</v>
      </c>
      <c r="G31" s="26" t="s">
        <v>1902</v>
      </c>
      <c r="H31" s="124" t="s">
        <v>1880</v>
      </c>
      <c r="I31" s="124"/>
      <c r="J31" s="28" t="s">
        <v>385</v>
      </c>
      <c r="K31" s="28" t="s">
        <v>618</v>
      </c>
      <c r="L31" s="28" t="s">
        <v>687</v>
      </c>
      <c r="M31" s="28" t="s">
        <v>20</v>
      </c>
      <c r="N31" s="28" t="s">
        <v>20</v>
      </c>
      <c r="O31" s="28" t="s">
        <v>20</v>
      </c>
      <c r="P31" s="28" t="s">
        <v>20</v>
      </c>
      <c r="Q31" s="28" t="s">
        <v>20</v>
      </c>
      <c r="R31" s="28" t="s">
        <v>20</v>
      </c>
    </row>
    <row r="32" spans="2:18" x14ac:dyDescent="0.25">
      <c r="B32" s="28">
        <v>30</v>
      </c>
      <c r="C32" s="28" t="s">
        <v>1789</v>
      </c>
      <c r="D32" s="28" t="s">
        <v>1789</v>
      </c>
      <c r="E32" s="108">
        <v>45317</v>
      </c>
      <c r="F32" s="109">
        <v>0.68819444444444444</v>
      </c>
      <c r="G32" s="26" t="s">
        <v>1903</v>
      </c>
      <c r="H32" s="124" t="s">
        <v>1861</v>
      </c>
      <c r="I32" s="124"/>
      <c r="J32" s="28" t="s">
        <v>1904</v>
      </c>
      <c r="K32" s="28"/>
      <c r="L32" s="28"/>
      <c r="M32" s="28" t="s">
        <v>20</v>
      </c>
      <c r="N32" s="28" t="s">
        <v>20</v>
      </c>
      <c r="O32" s="28" t="s">
        <v>20</v>
      </c>
      <c r="P32" s="28" t="s">
        <v>20</v>
      </c>
      <c r="Q32" s="28" t="s">
        <v>20</v>
      </c>
      <c r="R32" s="28" t="s">
        <v>20</v>
      </c>
    </row>
    <row r="33" spans="2:18" ht="39" x14ac:dyDescent="0.25">
      <c r="B33" s="28">
        <v>31</v>
      </c>
      <c r="C33" s="28" t="s">
        <v>1789</v>
      </c>
      <c r="D33" s="28" t="s">
        <v>1789</v>
      </c>
      <c r="E33" s="108">
        <v>45318</v>
      </c>
      <c r="F33" s="109">
        <v>0.67708333333333337</v>
      </c>
      <c r="G33" s="26" t="s">
        <v>1905</v>
      </c>
      <c r="H33" s="124" t="s">
        <v>20</v>
      </c>
      <c r="I33" s="124"/>
      <c r="J33" s="28" t="s">
        <v>20</v>
      </c>
      <c r="K33" s="28" t="s">
        <v>20</v>
      </c>
      <c r="L33" s="28" t="s">
        <v>20</v>
      </c>
      <c r="M33" s="28" t="s">
        <v>20</v>
      </c>
      <c r="N33" s="28" t="s">
        <v>20</v>
      </c>
      <c r="O33" s="28" t="s">
        <v>20</v>
      </c>
      <c r="P33" s="28" t="s">
        <v>20</v>
      </c>
      <c r="Q33" s="28" t="s">
        <v>20</v>
      </c>
      <c r="R33" s="28" t="s">
        <v>20</v>
      </c>
    </row>
    <row r="34" spans="2:18" ht="39" x14ac:dyDescent="0.25">
      <c r="B34" s="28">
        <v>32</v>
      </c>
      <c r="C34" s="28" t="s">
        <v>1789</v>
      </c>
      <c r="D34" s="28" t="s">
        <v>1789</v>
      </c>
      <c r="E34" s="108">
        <v>45318</v>
      </c>
      <c r="F34" s="109">
        <v>0.73055555555555551</v>
      </c>
      <c r="G34" s="26" t="s">
        <v>1906</v>
      </c>
      <c r="H34" s="124" t="s">
        <v>1880</v>
      </c>
      <c r="I34" s="124"/>
      <c r="J34" s="28" t="s">
        <v>2545</v>
      </c>
      <c r="K34" s="28">
        <v>500000</v>
      </c>
      <c r="L34" s="28">
        <v>2500000</v>
      </c>
      <c r="M34" s="28" t="s">
        <v>20</v>
      </c>
      <c r="N34" s="28" t="s">
        <v>20</v>
      </c>
      <c r="O34" s="28" t="s">
        <v>20</v>
      </c>
      <c r="P34" s="28" t="s">
        <v>20</v>
      </c>
      <c r="Q34" s="28" t="s">
        <v>20</v>
      </c>
      <c r="R34" s="28" t="s">
        <v>20</v>
      </c>
    </row>
    <row r="35" spans="2:18" ht="39" x14ac:dyDescent="0.25">
      <c r="B35" s="28">
        <v>33</v>
      </c>
      <c r="C35" s="28" t="s">
        <v>1789</v>
      </c>
      <c r="D35" s="28" t="s">
        <v>1789</v>
      </c>
      <c r="E35" s="108">
        <v>45320</v>
      </c>
      <c r="F35" s="109">
        <v>0.35833333333333334</v>
      </c>
      <c r="G35" s="26" t="s">
        <v>1907</v>
      </c>
      <c r="H35" s="124" t="s">
        <v>1880</v>
      </c>
      <c r="I35" s="124"/>
      <c r="J35" s="28" t="s">
        <v>1880</v>
      </c>
      <c r="K35" s="28" t="s">
        <v>696</v>
      </c>
      <c r="L35" s="28" t="s">
        <v>618</v>
      </c>
      <c r="M35" s="28" t="s">
        <v>20</v>
      </c>
      <c r="N35" s="28" t="s">
        <v>20</v>
      </c>
      <c r="O35" s="28" t="s">
        <v>20</v>
      </c>
      <c r="P35" s="28" t="s">
        <v>20</v>
      </c>
      <c r="Q35" s="28" t="s">
        <v>20</v>
      </c>
      <c r="R35" s="28" t="s">
        <v>20</v>
      </c>
    </row>
    <row r="36" spans="2:18" x14ac:dyDescent="0.25">
      <c r="B36" s="28">
        <v>34</v>
      </c>
      <c r="C36" s="28" t="s">
        <v>1789</v>
      </c>
      <c r="D36" s="28" t="s">
        <v>1789</v>
      </c>
      <c r="E36" s="108">
        <v>45321</v>
      </c>
      <c r="F36" s="109">
        <v>0.29097222222222224</v>
      </c>
      <c r="G36" s="26" t="s">
        <v>1908</v>
      </c>
      <c r="H36" s="124" t="s">
        <v>1880</v>
      </c>
      <c r="I36" s="124"/>
      <c r="J36" s="26" t="s">
        <v>1909</v>
      </c>
      <c r="K36" s="107">
        <v>500000</v>
      </c>
      <c r="L36" s="107">
        <v>4500000</v>
      </c>
      <c r="M36" s="28" t="s">
        <v>20</v>
      </c>
      <c r="N36" s="28" t="s">
        <v>20</v>
      </c>
      <c r="O36" s="28" t="s">
        <v>20</v>
      </c>
      <c r="P36" s="28" t="s">
        <v>20</v>
      </c>
      <c r="Q36" s="28" t="s">
        <v>20</v>
      </c>
      <c r="R36" s="28" t="s">
        <v>20</v>
      </c>
    </row>
    <row r="37" spans="2:18" ht="78" x14ac:dyDescent="0.25">
      <c r="B37" s="28">
        <v>1</v>
      </c>
      <c r="C37" s="28" t="s">
        <v>1789</v>
      </c>
      <c r="D37" s="28" t="s">
        <v>1789</v>
      </c>
      <c r="E37" s="108">
        <v>45317</v>
      </c>
      <c r="F37" s="109">
        <v>0.64236111111111116</v>
      </c>
      <c r="G37" s="28" t="s">
        <v>1910</v>
      </c>
      <c r="H37" s="124" t="s">
        <v>1911</v>
      </c>
      <c r="I37" s="124"/>
      <c r="J37" s="28" t="s">
        <v>1912</v>
      </c>
      <c r="K37" s="28" t="s">
        <v>20</v>
      </c>
      <c r="L37" s="28"/>
      <c r="M37" s="28" t="s">
        <v>20</v>
      </c>
      <c r="N37" s="28" t="s">
        <v>20</v>
      </c>
      <c r="O37" s="28" t="s">
        <v>20</v>
      </c>
      <c r="P37" s="28" t="s">
        <v>20</v>
      </c>
      <c r="Q37" s="28" t="s">
        <v>20</v>
      </c>
      <c r="R37" s="28" t="s">
        <v>20</v>
      </c>
    </row>
    <row r="38" spans="2:18" ht="58.5" x14ac:dyDescent="0.25">
      <c r="B38" s="28">
        <v>2</v>
      </c>
      <c r="C38" s="28" t="s">
        <v>1789</v>
      </c>
      <c r="D38" s="28" t="s">
        <v>1789</v>
      </c>
      <c r="E38" s="108">
        <v>45322</v>
      </c>
      <c r="F38" s="109">
        <v>0.31874999999999998</v>
      </c>
      <c r="G38" s="28" t="s">
        <v>1913</v>
      </c>
      <c r="H38" s="124" t="s">
        <v>1914</v>
      </c>
      <c r="I38" s="124"/>
      <c r="J38" s="28" t="s">
        <v>1915</v>
      </c>
      <c r="K38" s="28"/>
      <c r="L38" s="28"/>
      <c r="M38" s="28" t="s">
        <v>20</v>
      </c>
      <c r="N38" s="28" t="s">
        <v>20</v>
      </c>
      <c r="O38" s="28" t="s">
        <v>20</v>
      </c>
      <c r="P38" s="28" t="s">
        <v>20</v>
      </c>
      <c r="Q38" s="28" t="s">
        <v>20</v>
      </c>
      <c r="R38" s="28" t="s">
        <v>20</v>
      </c>
    </row>
    <row r="39" spans="2:18" ht="39" x14ac:dyDescent="0.25">
      <c r="B39" s="28">
        <v>1</v>
      </c>
      <c r="C39" s="28" t="s">
        <v>1789</v>
      </c>
      <c r="D39" s="28" t="s">
        <v>1789</v>
      </c>
      <c r="E39" s="108">
        <v>45323</v>
      </c>
      <c r="F39" s="109">
        <v>0</v>
      </c>
      <c r="G39" s="122" t="s">
        <v>1916</v>
      </c>
      <c r="H39" s="124" t="s">
        <v>385</v>
      </c>
      <c r="I39" s="124"/>
      <c r="J39" s="28" t="s">
        <v>1917</v>
      </c>
      <c r="K39" s="28">
        <v>10000</v>
      </c>
      <c r="L39" s="28">
        <v>40000</v>
      </c>
      <c r="M39" s="28" t="s">
        <v>20</v>
      </c>
      <c r="N39" s="28" t="s">
        <v>20</v>
      </c>
      <c r="O39" s="28" t="s">
        <v>20</v>
      </c>
      <c r="P39" s="28" t="s">
        <v>20</v>
      </c>
      <c r="Q39" s="28" t="s">
        <v>20</v>
      </c>
      <c r="R39" s="28" t="s">
        <v>20</v>
      </c>
    </row>
    <row r="40" spans="2:18" ht="39" x14ac:dyDescent="0.25">
      <c r="B40" s="28">
        <v>2</v>
      </c>
      <c r="C40" s="28" t="s">
        <v>1789</v>
      </c>
      <c r="D40" s="28" t="s">
        <v>1789</v>
      </c>
      <c r="E40" s="108">
        <v>45323</v>
      </c>
      <c r="F40" s="109">
        <v>5.6250000000000001E-2</v>
      </c>
      <c r="G40" s="122" t="s">
        <v>1918</v>
      </c>
      <c r="H40" s="124" t="s">
        <v>385</v>
      </c>
      <c r="I40" s="124"/>
      <c r="J40" s="28" t="s">
        <v>1919</v>
      </c>
      <c r="K40" s="28">
        <v>1000</v>
      </c>
      <c r="L40" s="28">
        <v>9000</v>
      </c>
      <c r="M40" s="28" t="s">
        <v>20</v>
      </c>
      <c r="N40" s="28" t="s">
        <v>20</v>
      </c>
      <c r="O40" s="28" t="s">
        <v>20</v>
      </c>
      <c r="P40" s="28" t="s">
        <v>20</v>
      </c>
      <c r="Q40" s="28" t="s">
        <v>20</v>
      </c>
      <c r="R40" s="28" t="s">
        <v>20</v>
      </c>
    </row>
    <row r="41" spans="2:18" ht="39" x14ac:dyDescent="0.25">
      <c r="B41" s="28">
        <v>3</v>
      </c>
      <c r="C41" s="28" t="s">
        <v>1789</v>
      </c>
      <c r="D41" s="28" t="s">
        <v>1789</v>
      </c>
      <c r="E41" s="108">
        <v>45323</v>
      </c>
      <c r="F41" s="109">
        <v>0.26527777777777778</v>
      </c>
      <c r="G41" s="28" t="s">
        <v>1920</v>
      </c>
      <c r="H41" s="124" t="s">
        <v>1921</v>
      </c>
      <c r="I41" s="124"/>
      <c r="J41" s="28" t="s">
        <v>1851</v>
      </c>
      <c r="K41" s="28">
        <v>5000</v>
      </c>
      <c r="L41" s="28">
        <v>95000</v>
      </c>
      <c r="M41" s="28" t="s">
        <v>20</v>
      </c>
      <c r="N41" s="28" t="s">
        <v>20</v>
      </c>
      <c r="O41" s="28" t="s">
        <v>20</v>
      </c>
      <c r="P41" s="28" t="s">
        <v>20</v>
      </c>
      <c r="Q41" s="28">
        <v>2</v>
      </c>
      <c r="R41" s="28" t="s">
        <v>20</v>
      </c>
    </row>
    <row r="42" spans="2:18" ht="39" x14ac:dyDescent="0.25">
      <c r="B42" s="28">
        <v>4</v>
      </c>
      <c r="C42" s="28" t="s">
        <v>1789</v>
      </c>
      <c r="D42" s="28" t="s">
        <v>1789</v>
      </c>
      <c r="E42" s="108">
        <v>45323</v>
      </c>
      <c r="F42" s="109">
        <v>0.2722222222222222</v>
      </c>
      <c r="G42" s="28" t="s">
        <v>1922</v>
      </c>
      <c r="H42" s="124" t="s">
        <v>385</v>
      </c>
      <c r="I42" s="124"/>
      <c r="J42" s="28" t="s">
        <v>1917</v>
      </c>
      <c r="K42" s="28">
        <v>1000</v>
      </c>
      <c r="L42" s="28">
        <v>9000</v>
      </c>
      <c r="M42" s="28" t="s">
        <v>20</v>
      </c>
      <c r="N42" s="28" t="s">
        <v>20</v>
      </c>
      <c r="O42" s="28" t="s">
        <v>20</v>
      </c>
      <c r="P42" s="28" t="s">
        <v>20</v>
      </c>
      <c r="Q42" s="28" t="s">
        <v>20</v>
      </c>
      <c r="R42" s="28" t="s">
        <v>20</v>
      </c>
    </row>
    <row r="43" spans="2:18" ht="39" x14ac:dyDescent="0.25">
      <c r="B43" s="28">
        <v>5</v>
      </c>
      <c r="C43" s="28" t="s">
        <v>1789</v>
      </c>
      <c r="D43" s="28" t="s">
        <v>1789</v>
      </c>
      <c r="E43" s="108">
        <v>45323</v>
      </c>
      <c r="F43" s="28" t="s">
        <v>733</v>
      </c>
      <c r="G43" s="26" t="s">
        <v>1923</v>
      </c>
      <c r="H43" s="124" t="s">
        <v>385</v>
      </c>
      <c r="I43" s="124"/>
      <c r="J43" s="28" t="s">
        <v>1917</v>
      </c>
      <c r="K43" s="28">
        <v>1000</v>
      </c>
      <c r="L43" s="28">
        <v>9000</v>
      </c>
      <c r="M43" s="28" t="s">
        <v>20</v>
      </c>
      <c r="N43" s="28" t="s">
        <v>20</v>
      </c>
      <c r="O43" s="28" t="s">
        <v>20</v>
      </c>
      <c r="P43" s="28" t="s">
        <v>20</v>
      </c>
      <c r="Q43" s="28" t="s">
        <v>20</v>
      </c>
      <c r="R43" s="28" t="s">
        <v>20</v>
      </c>
    </row>
    <row r="44" spans="2:18" x14ac:dyDescent="0.25">
      <c r="B44" s="28">
        <v>6</v>
      </c>
      <c r="C44" s="28" t="s">
        <v>1789</v>
      </c>
      <c r="D44" s="28" t="s">
        <v>1789</v>
      </c>
      <c r="E44" s="108">
        <v>45324</v>
      </c>
      <c r="F44" s="109">
        <v>0.61805555555555558</v>
      </c>
      <c r="G44" s="28" t="s">
        <v>1924</v>
      </c>
      <c r="H44" s="124" t="s">
        <v>385</v>
      </c>
      <c r="I44" s="124"/>
      <c r="J44" s="28" t="s">
        <v>1883</v>
      </c>
      <c r="K44" s="28">
        <v>400000</v>
      </c>
      <c r="L44" s="28">
        <v>1000000</v>
      </c>
      <c r="M44" s="28" t="s">
        <v>20</v>
      </c>
      <c r="N44" s="28" t="s">
        <v>20</v>
      </c>
      <c r="O44" s="28" t="s">
        <v>20</v>
      </c>
      <c r="P44" s="28" t="s">
        <v>20</v>
      </c>
      <c r="Q44" s="28" t="s">
        <v>20</v>
      </c>
      <c r="R44" s="28" t="s">
        <v>20</v>
      </c>
    </row>
    <row r="45" spans="2:18" x14ac:dyDescent="0.25">
      <c r="B45" s="28">
        <v>7</v>
      </c>
      <c r="C45" s="28" t="s">
        <v>1789</v>
      </c>
      <c r="D45" s="28" t="s">
        <v>1789</v>
      </c>
      <c r="E45" s="28" t="s">
        <v>736</v>
      </c>
      <c r="F45" s="109">
        <v>0.24930555555555556</v>
      </c>
      <c r="G45" s="28" t="s">
        <v>1925</v>
      </c>
      <c r="H45" s="124" t="s">
        <v>20</v>
      </c>
      <c r="I45" s="124"/>
      <c r="J45" s="28" t="s">
        <v>20</v>
      </c>
      <c r="K45" s="28"/>
      <c r="L45" s="28"/>
      <c r="M45" s="28" t="s">
        <v>20</v>
      </c>
      <c r="N45" s="28" t="s">
        <v>20</v>
      </c>
      <c r="O45" s="28" t="s">
        <v>20</v>
      </c>
      <c r="P45" s="28" t="s">
        <v>20</v>
      </c>
      <c r="Q45" s="28" t="s">
        <v>20</v>
      </c>
      <c r="R45" s="28" t="s">
        <v>20</v>
      </c>
    </row>
    <row r="46" spans="2:18" ht="39" x14ac:dyDescent="0.25">
      <c r="B46" s="28">
        <v>8</v>
      </c>
      <c r="C46" s="28" t="s">
        <v>1789</v>
      </c>
      <c r="D46" s="28" t="s">
        <v>1789</v>
      </c>
      <c r="E46" s="108">
        <v>45327</v>
      </c>
      <c r="F46" s="109">
        <v>6.5277777777777782E-2</v>
      </c>
      <c r="G46" s="28" t="s">
        <v>1926</v>
      </c>
      <c r="H46" s="124" t="s">
        <v>385</v>
      </c>
      <c r="I46" s="124"/>
      <c r="J46" s="28" t="s">
        <v>1917</v>
      </c>
      <c r="K46" s="28">
        <v>1000</v>
      </c>
      <c r="L46" s="28">
        <v>9000</v>
      </c>
      <c r="M46" s="28" t="s">
        <v>20</v>
      </c>
      <c r="N46" s="28" t="s">
        <v>20</v>
      </c>
      <c r="O46" s="28" t="s">
        <v>20</v>
      </c>
      <c r="P46" s="28" t="s">
        <v>20</v>
      </c>
      <c r="Q46" s="28" t="s">
        <v>20</v>
      </c>
      <c r="R46" s="28" t="s">
        <v>20</v>
      </c>
    </row>
    <row r="47" spans="2:18" ht="39" x14ac:dyDescent="0.25">
      <c r="B47" s="28">
        <v>9</v>
      </c>
      <c r="C47" s="28" t="s">
        <v>1789</v>
      </c>
      <c r="D47" s="28" t="s">
        <v>1789</v>
      </c>
      <c r="E47" s="108">
        <v>45328</v>
      </c>
      <c r="F47" s="109">
        <v>0.48333333333333334</v>
      </c>
      <c r="G47" s="28" t="s">
        <v>1927</v>
      </c>
      <c r="H47" s="124" t="s">
        <v>385</v>
      </c>
      <c r="I47" s="124"/>
      <c r="J47" s="28" t="s">
        <v>1917</v>
      </c>
      <c r="K47" s="28"/>
      <c r="L47" s="28"/>
      <c r="M47" s="28" t="s">
        <v>20</v>
      </c>
      <c r="N47" s="28" t="s">
        <v>20</v>
      </c>
      <c r="O47" s="28" t="s">
        <v>20</v>
      </c>
      <c r="P47" s="28" t="s">
        <v>20</v>
      </c>
      <c r="Q47" s="28" t="s">
        <v>20</v>
      </c>
      <c r="R47" s="28" t="s">
        <v>20</v>
      </c>
    </row>
    <row r="48" spans="2:18" ht="39" x14ac:dyDescent="0.25">
      <c r="B48" s="28">
        <v>10</v>
      </c>
      <c r="C48" s="28" t="s">
        <v>1789</v>
      </c>
      <c r="D48" s="28" t="s">
        <v>1789</v>
      </c>
      <c r="E48" s="108">
        <v>45328</v>
      </c>
      <c r="F48" s="109">
        <v>0.53819444444444442</v>
      </c>
      <c r="G48" s="26" t="s">
        <v>1928</v>
      </c>
      <c r="H48" s="124" t="s">
        <v>385</v>
      </c>
      <c r="I48" s="124"/>
      <c r="J48" s="28" t="s">
        <v>1917</v>
      </c>
      <c r="K48" s="28"/>
      <c r="L48" s="28"/>
      <c r="M48" s="28" t="s">
        <v>20</v>
      </c>
      <c r="N48" s="28" t="s">
        <v>20</v>
      </c>
      <c r="O48" s="28" t="s">
        <v>20</v>
      </c>
      <c r="P48" s="28" t="s">
        <v>20</v>
      </c>
      <c r="Q48" s="28" t="s">
        <v>20</v>
      </c>
      <c r="R48" s="28" t="s">
        <v>20</v>
      </c>
    </row>
    <row r="49" spans="2:18" ht="39" x14ac:dyDescent="0.25">
      <c r="B49" s="28">
        <v>11</v>
      </c>
      <c r="C49" s="28" t="s">
        <v>1789</v>
      </c>
      <c r="D49" s="28" t="s">
        <v>1789</v>
      </c>
      <c r="E49" s="108">
        <v>45329</v>
      </c>
      <c r="F49" s="109">
        <v>0.1076388888888889</v>
      </c>
      <c r="G49" s="26" t="s">
        <v>1929</v>
      </c>
      <c r="H49" s="124" t="s">
        <v>385</v>
      </c>
      <c r="I49" s="124"/>
      <c r="J49" s="28" t="s">
        <v>1930</v>
      </c>
      <c r="K49" s="28">
        <v>3400000</v>
      </c>
      <c r="L49" s="28">
        <v>21600000</v>
      </c>
      <c r="M49" s="28" t="s">
        <v>20</v>
      </c>
      <c r="N49" s="28" t="s">
        <v>20</v>
      </c>
      <c r="O49" s="28" t="s">
        <v>20</v>
      </c>
      <c r="P49" s="28" t="s">
        <v>20</v>
      </c>
      <c r="Q49" s="28" t="s">
        <v>20</v>
      </c>
      <c r="R49" s="28" t="s">
        <v>20</v>
      </c>
    </row>
    <row r="50" spans="2:18" ht="39" x14ac:dyDescent="0.25">
      <c r="B50" s="28">
        <v>12</v>
      </c>
      <c r="C50" s="28" t="s">
        <v>1789</v>
      </c>
      <c r="D50" s="28" t="s">
        <v>1789</v>
      </c>
      <c r="E50" s="108">
        <v>45334</v>
      </c>
      <c r="F50" s="109">
        <v>0.66249999999999998</v>
      </c>
      <c r="G50" s="26" t="s">
        <v>1931</v>
      </c>
      <c r="H50" s="124" t="s">
        <v>385</v>
      </c>
      <c r="I50" s="124"/>
      <c r="J50" s="28" t="s">
        <v>1885</v>
      </c>
      <c r="K50" s="28"/>
      <c r="L50" s="28"/>
      <c r="M50" s="28" t="s">
        <v>20</v>
      </c>
      <c r="N50" s="28" t="s">
        <v>20</v>
      </c>
      <c r="O50" s="28" t="s">
        <v>20</v>
      </c>
      <c r="P50" s="28" t="s">
        <v>20</v>
      </c>
      <c r="Q50" s="28" t="s">
        <v>20</v>
      </c>
      <c r="R50" s="28" t="s">
        <v>20</v>
      </c>
    </row>
    <row r="51" spans="2:18" ht="39" x14ac:dyDescent="0.25">
      <c r="B51" s="28">
        <v>13</v>
      </c>
      <c r="C51" s="28" t="s">
        <v>1789</v>
      </c>
      <c r="D51" s="28" t="s">
        <v>1789</v>
      </c>
      <c r="E51" s="123">
        <v>45335</v>
      </c>
      <c r="F51" s="109">
        <v>3.125E-2</v>
      </c>
      <c r="G51" s="28" t="s">
        <v>1932</v>
      </c>
      <c r="H51" s="124" t="s">
        <v>1933</v>
      </c>
      <c r="I51" s="124"/>
      <c r="J51" s="122"/>
      <c r="K51" s="28"/>
      <c r="L51" s="28"/>
      <c r="M51" s="28" t="s">
        <v>20</v>
      </c>
      <c r="N51" s="28" t="s">
        <v>20</v>
      </c>
      <c r="O51" s="28" t="s">
        <v>20</v>
      </c>
      <c r="P51" s="28" t="s">
        <v>20</v>
      </c>
      <c r="Q51" s="28" t="s">
        <v>20</v>
      </c>
      <c r="R51" s="28" t="s">
        <v>20</v>
      </c>
    </row>
    <row r="52" spans="2:18" ht="39" x14ac:dyDescent="0.25">
      <c r="B52" s="28">
        <v>14</v>
      </c>
      <c r="C52" s="28" t="s">
        <v>1789</v>
      </c>
      <c r="D52" s="28" t="s">
        <v>1789</v>
      </c>
      <c r="E52" s="108">
        <v>45335</v>
      </c>
      <c r="F52" s="109">
        <v>0.72430555555555554</v>
      </c>
      <c r="G52" s="26" t="s">
        <v>1934</v>
      </c>
      <c r="H52" s="124" t="s">
        <v>1904</v>
      </c>
      <c r="I52" s="124"/>
      <c r="J52" s="28"/>
      <c r="K52" s="28"/>
      <c r="L52" s="28"/>
      <c r="M52" s="28" t="s">
        <v>20</v>
      </c>
      <c r="N52" s="28" t="s">
        <v>20</v>
      </c>
      <c r="O52" s="28" t="s">
        <v>20</v>
      </c>
      <c r="P52" s="28" t="s">
        <v>20</v>
      </c>
      <c r="Q52" s="28" t="s">
        <v>20</v>
      </c>
      <c r="R52" s="28" t="s">
        <v>20</v>
      </c>
    </row>
    <row r="53" spans="2:18" x14ac:dyDescent="0.25">
      <c r="B53" s="28">
        <v>15</v>
      </c>
      <c r="C53" s="28" t="s">
        <v>1789</v>
      </c>
      <c r="D53" s="28" t="s">
        <v>1789</v>
      </c>
      <c r="E53" s="108">
        <v>45337</v>
      </c>
      <c r="F53" s="109">
        <v>0.1736111111111111</v>
      </c>
      <c r="G53" s="28" t="s">
        <v>1935</v>
      </c>
      <c r="H53" s="124" t="s">
        <v>406</v>
      </c>
      <c r="I53" s="124"/>
      <c r="J53" s="28"/>
      <c r="K53" s="28">
        <v>200000</v>
      </c>
      <c r="L53" s="28">
        <v>20000</v>
      </c>
      <c r="M53" s="28" t="s">
        <v>20</v>
      </c>
      <c r="N53" s="28" t="s">
        <v>20</v>
      </c>
      <c r="O53" s="28" t="s">
        <v>20</v>
      </c>
      <c r="P53" s="28" t="s">
        <v>20</v>
      </c>
      <c r="Q53" s="28" t="s">
        <v>20</v>
      </c>
      <c r="R53" s="28" t="s">
        <v>20</v>
      </c>
    </row>
    <row r="54" spans="2:18" x14ac:dyDescent="0.25">
      <c r="B54" s="28">
        <v>16</v>
      </c>
      <c r="C54" s="28" t="s">
        <v>1789</v>
      </c>
      <c r="D54" s="28" t="s">
        <v>1789</v>
      </c>
      <c r="E54" s="28" t="s">
        <v>756</v>
      </c>
      <c r="F54" s="109">
        <v>0.43472222222222223</v>
      </c>
      <c r="G54" s="28" t="s">
        <v>1936</v>
      </c>
      <c r="H54" s="124" t="s">
        <v>1904</v>
      </c>
      <c r="I54" s="124"/>
      <c r="J54" s="28"/>
      <c r="K54" s="28"/>
      <c r="L54" s="28"/>
      <c r="M54" s="28" t="s">
        <v>20</v>
      </c>
      <c r="N54" s="28" t="s">
        <v>20</v>
      </c>
      <c r="O54" s="28" t="s">
        <v>20</v>
      </c>
      <c r="P54" s="28" t="s">
        <v>20</v>
      </c>
      <c r="Q54" s="28" t="s">
        <v>20</v>
      </c>
      <c r="R54" s="28" t="s">
        <v>20</v>
      </c>
    </row>
    <row r="55" spans="2:18" ht="39" x14ac:dyDescent="0.25">
      <c r="B55" s="28">
        <v>18</v>
      </c>
      <c r="C55" s="28" t="s">
        <v>657</v>
      </c>
      <c r="D55" s="28" t="s">
        <v>1789</v>
      </c>
      <c r="E55" s="108">
        <v>45343</v>
      </c>
      <c r="F55" s="109">
        <v>0.81319444444444444</v>
      </c>
      <c r="G55" s="26" t="s">
        <v>1937</v>
      </c>
      <c r="H55" s="124" t="s">
        <v>1938</v>
      </c>
      <c r="I55" s="124"/>
      <c r="J55" s="28"/>
      <c r="K55" s="28"/>
      <c r="L55" s="28"/>
      <c r="M55" s="28" t="s">
        <v>20</v>
      </c>
      <c r="N55" s="28" t="s">
        <v>20</v>
      </c>
      <c r="O55" s="28" t="s">
        <v>20</v>
      </c>
      <c r="P55" s="28" t="s">
        <v>20</v>
      </c>
      <c r="Q55" s="28" t="s">
        <v>20</v>
      </c>
      <c r="R55" s="28" t="s">
        <v>20</v>
      </c>
    </row>
    <row r="56" spans="2:18" ht="39" x14ac:dyDescent="0.25">
      <c r="B56" s="28">
        <v>19</v>
      </c>
      <c r="C56" s="28" t="s">
        <v>657</v>
      </c>
      <c r="D56" s="28" t="s">
        <v>1789</v>
      </c>
      <c r="E56" s="108">
        <v>45345</v>
      </c>
      <c r="F56" s="109">
        <v>0.31041666666666667</v>
      </c>
      <c r="G56" s="26" t="s">
        <v>1939</v>
      </c>
      <c r="H56" s="124" t="s">
        <v>20</v>
      </c>
      <c r="I56" s="124"/>
      <c r="J56" s="28" t="s">
        <v>1940</v>
      </c>
      <c r="K56" s="28"/>
      <c r="L56" s="28"/>
      <c r="M56" s="28" t="s">
        <v>20</v>
      </c>
      <c r="N56" s="28" t="s">
        <v>20</v>
      </c>
      <c r="O56" s="28" t="s">
        <v>20</v>
      </c>
      <c r="P56" s="28" t="s">
        <v>20</v>
      </c>
      <c r="Q56" s="28" t="s">
        <v>20</v>
      </c>
      <c r="R56" s="28" t="s">
        <v>20</v>
      </c>
    </row>
    <row r="57" spans="2:18" ht="39" x14ac:dyDescent="0.25">
      <c r="B57" s="28">
        <v>20</v>
      </c>
      <c r="C57" s="28" t="s">
        <v>657</v>
      </c>
      <c r="D57" s="28" t="s">
        <v>1789</v>
      </c>
      <c r="E57" s="108">
        <v>45346</v>
      </c>
      <c r="F57" s="109">
        <v>0.74027777777777781</v>
      </c>
      <c r="G57" s="26" t="s">
        <v>1941</v>
      </c>
      <c r="H57" s="124" t="s">
        <v>385</v>
      </c>
      <c r="I57" s="124"/>
      <c r="J57" s="26" t="s">
        <v>1942</v>
      </c>
      <c r="K57" s="28">
        <v>1000</v>
      </c>
      <c r="L57" s="28">
        <v>9000</v>
      </c>
      <c r="M57" s="28" t="s">
        <v>20</v>
      </c>
      <c r="N57" s="28" t="s">
        <v>20</v>
      </c>
      <c r="O57" s="28" t="s">
        <v>20</v>
      </c>
      <c r="P57" s="28" t="s">
        <v>20</v>
      </c>
      <c r="Q57" s="28" t="s">
        <v>20</v>
      </c>
      <c r="R57" s="28" t="s">
        <v>20</v>
      </c>
    </row>
    <row r="58" spans="2:18" ht="39" x14ac:dyDescent="0.25">
      <c r="B58" s="28">
        <v>21</v>
      </c>
      <c r="C58" s="28" t="s">
        <v>657</v>
      </c>
      <c r="D58" s="28" t="s">
        <v>1789</v>
      </c>
      <c r="E58" s="108">
        <v>45347</v>
      </c>
      <c r="F58" s="109">
        <v>0.82916666666666672</v>
      </c>
      <c r="G58" s="26" t="s">
        <v>1943</v>
      </c>
      <c r="H58" s="124" t="s">
        <v>406</v>
      </c>
      <c r="I58" s="124"/>
      <c r="J58" s="28" t="s">
        <v>1944</v>
      </c>
      <c r="K58" s="28">
        <v>100000</v>
      </c>
      <c r="L58" s="28">
        <v>400000</v>
      </c>
      <c r="M58" s="28" t="s">
        <v>20</v>
      </c>
      <c r="N58" s="28" t="s">
        <v>20</v>
      </c>
      <c r="O58" s="28" t="s">
        <v>20</v>
      </c>
      <c r="P58" s="28" t="s">
        <v>20</v>
      </c>
      <c r="Q58" s="28" t="s">
        <v>20</v>
      </c>
      <c r="R58" s="28" t="s">
        <v>20</v>
      </c>
    </row>
    <row r="59" spans="2:18" ht="39" x14ac:dyDescent="0.25">
      <c r="B59" s="28">
        <v>22</v>
      </c>
      <c r="C59" s="28" t="s">
        <v>657</v>
      </c>
      <c r="D59" s="28" t="s">
        <v>1789</v>
      </c>
      <c r="E59" s="108">
        <v>45350</v>
      </c>
      <c r="F59" s="109">
        <v>0.44444444444444442</v>
      </c>
      <c r="G59" s="26" t="s">
        <v>1945</v>
      </c>
      <c r="H59" s="124" t="s">
        <v>385</v>
      </c>
      <c r="I59" s="124"/>
      <c r="J59" s="28" t="s">
        <v>1851</v>
      </c>
      <c r="K59" s="28">
        <v>300000</v>
      </c>
      <c r="L59" s="28">
        <v>1700000</v>
      </c>
      <c r="M59" s="28" t="s">
        <v>20</v>
      </c>
      <c r="N59" s="28" t="s">
        <v>20</v>
      </c>
      <c r="O59" s="28" t="s">
        <v>20</v>
      </c>
      <c r="P59" s="28" t="s">
        <v>20</v>
      </c>
      <c r="Q59" s="28" t="s">
        <v>20</v>
      </c>
      <c r="R59" s="28" t="s">
        <v>20</v>
      </c>
    </row>
    <row r="60" spans="2:18" x14ac:dyDescent="0.25">
      <c r="B60" s="28">
        <v>23</v>
      </c>
      <c r="C60" s="28"/>
      <c r="D60" s="28"/>
      <c r="E60" s="123">
        <v>45350</v>
      </c>
      <c r="F60" s="109">
        <v>0.63611111111111107</v>
      </c>
      <c r="G60" s="26" t="s">
        <v>1946</v>
      </c>
      <c r="H60" s="124" t="s">
        <v>406</v>
      </c>
      <c r="I60" s="124"/>
      <c r="J60" s="28" t="s">
        <v>1947</v>
      </c>
      <c r="K60" s="28">
        <v>50000</v>
      </c>
      <c r="L60" s="28">
        <v>5000000</v>
      </c>
      <c r="M60" s="28"/>
      <c r="N60" s="28"/>
      <c r="O60" s="28"/>
      <c r="P60" s="28"/>
      <c r="Q60" s="28"/>
      <c r="R60" s="28"/>
    </row>
    <row r="61" spans="2:18" ht="39" x14ac:dyDescent="0.25">
      <c r="B61" s="28">
        <v>1</v>
      </c>
      <c r="C61" s="28"/>
      <c r="D61" s="28"/>
      <c r="E61" s="108">
        <v>45344</v>
      </c>
      <c r="F61" s="109">
        <v>0.48333333333333334</v>
      </c>
      <c r="G61" s="28" t="s">
        <v>1948</v>
      </c>
      <c r="H61" s="124" t="s">
        <v>1904</v>
      </c>
      <c r="I61" s="124"/>
      <c r="J61" s="28" t="s">
        <v>1949</v>
      </c>
      <c r="K61" s="28"/>
      <c r="L61" s="28"/>
      <c r="M61" s="28"/>
      <c r="N61" s="28"/>
      <c r="O61" s="28"/>
      <c r="P61" s="28"/>
      <c r="Q61" s="28"/>
      <c r="R61" s="28"/>
    </row>
    <row r="62" spans="2:18" ht="39" x14ac:dyDescent="0.25">
      <c r="B62" s="28">
        <v>1</v>
      </c>
      <c r="C62" s="28" t="s">
        <v>1789</v>
      </c>
      <c r="D62" s="28" t="s">
        <v>1789</v>
      </c>
      <c r="E62" s="108">
        <v>45353</v>
      </c>
      <c r="F62" s="109">
        <v>0.99375000000000002</v>
      </c>
      <c r="G62" s="122" t="s">
        <v>1950</v>
      </c>
      <c r="H62" s="124" t="s">
        <v>385</v>
      </c>
      <c r="I62" s="124"/>
      <c r="J62" s="28" t="s">
        <v>20</v>
      </c>
      <c r="K62" s="28" t="s">
        <v>20</v>
      </c>
      <c r="L62" s="28" t="s">
        <v>20</v>
      </c>
      <c r="M62" s="28" t="s">
        <v>20</v>
      </c>
      <c r="N62" s="28" t="s">
        <v>20</v>
      </c>
      <c r="O62" s="28" t="s">
        <v>20</v>
      </c>
      <c r="P62" s="28" t="s">
        <v>20</v>
      </c>
      <c r="Q62" s="28" t="s">
        <v>20</v>
      </c>
      <c r="R62" s="28" t="s">
        <v>20</v>
      </c>
    </row>
    <row r="63" spans="2:18" ht="39" x14ac:dyDescent="0.25">
      <c r="B63" s="28">
        <v>2</v>
      </c>
      <c r="C63" s="28" t="s">
        <v>1789</v>
      </c>
      <c r="D63" s="28" t="s">
        <v>1789</v>
      </c>
      <c r="E63" s="108">
        <v>45356</v>
      </c>
      <c r="F63" s="109">
        <v>0.53888888888888886</v>
      </c>
      <c r="G63" s="122" t="s">
        <v>1951</v>
      </c>
      <c r="H63" s="124" t="s">
        <v>406</v>
      </c>
      <c r="I63" s="124"/>
      <c r="J63" s="28" t="s">
        <v>20</v>
      </c>
      <c r="K63" s="28" t="s">
        <v>20</v>
      </c>
      <c r="L63" s="28" t="s">
        <v>20</v>
      </c>
      <c r="M63" s="28" t="s">
        <v>20</v>
      </c>
      <c r="N63" s="28" t="s">
        <v>20</v>
      </c>
      <c r="O63" s="28" t="s">
        <v>20</v>
      </c>
      <c r="P63" s="28" t="s">
        <v>20</v>
      </c>
      <c r="Q63" s="28" t="s">
        <v>20</v>
      </c>
      <c r="R63" s="28" t="s">
        <v>20</v>
      </c>
    </row>
    <row r="64" spans="2:18" ht="39" x14ac:dyDescent="0.25">
      <c r="B64" s="28">
        <v>3</v>
      </c>
      <c r="C64" s="28" t="s">
        <v>1789</v>
      </c>
      <c r="D64" s="28" t="s">
        <v>1789</v>
      </c>
      <c r="E64" s="108">
        <v>45356</v>
      </c>
      <c r="F64" s="109">
        <v>0.88194444444444442</v>
      </c>
      <c r="G64" s="28" t="s">
        <v>1952</v>
      </c>
      <c r="H64" s="124" t="s">
        <v>385</v>
      </c>
      <c r="I64" s="124"/>
      <c r="J64" s="28" t="s">
        <v>20</v>
      </c>
      <c r="K64" s="28">
        <v>600000</v>
      </c>
      <c r="L64" s="28">
        <v>900000</v>
      </c>
      <c r="M64" s="28" t="s">
        <v>20</v>
      </c>
      <c r="N64" s="28" t="s">
        <v>20</v>
      </c>
      <c r="O64" s="28" t="s">
        <v>20</v>
      </c>
      <c r="P64" s="28" t="s">
        <v>20</v>
      </c>
      <c r="Q64" s="28" t="s">
        <v>20</v>
      </c>
      <c r="R64" s="28" t="s">
        <v>20</v>
      </c>
    </row>
    <row r="65" spans="2:18" ht="39" x14ac:dyDescent="0.25">
      <c r="B65" s="28">
        <v>4</v>
      </c>
      <c r="C65" s="28" t="s">
        <v>1789</v>
      </c>
      <c r="D65" s="28" t="s">
        <v>1789</v>
      </c>
      <c r="E65" s="28" t="s">
        <v>786</v>
      </c>
      <c r="F65" s="109">
        <v>2.7083333333333334E-2</v>
      </c>
      <c r="G65" s="26" t="s">
        <v>1953</v>
      </c>
      <c r="H65" s="124" t="s">
        <v>406</v>
      </c>
      <c r="I65" s="124"/>
      <c r="J65" s="28" t="s">
        <v>20</v>
      </c>
      <c r="K65" s="28" t="s">
        <v>20</v>
      </c>
      <c r="L65" s="28" t="s">
        <v>20</v>
      </c>
      <c r="M65" s="28" t="s">
        <v>20</v>
      </c>
      <c r="N65" s="28" t="s">
        <v>20</v>
      </c>
      <c r="O65" s="28" t="s">
        <v>20</v>
      </c>
      <c r="P65" s="28" t="s">
        <v>20</v>
      </c>
      <c r="Q65" s="28" t="s">
        <v>20</v>
      </c>
      <c r="R65" s="28" t="s">
        <v>20</v>
      </c>
    </row>
    <row r="66" spans="2:18" ht="39" x14ac:dyDescent="0.25">
      <c r="B66" s="28">
        <v>5</v>
      </c>
      <c r="C66" s="28" t="s">
        <v>1789</v>
      </c>
      <c r="D66" s="28" t="s">
        <v>1789</v>
      </c>
      <c r="E66" s="108">
        <v>45358</v>
      </c>
      <c r="F66" s="109">
        <v>0.48472222222222222</v>
      </c>
      <c r="G66" s="26" t="s">
        <v>1954</v>
      </c>
      <c r="H66" s="124" t="s">
        <v>406</v>
      </c>
      <c r="I66" s="124"/>
      <c r="J66" s="28" t="s">
        <v>20</v>
      </c>
      <c r="K66" s="28">
        <v>50000</v>
      </c>
      <c r="L66" s="28" t="s">
        <v>20</v>
      </c>
      <c r="M66" s="28" t="s">
        <v>20</v>
      </c>
      <c r="N66" s="28" t="s">
        <v>20</v>
      </c>
      <c r="O66" s="28" t="s">
        <v>20</v>
      </c>
      <c r="P66" s="28">
        <v>3</v>
      </c>
      <c r="Q66" s="28" t="s">
        <v>20</v>
      </c>
      <c r="R66" s="28" t="s">
        <v>20</v>
      </c>
    </row>
    <row r="67" spans="2:18" x14ac:dyDescent="0.25">
      <c r="B67" s="28">
        <v>6</v>
      </c>
      <c r="C67" s="28" t="s">
        <v>1789</v>
      </c>
      <c r="D67" s="28" t="s">
        <v>1789</v>
      </c>
      <c r="E67" s="108">
        <v>45358</v>
      </c>
      <c r="F67" s="109">
        <v>0.96388888888888891</v>
      </c>
      <c r="G67" s="28" t="s">
        <v>1955</v>
      </c>
      <c r="H67" s="124" t="s">
        <v>2547</v>
      </c>
      <c r="I67" s="124"/>
      <c r="J67" s="28" t="s">
        <v>20</v>
      </c>
      <c r="K67" s="28">
        <v>300000</v>
      </c>
      <c r="L67" s="28">
        <v>100000</v>
      </c>
      <c r="M67" s="28" t="s">
        <v>20</v>
      </c>
      <c r="N67" s="28" t="s">
        <v>20</v>
      </c>
      <c r="O67" s="28" t="s">
        <v>20</v>
      </c>
      <c r="P67" s="28" t="s">
        <v>20</v>
      </c>
      <c r="Q67" s="28" t="s">
        <v>20</v>
      </c>
      <c r="R67" s="28" t="s">
        <v>20</v>
      </c>
    </row>
    <row r="68" spans="2:18" ht="39" x14ac:dyDescent="0.25">
      <c r="B68" s="28">
        <v>7</v>
      </c>
      <c r="C68" s="28" t="s">
        <v>1789</v>
      </c>
      <c r="D68" s="28" t="s">
        <v>1789</v>
      </c>
      <c r="E68" s="108">
        <v>45361</v>
      </c>
      <c r="F68" s="109">
        <v>0.41388888888888886</v>
      </c>
      <c r="G68" s="28" t="s">
        <v>1956</v>
      </c>
      <c r="H68" s="124" t="s">
        <v>385</v>
      </c>
      <c r="I68" s="124"/>
      <c r="J68" s="28" t="s">
        <v>20</v>
      </c>
      <c r="K68" s="28" t="s">
        <v>20</v>
      </c>
      <c r="L68" s="28" t="s">
        <v>20</v>
      </c>
      <c r="M68" s="28" t="s">
        <v>20</v>
      </c>
      <c r="N68" s="28" t="s">
        <v>20</v>
      </c>
      <c r="O68" s="28" t="s">
        <v>20</v>
      </c>
      <c r="P68" s="28" t="s">
        <v>20</v>
      </c>
      <c r="Q68" s="28" t="s">
        <v>20</v>
      </c>
      <c r="R68" s="28" t="s">
        <v>20</v>
      </c>
    </row>
    <row r="69" spans="2:18" ht="39" x14ac:dyDescent="0.25">
      <c r="B69" s="28">
        <v>8</v>
      </c>
      <c r="C69" s="28" t="s">
        <v>1789</v>
      </c>
      <c r="D69" s="28" t="s">
        <v>1789</v>
      </c>
      <c r="E69" s="108">
        <v>45362</v>
      </c>
      <c r="F69" s="109">
        <v>9.5138888888888884E-2</v>
      </c>
      <c r="G69" s="28" t="s">
        <v>1957</v>
      </c>
      <c r="H69" s="124" t="s">
        <v>20</v>
      </c>
      <c r="I69" s="124"/>
      <c r="J69" s="122" t="s">
        <v>1958</v>
      </c>
      <c r="K69" s="28" t="s">
        <v>20</v>
      </c>
      <c r="L69" s="28" t="s">
        <v>20</v>
      </c>
      <c r="M69" s="28" t="s">
        <v>20</v>
      </c>
      <c r="N69" s="28" t="s">
        <v>20</v>
      </c>
      <c r="O69" s="28" t="s">
        <v>20</v>
      </c>
      <c r="P69" s="28" t="s">
        <v>20</v>
      </c>
      <c r="Q69" s="28" t="s">
        <v>20</v>
      </c>
      <c r="R69" s="28" t="s">
        <v>20</v>
      </c>
    </row>
    <row r="70" spans="2:18" ht="39" x14ac:dyDescent="0.25">
      <c r="B70" s="28">
        <v>9</v>
      </c>
      <c r="C70" s="28" t="s">
        <v>1789</v>
      </c>
      <c r="D70" s="28" t="s">
        <v>1789</v>
      </c>
      <c r="E70" s="108">
        <v>45365</v>
      </c>
      <c r="F70" s="109">
        <v>0.57777777777777772</v>
      </c>
      <c r="G70" s="28" t="s">
        <v>1959</v>
      </c>
      <c r="H70" s="124" t="s">
        <v>1861</v>
      </c>
      <c r="I70" s="124"/>
      <c r="J70" s="28" t="s">
        <v>20</v>
      </c>
      <c r="K70" s="28" t="s">
        <v>20</v>
      </c>
      <c r="L70" s="28" t="s">
        <v>20</v>
      </c>
      <c r="M70" s="28" t="s">
        <v>20</v>
      </c>
      <c r="N70" s="28" t="s">
        <v>20</v>
      </c>
      <c r="O70" s="28" t="s">
        <v>20</v>
      </c>
      <c r="P70" s="28" t="s">
        <v>20</v>
      </c>
      <c r="Q70" s="28" t="s">
        <v>20</v>
      </c>
      <c r="R70" s="28" t="s">
        <v>20</v>
      </c>
    </row>
    <row r="71" spans="2:18" ht="39" x14ac:dyDescent="0.25">
      <c r="B71" s="28">
        <v>10</v>
      </c>
      <c r="C71" s="28" t="s">
        <v>1789</v>
      </c>
      <c r="D71" s="28" t="s">
        <v>1789</v>
      </c>
      <c r="E71" s="108">
        <v>45367</v>
      </c>
      <c r="F71" s="109">
        <v>0.7416666666666667</v>
      </c>
      <c r="G71" s="26" t="s">
        <v>1960</v>
      </c>
      <c r="H71" s="124" t="s">
        <v>1904</v>
      </c>
      <c r="I71" s="124"/>
      <c r="J71" s="28" t="s">
        <v>20</v>
      </c>
      <c r="K71" s="28" t="s">
        <v>20</v>
      </c>
      <c r="L71" s="28" t="s">
        <v>20</v>
      </c>
      <c r="M71" s="28" t="s">
        <v>20</v>
      </c>
      <c r="N71" s="28" t="s">
        <v>20</v>
      </c>
      <c r="O71" s="28" t="s">
        <v>20</v>
      </c>
      <c r="P71" s="28" t="s">
        <v>20</v>
      </c>
      <c r="Q71" s="28" t="s">
        <v>20</v>
      </c>
      <c r="R71" s="28" t="s">
        <v>20</v>
      </c>
    </row>
    <row r="72" spans="2:18" ht="39" x14ac:dyDescent="0.25">
      <c r="B72" s="28">
        <v>11</v>
      </c>
      <c r="C72" s="28" t="s">
        <v>1789</v>
      </c>
      <c r="D72" s="28" t="s">
        <v>1789</v>
      </c>
      <c r="E72" s="108">
        <v>45368</v>
      </c>
      <c r="F72" s="109">
        <v>0.90347222222222223</v>
      </c>
      <c r="G72" s="26" t="s">
        <v>1961</v>
      </c>
      <c r="H72" s="124" t="s">
        <v>1904</v>
      </c>
      <c r="I72" s="124"/>
      <c r="J72" s="28" t="s">
        <v>20</v>
      </c>
      <c r="K72" s="28" t="s">
        <v>20</v>
      </c>
      <c r="L72" s="28" t="s">
        <v>20</v>
      </c>
      <c r="M72" s="28" t="s">
        <v>20</v>
      </c>
      <c r="N72" s="28" t="s">
        <v>20</v>
      </c>
      <c r="O72" s="28" t="s">
        <v>20</v>
      </c>
      <c r="P72" s="28" t="s">
        <v>20</v>
      </c>
      <c r="Q72" s="28" t="s">
        <v>20</v>
      </c>
      <c r="R72" s="28" t="s">
        <v>20</v>
      </c>
    </row>
    <row r="73" spans="2:18" ht="39" x14ac:dyDescent="0.25">
      <c r="B73" s="28">
        <v>12</v>
      </c>
      <c r="C73" s="28" t="s">
        <v>1789</v>
      </c>
      <c r="D73" s="28" t="s">
        <v>1789</v>
      </c>
      <c r="E73" s="108">
        <v>45369</v>
      </c>
      <c r="F73" s="109">
        <v>5.2777777777777778E-2</v>
      </c>
      <c r="G73" s="26" t="s">
        <v>1962</v>
      </c>
      <c r="H73" s="124" t="s">
        <v>406</v>
      </c>
      <c r="I73" s="124"/>
      <c r="J73" s="28" t="s">
        <v>20</v>
      </c>
      <c r="K73" s="28">
        <v>150000</v>
      </c>
      <c r="L73" s="28">
        <v>50000</v>
      </c>
      <c r="M73" s="28" t="s">
        <v>20</v>
      </c>
      <c r="N73" s="28" t="s">
        <v>20</v>
      </c>
      <c r="O73" s="28" t="s">
        <v>20</v>
      </c>
      <c r="P73" s="28" t="s">
        <v>20</v>
      </c>
      <c r="Q73" s="28" t="s">
        <v>20</v>
      </c>
      <c r="R73" s="28" t="s">
        <v>20</v>
      </c>
    </row>
    <row r="74" spans="2:18" ht="58.5" x14ac:dyDescent="0.25">
      <c r="B74" s="28">
        <v>13</v>
      </c>
      <c r="C74" s="28" t="s">
        <v>1789</v>
      </c>
      <c r="D74" s="28" t="s">
        <v>1789</v>
      </c>
      <c r="E74" s="123">
        <v>45369</v>
      </c>
      <c r="F74" s="109">
        <v>0.35694444444444445</v>
      </c>
      <c r="G74" s="26" t="s">
        <v>1963</v>
      </c>
      <c r="H74" s="124" t="s">
        <v>385</v>
      </c>
      <c r="I74" s="124"/>
      <c r="J74" s="122" t="s">
        <v>20</v>
      </c>
      <c r="K74" s="28" t="s">
        <v>20</v>
      </c>
      <c r="L74" s="28" t="s">
        <v>20</v>
      </c>
      <c r="M74" s="28" t="s">
        <v>20</v>
      </c>
      <c r="N74" s="28" t="s">
        <v>20</v>
      </c>
      <c r="O74" s="28" t="s">
        <v>20</v>
      </c>
      <c r="P74" s="28" t="s">
        <v>20</v>
      </c>
      <c r="Q74" s="28" t="s">
        <v>20</v>
      </c>
      <c r="R74" s="28" t="s">
        <v>20</v>
      </c>
    </row>
    <row r="75" spans="2:18" ht="39" x14ac:dyDescent="0.25">
      <c r="B75" s="28">
        <v>14</v>
      </c>
      <c r="C75" s="28" t="s">
        <v>1789</v>
      </c>
      <c r="D75" s="28" t="s">
        <v>1789</v>
      </c>
      <c r="E75" s="108">
        <v>45369</v>
      </c>
      <c r="F75" s="109">
        <v>0.51875000000000004</v>
      </c>
      <c r="G75" s="26" t="s">
        <v>1964</v>
      </c>
      <c r="H75" s="124" t="s">
        <v>385</v>
      </c>
      <c r="I75" s="124"/>
      <c r="J75" s="28" t="s">
        <v>20</v>
      </c>
      <c r="K75" s="28">
        <v>150000</v>
      </c>
      <c r="L75" s="28">
        <v>150000</v>
      </c>
      <c r="M75" s="28" t="s">
        <v>20</v>
      </c>
      <c r="N75" s="28" t="s">
        <v>20</v>
      </c>
      <c r="O75" s="28" t="s">
        <v>20</v>
      </c>
      <c r="P75" s="28" t="s">
        <v>20</v>
      </c>
      <c r="Q75" s="28" t="s">
        <v>20</v>
      </c>
      <c r="R75" s="28" t="s">
        <v>20</v>
      </c>
    </row>
    <row r="76" spans="2:18" ht="39" x14ac:dyDescent="0.25">
      <c r="B76" s="28">
        <v>15</v>
      </c>
      <c r="C76" s="28" t="s">
        <v>1789</v>
      </c>
      <c r="D76" s="28" t="s">
        <v>1789</v>
      </c>
      <c r="E76" s="108">
        <v>45370</v>
      </c>
      <c r="F76" s="109">
        <v>0.61388888888888893</v>
      </c>
      <c r="G76" s="28" t="s">
        <v>1965</v>
      </c>
      <c r="H76" s="124" t="s">
        <v>1904</v>
      </c>
      <c r="I76" s="124"/>
      <c r="J76" s="28" t="s">
        <v>20</v>
      </c>
      <c r="K76" s="28" t="s">
        <v>20</v>
      </c>
      <c r="L76" s="28" t="s">
        <v>20</v>
      </c>
      <c r="M76" s="28" t="s">
        <v>20</v>
      </c>
      <c r="N76" s="28" t="s">
        <v>20</v>
      </c>
      <c r="O76" s="28" t="s">
        <v>20</v>
      </c>
      <c r="P76" s="28" t="s">
        <v>20</v>
      </c>
      <c r="Q76" s="28" t="s">
        <v>20</v>
      </c>
      <c r="R76" s="28" t="s">
        <v>20</v>
      </c>
    </row>
    <row r="77" spans="2:18" ht="58.5" x14ac:dyDescent="0.25">
      <c r="B77" s="28">
        <v>16</v>
      </c>
      <c r="C77" s="28" t="s">
        <v>1789</v>
      </c>
      <c r="D77" s="28" t="s">
        <v>1789</v>
      </c>
      <c r="E77" s="108">
        <v>45370</v>
      </c>
      <c r="F77" s="109">
        <v>0.66527777777777775</v>
      </c>
      <c r="G77" s="28" t="s">
        <v>1966</v>
      </c>
      <c r="H77" s="124" t="s">
        <v>1904</v>
      </c>
      <c r="I77" s="124"/>
      <c r="J77" s="28" t="s">
        <v>20</v>
      </c>
      <c r="K77" s="28" t="s">
        <v>20</v>
      </c>
      <c r="L77" s="28" t="s">
        <v>20</v>
      </c>
      <c r="M77" s="28" t="s">
        <v>20</v>
      </c>
      <c r="N77" s="28" t="s">
        <v>20</v>
      </c>
      <c r="O77" s="28" t="s">
        <v>20</v>
      </c>
      <c r="P77" s="28" t="s">
        <v>20</v>
      </c>
      <c r="Q77" s="28" t="s">
        <v>20</v>
      </c>
      <c r="R77" s="28" t="s">
        <v>20</v>
      </c>
    </row>
    <row r="78" spans="2:18" ht="58.5" x14ac:dyDescent="0.25">
      <c r="B78" s="28">
        <v>17</v>
      </c>
      <c r="C78" s="28" t="s">
        <v>1789</v>
      </c>
      <c r="D78" s="28" t="s">
        <v>1789</v>
      </c>
      <c r="E78" s="108">
        <v>45370</v>
      </c>
      <c r="F78" s="109">
        <v>0.76597222222222228</v>
      </c>
      <c r="G78" s="122" t="s">
        <v>1967</v>
      </c>
      <c r="H78" s="124" t="s">
        <v>385</v>
      </c>
      <c r="I78" s="124"/>
      <c r="J78" s="28" t="s">
        <v>20</v>
      </c>
      <c r="K78" s="28" t="s">
        <v>20</v>
      </c>
      <c r="L78" s="28" t="s">
        <v>20</v>
      </c>
      <c r="M78" s="28" t="s">
        <v>20</v>
      </c>
      <c r="N78" s="28" t="s">
        <v>20</v>
      </c>
      <c r="O78" s="28" t="s">
        <v>20</v>
      </c>
      <c r="P78" s="28" t="s">
        <v>20</v>
      </c>
      <c r="Q78" s="28" t="s">
        <v>20</v>
      </c>
      <c r="R78" s="28" t="s">
        <v>20</v>
      </c>
    </row>
    <row r="79" spans="2:18" ht="39" x14ac:dyDescent="0.25">
      <c r="B79" s="28">
        <v>18</v>
      </c>
      <c r="C79" s="28" t="s">
        <v>657</v>
      </c>
      <c r="D79" s="28" t="s">
        <v>1789</v>
      </c>
      <c r="E79" s="108">
        <v>45370</v>
      </c>
      <c r="F79" s="109">
        <v>0.76736111111111116</v>
      </c>
      <c r="G79" s="26" t="s">
        <v>1968</v>
      </c>
      <c r="H79" s="124" t="s">
        <v>1969</v>
      </c>
      <c r="I79" s="124"/>
      <c r="J79" s="28" t="s">
        <v>20</v>
      </c>
      <c r="K79" s="28">
        <v>10000</v>
      </c>
      <c r="L79" s="28">
        <v>40000</v>
      </c>
      <c r="M79" s="28" t="s">
        <v>20</v>
      </c>
      <c r="N79" s="28" t="s">
        <v>20</v>
      </c>
      <c r="O79" s="28" t="s">
        <v>20</v>
      </c>
      <c r="P79" s="28" t="s">
        <v>20</v>
      </c>
      <c r="Q79" s="28" t="s">
        <v>20</v>
      </c>
      <c r="R79" s="28" t="s">
        <v>20</v>
      </c>
    </row>
    <row r="80" spans="2:18" ht="39" x14ac:dyDescent="0.25">
      <c r="B80" s="28">
        <v>19</v>
      </c>
      <c r="C80" s="28" t="s">
        <v>657</v>
      </c>
      <c r="D80" s="28" t="s">
        <v>1789</v>
      </c>
      <c r="E80" s="108">
        <v>45371</v>
      </c>
      <c r="F80" s="109">
        <v>0.28402777777777777</v>
      </c>
      <c r="G80" s="26" t="s">
        <v>1970</v>
      </c>
      <c r="H80" s="124" t="s">
        <v>1971</v>
      </c>
      <c r="I80" s="124"/>
      <c r="J80" s="28" t="s">
        <v>20</v>
      </c>
      <c r="K80" s="28">
        <v>50000</v>
      </c>
      <c r="L80" s="28">
        <v>4950000</v>
      </c>
      <c r="M80" s="28" t="s">
        <v>20</v>
      </c>
      <c r="N80" s="28" t="s">
        <v>20</v>
      </c>
      <c r="O80" s="28" t="s">
        <v>20</v>
      </c>
      <c r="P80" s="28" t="s">
        <v>20</v>
      </c>
      <c r="Q80" s="28" t="s">
        <v>20</v>
      </c>
      <c r="R80" s="28" t="s">
        <v>20</v>
      </c>
    </row>
    <row r="81" spans="2:18" ht="39" x14ac:dyDescent="0.25">
      <c r="B81" s="28">
        <v>20</v>
      </c>
      <c r="C81" s="28" t="s">
        <v>657</v>
      </c>
      <c r="D81" s="28" t="s">
        <v>1789</v>
      </c>
      <c r="E81" s="108">
        <v>45371</v>
      </c>
      <c r="F81" s="109">
        <v>0.42569444444444443</v>
      </c>
      <c r="G81" s="26" t="s">
        <v>1972</v>
      </c>
      <c r="H81" s="124" t="s">
        <v>385</v>
      </c>
      <c r="I81" s="124"/>
      <c r="J81" s="26" t="s">
        <v>20</v>
      </c>
      <c r="K81" s="28" t="s">
        <v>20</v>
      </c>
      <c r="L81" s="28" t="s">
        <v>20</v>
      </c>
      <c r="M81" s="28" t="s">
        <v>20</v>
      </c>
      <c r="N81" s="28" t="s">
        <v>20</v>
      </c>
      <c r="O81" s="28" t="s">
        <v>20</v>
      </c>
      <c r="P81" s="28" t="s">
        <v>20</v>
      </c>
      <c r="Q81" s="28" t="s">
        <v>20</v>
      </c>
      <c r="R81" s="28" t="s">
        <v>20</v>
      </c>
    </row>
    <row r="82" spans="2:18" ht="39" x14ac:dyDescent="0.25">
      <c r="B82" s="28">
        <v>21</v>
      </c>
      <c r="C82" s="28" t="s">
        <v>657</v>
      </c>
      <c r="D82" s="28" t="s">
        <v>1789</v>
      </c>
      <c r="E82" s="108">
        <v>45372</v>
      </c>
      <c r="F82" s="109">
        <v>8.6805555555555552E-2</v>
      </c>
      <c r="G82" s="26" t="s">
        <v>1973</v>
      </c>
      <c r="H82" s="124" t="s">
        <v>406</v>
      </c>
      <c r="I82" s="124"/>
      <c r="J82" s="28" t="s">
        <v>20</v>
      </c>
      <c r="K82" s="28" t="s">
        <v>20</v>
      </c>
      <c r="L82" s="28" t="s">
        <v>20</v>
      </c>
      <c r="M82" s="28" t="s">
        <v>20</v>
      </c>
      <c r="N82" s="28" t="s">
        <v>20</v>
      </c>
      <c r="O82" s="28" t="s">
        <v>20</v>
      </c>
      <c r="P82" s="28" t="s">
        <v>20</v>
      </c>
      <c r="Q82" s="28" t="s">
        <v>20</v>
      </c>
      <c r="R82" s="28" t="s">
        <v>20</v>
      </c>
    </row>
    <row r="83" spans="2:18" ht="39" x14ac:dyDescent="0.25">
      <c r="B83" s="28">
        <v>22</v>
      </c>
      <c r="C83" s="28" t="s">
        <v>657</v>
      </c>
      <c r="D83" s="28" t="s">
        <v>1789</v>
      </c>
      <c r="E83" s="108">
        <v>45372</v>
      </c>
      <c r="F83" s="109">
        <v>0.43055555555555558</v>
      </c>
      <c r="G83" s="26" t="s">
        <v>1974</v>
      </c>
      <c r="H83" s="124" t="s">
        <v>385</v>
      </c>
      <c r="I83" s="124"/>
      <c r="J83" s="28" t="s">
        <v>20</v>
      </c>
      <c r="K83" s="28">
        <v>200000</v>
      </c>
      <c r="L83" s="28">
        <v>1800000</v>
      </c>
      <c r="M83" s="28" t="s">
        <v>20</v>
      </c>
      <c r="N83" s="28" t="s">
        <v>20</v>
      </c>
      <c r="O83" s="28" t="s">
        <v>20</v>
      </c>
      <c r="P83" s="28" t="s">
        <v>20</v>
      </c>
      <c r="Q83" s="28" t="s">
        <v>20</v>
      </c>
      <c r="R83" s="28" t="s">
        <v>20</v>
      </c>
    </row>
    <row r="84" spans="2:18" ht="39" x14ac:dyDescent="0.25">
      <c r="B84" s="28">
        <v>23</v>
      </c>
      <c r="C84" s="28" t="s">
        <v>657</v>
      </c>
      <c r="D84" s="28" t="s">
        <v>1789</v>
      </c>
      <c r="E84" s="123">
        <v>45374</v>
      </c>
      <c r="F84" s="109">
        <v>0.80972222222222223</v>
      </c>
      <c r="G84" s="26" t="s">
        <v>1975</v>
      </c>
      <c r="H84" s="124" t="s">
        <v>1904</v>
      </c>
      <c r="I84" s="124"/>
      <c r="J84" s="28" t="s">
        <v>20</v>
      </c>
      <c r="K84" s="28" t="s">
        <v>20</v>
      </c>
      <c r="L84" s="28" t="s">
        <v>20</v>
      </c>
      <c r="M84" s="28" t="s">
        <v>20</v>
      </c>
      <c r="N84" s="28" t="s">
        <v>20</v>
      </c>
      <c r="O84" s="28" t="s">
        <v>20</v>
      </c>
      <c r="P84" s="28" t="s">
        <v>20</v>
      </c>
      <c r="Q84" s="28" t="s">
        <v>20</v>
      </c>
      <c r="R84" s="28" t="s">
        <v>20</v>
      </c>
    </row>
    <row r="85" spans="2:18" ht="58.5" x14ac:dyDescent="0.25">
      <c r="B85" s="28">
        <v>24</v>
      </c>
      <c r="C85" s="28" t="s">
        <v>657</v>
      </c>
      <c r="D85" s="28" t="s">
        <v>1789</v>
      </c>
      <c r="E85" s="123">
        <v>45375</v>
      </c>
      <c r="F85" s="109">
        <v>0.96111111111111114</v>
      </c>
      <c r="G85" s="26" t="s">
        <v>1976</v>
      </c>
      <c r="H85" s="124" t="s">
        <v>1904</v>
      </c>
      <c r="I85" s="124"/>
      <c r="J85" s="28" t="s">
        <v>20</v>
      </c>
      <c r="K85" s="28">
        <v>300000</v>
      </c>
      <c r="L85" s="28">
        <v>200000</v>
      </c>
      <c r="M85" s="28" t="s">
        <v>20</v>
      </c>
      <c r="N85" s="28" t="s">
        <v>20</v>
      </c>
      <c r="O85" s="28" t="s">
        <v>20</v>
      </c>
      <c r="P85" s="28" t="s">
        <v>20</v>
      </c>
      <c r="Q85" s="28" t="s">
        <v>20</v>
      </c>
      <c r="R85" s="28" t="s">
        <v>20</v>
      </c>
    </row>
    <row r="86" spans="2:18" ht="39" x14ac:dyDescent="0.25">
      <c r="B86" s="28">
        <v>25</v>
      </c>
      <c r="C86" s="28" t="s">
        <v>657</v>
      </c>
      <c r="D86" s="28" t="s">
        <v>1789</v>
      </c>
      <c r="E86" s="123">
        <v>45376</v>
      </c>
      <c r="F86" s="109">
        <v>0.85972222222222228</v>
      </c>
      <c r="G86" s="26" t="s">
        <v>1977</v>
      </c>
      <c r="H86" s="124" t="s">
        <v>1904</v>
      </c>
      <c r="I86" s="124"/>
      <c r="J86" s="28" t="s">
        <v>20</v>
      </c>
      <c r="K86" s="28" t="s">
        <v>20</v>
      </c>
      <c r="L86" s="28" t="s">
        <v>20</v>
      </c>
      <c r="M86" s="28" t="s">
        <v>20</v>
      </c>
      <c r="N86" s="28" t="s">
        <v>20</v>
      </c>
      <c r="O86" s="28" t="s">
        <v>20</v>
      </c>
      <c r="P86" s="28" t="s">
        <v>20</v>
      </c>
      <c r="Q86" s="28" t="s">
        <v>20</v>
      </c>
      <c r="R86" s="28" t="s">
        <v>20</v>
      </c>
    </row>
    <row r="87" spans="2:18" ht="39" x14ac:dyDescent="0.25">
      <c r="B87" s="28">
        <v>26</v>
      </c>
      <c r="C87" s="28" t="s">
        <v>657</v>
      </c>
      <c r="D87" s="28" t="s">
        <v>1789</v>
      </c>
      <c r="E87" s="123">
        <v>45377</v>
      </c>
      <c r="F87" s="109">
        <v>0.61111111111111116</v>
      </c>
      <c r="G87" s="26" t="s">
        <v>1978</v>
      </c>
      <c r="H87" s="124" t="s">
        <v>2548</v>
      </c>
      <c r="I87" s="124"/>
      <c r="J87" s="28" t="s">
        <v>20</v>
      </c>
      <c r="K87" s="28" t="s">
        <v>20</v>
      </c>
      <c r="L87" s="28" t="s">
        <v>20</v>
      </c>
      <c r="M87" s="28" t="s">
        <v>20</v>
      </c>
      <c r="N87" s="28" t="s">
        <v>20</v>
      </c>
      <c r="O87" s="28" t="s">
        <v>20</v>
      </c>
      <c r="P87" s="28" t="s">
        <v>20</v>
      </c>
      <c r="Q87" s="28" t="s">
        <v>20</v>
      </c>
      <c r="R87" s="28" t="s">
        <v>20</v>
      </c>
    </row>
    <row r="88" spans="2:18" ht="39" x14ac:dyDescent="0.25">
      <c r="B88" s="28">
        <v>29</v>
      </c>
      <c r="C88" s="28" t="s">
        <v>657</v>
      </c>
      <c r="D88" s="28" t="s">
        <v>1789</v>
      </c>
      <c r="E88" s="123">
        <v>45377</v>
      </c>
      <c r="F88" s="109">
        <v>0.95</v>
      </c>
      <c r="G88" s="26" t="s">
        <v>1979</v>
      </c>
      <c r="H88" s="124" t="s">
        <v>2549</v>
      </c>
      <c r="I88" s="124"/>
      <c r="J88" s="28" t="s">
        <v>20</v>
      </c>
      <c r="K88" s="28" t="s">
        <v>20</v>
      </c>
      <c r="L88" s="28" t="s">
        <v>20</v>
      </c>
      <c r="M88" s="28" t="s">
        <v>20</v>
      </c>
      <c r="N88" s="28" t="s">
        <v>20</v>
      </c>
      <c r="O88" s="28" t="s">
        <v>20</v>
      </c>
      <c r="P88" s="28" t="s">
        <v>20</v>
      </c>
      <c r="Q88" s="28" t="s">
        <v>20</v>
      </c>
      <c r="R88" s="28" t="s">
        <v>20</v>
      </c>
    </row>
    <row r="89" spans="2:18" ht="39" x14ac:dyDescent="0.25">
      <c r="B89" s="28">
        <v>30</v>
      </c>
      <c r="C89" s="28" t="s">
        <v>657</v>
      </c>
      <c r="D89" s="28" t="s">
        <v>1789</v>
      </c>
      <c r="E89" s="123">
        <v>45378</v>
      </c>
      <c r="F89" s="109">
        <v>0.9145833333333333</v>
      </c>
      <c r="G89" s="26" t="s">
        <v>1980</v>
      </c>
      <c r="H89" s="124" t="s">
        <v>1904</v>
      </c>
      <c r="I89" s="124"/>
      <c r="J89" s="28" t="s">
        <v>20</v>
      </c>
      <c r="K89" s="28" t="s">
        <v>20</v>
      </c>
      <c r="L89" s="28" t="s">
        <v>20</v>
      </c>
      <c r="M89" s="28" t="s">
        <v>20</v>
      </c>
      <c r="N89" s="28" t="s">
        <v>20</v>
      </c>
      <c r="O89" s="28" t="s">
        <v>20</v>
      </c>
      <c r="P89" s="28" t="s">
        <v>20</v>
      </c>
      <c r="Q89" s="28" t="s">
        <v>20</v>
      </c>
      <c r="R89" s="28" t="s">
        <v>20</v>
      </c>
    </row>
    <row r="90" spans="2:18" ht="39" x14ac:dyDescent="0.25">
      <c r="B90" s="28">
        <v>31</v>
      </c>
      <c r="C90" s="28" t="s">
        <v>657</v>
      </c>
      <c r="D90" s="28" t="s">
        <v>657</v>
      </c>
      <c r="E90" s="123">
        <v>45379</v>
      </c>
      <c r="F90" s="109">
        <v>0.98958333333333337</v>
      </c>
      <c r="G90" s="26" t="s">
        <v>1981</v>
      </c>
      <c r="H90" s="124" t="s">
        <v>406</v>
      </c>
      <c r="I90" s="124"/>
      <c r="J90" s="28"/>
      <c r="K90" s="28">
        <v>800000</v>
      </c>
      <c r="L90" s="28">
        <v>100000</v>
      </c>
      <c r="M90" s="28"/>
      <c r="N90" s="28"/>
      <c r="O90" s="28"/>
      <c r="P90" s="28"/>
      <c r="Q90" s="28"/>
      <c r="R90" s="28"/>
    </row>
    <row r="91" spans="2:18" ht="58.5" x14ac:dyDescent="0.25">
      <c r="B91" s="28">
        <v>32</v>
      </c>
      <c r="C91" s="28" t="s">
        <v>657</v>
      </c>
      <c r="D91" s="28" t="s">
        <v>657</v>
      </c>
      <c r="E91" s="123">
        <v>45380</v>
      </c>
      <c r="F91" s="109">
        <v>6.6666666666666666E-2</v>
      </c>
      <c r="G91" s="26" t="s">
        <v>1982</v>
      </c>
      <c r="H91" s="124" t="s">
        <v>20</v>
      </c>
      <c r="I91" s="124"/>
      <c r="J91" s="28" t="s">
        <v>20</v>
      </c>
      <c r="K91" s="28" t="s">
        <v>20</v>
      </c>
      <c r="L91" s="28" t="s">
        <v>20</v>
      </c>
      <c r="M91" s="28" t="s">
        <v>20</v>
      </c>
      <c r="N91" s="28" t="s">
        <v>20</v>
      </c>
      <c r="O91" s="28" t="s">
        <v>20</v>
      </c>
      <c r="P91" s="28" t="s">
        <v>20</v>
      </c>
      <c r="Q91" s="28" t="s">
        <v>20</v>
      </c>
      <c r="R91" s="28" t="s">
        <v>20</v>
      </c>
    </row>
    <row r="92" spans="2:18" ht="39" x14ac:dyDescent="0.25">
      <c r="B92" s="28">
        <v>1</v>
      </c>
      <c r="C92" s="28" t="s">
        <v>1789</v>
      </c>
      <c r="D92" s="28" t="s">
        <v>1789</v>
      </c>
      <c r="E92" s="108">
        <v>45364</v>
      </c>
      <c r="F92" s="109">
        <v>0.49305555555555558</v>
      </c>
      <c r="G92" s="28" t="s">
        <v>1983</v>
      </c>
      <c r="H92" s="124" t="s">
        <v>1904</v>
      </c>
      <c r="I92" s="124"/>
      <c r="J92" s="28" t="s">
        <v>1984</v>
      </c>
      <c r="K92" s="28" t="s">
        <v>20</v>
      </c>
      <c r="L92" s="28" t="s">
        <v>20</v>
      </c>
      <c r="M92" s="28" t="s">
        <v>20</v>
      </c>
      <c r="N92" s="28" t="s">
        <v>20</v>
      </c>
      <c r="O92" s="28" t="s">
        <v>20</v>
      </c>
      <c r="P92" s="28" t="s">
        <v>20</v>
      </c>
      <c r="Q92" s="28" t="s">
        <v>20</v>
      </c>
      <c r="R92" s="28" t="s">
        <v>20</v>
      </c>
    </row>
    <row r="93" spans="2:18" x14ac:dyDescent="0.25">
      <c r="B93" s="28">
        <v>2</v>
      </c>
      <c r="C93" s="28" t="s">
        <v>1789</v>
      </c>
      <c r="D93" s="28" t="s">
        <v>1789</v>
      </c>
      <c r="E93" s="108">
        <v>45370</v>
      </c>
      <c r="F93" s="109">
        <v>0.81805555555555554</v>
      </c>
      <c r="G93" s="28" t="s">
        <v>1985</v>
      </c>
      <c r="H93" s="124" t="s">
        <v>1986</v>
      </c>
      <c r="I93" s="124"/>
      <c r="J93" s="28" t="s">
        <v>1984</v>
      </c>
      <c r="K93" s="28" t="s">
        <v>20</v>
      </c>
      <c r="L93" s="28" t="s">
        <v>20</v>
      </c>
      <c r="M93" s="28" t="s">
        <v>20</v>
      </c>
      <c r="N93" s="28" t="s">
        <v>20</v>
      </c>
      <c r="O93" s="28" t="s">
        <v>20</v>
      </c>
      <c r="P93" s="28" t="s">
        <v>20</v>
      </c>
      <c r="Q93" s="28" t="s">
        <v>20</v>
      </c>
      <c r="R93" s="28" t="s">
        <v>20</v>
      </c>
    </row>
    <row r="94" spans="2:18" x14ac:dyDescent="0.25">
      <c r="B94" s="28">
        <v>1</v>
      </c>
      <c r="C94" s="28" t="s">
        <v>1789</v>
      </c>
      <c r="D94" s="28" t="s">
        <v>1789</v>
      </c>
      <c r="E94" s="108">
        <v>45384</v>
      </c>
      <c r="F94" s="109">
        <v>4.8611111111111112E-2</v>
      </c>
      <c r="G94" s="122" t="s">
        <v>1987</v>
      </c>
      <c r="H94" s="124" t="s">
        <v>406</v>
      </c>
      <c r="I94" s="124"/>
      <c r="J94" s="28" t="s">
        <v>20</v>
      </c>
      <c r="K94" s="28">
        <v>100000</v>
      </c>
      <c r="L94" s="28">
        <v>280002</v>
      </c>
      <c r="M94" s="28" t="s">
        <v>20</v>
      </c>
      <c r="N94" s="28" t="s">
        <v>20</v>
      </c>
      <c r="O94" s="28" t="s">
        <v>20</v>
      </c>
      <c r="P94" s="28" t="s">
        <v>20</v>
      </c>
      <c r="Q94" s="28" t="s">
        <v>20</v>
      </c>
      <c r="R94" s="28" t="s">
        <v>20</v>
      </c>
    </row>
    <row r="95" spans="2:18" x14ac:dyDescent="0.25">
      <c r="B95" s="28">
        <v>2</v>
      </c>
      <c r="C95" s="28" t="s">
        <v>1789</v>
      </c>
      <c r="D95" s="28" t="s">
        <v>1789</v>
      </c>
      <c r="E95" s="123">
        <v>45385</v>
      </c>
      <c r="F95" s="109">
        <v>0.80486111111111114</v>
      </c>
      <c r="G95" s="122" t="s">
        <v>1988</v>
      </c>
      <c r="H95" s="124" t="s">
        <v>1989</v>
      </c>
      <c r="I95" s="124"/>
      <c r="J95" s="122" t="s">
        <v>1990</v>
      </c>
      <c r="K95" s="28">
        <v>5000</v>
      </c>
      <c r="L95" s="28">
        <v>5000000</v>
      </c>
      <c r="M95" s="28" t="s">
        <v>20</v>
      </c>
      <c r="N95" s="28" t="s">
        <v>20</v>
      </c>
      <c r="O95" s="28" t="s">
        <v>20</v>
      </c>
      <c r="P95" s="28" t="s">
        <v>20</v>
      </c>
      <c r="Q95" s="28" t="s">
        <v>20</v>
      </c>
      <c r="R95" s="28" t="s">
        <v>20</v>
      </c>
    </row>
    <row r="96" spans="2:18" x14ac:dyDescent="0.25">
      <c r="B96" s="28">
        <v>3</v>
      </c>
      <c r="C96" s="28" t="s">
        <v>1789</v>
      </c>
      <c r="D96" s="28" t="s">
        <v>1789</v>
      </c>
      <c r="E96" s="123">
        <v>45387</v>
      </c>
      <c r="F96" s="109">
        <v>0.65694444444444444</v>
      </c>
      <c r="G96" s="122" t="s">
        <v>1991</v>
      </c>
      <c r="H96" s="124" t="s">
        <v>385</v>
      </c>
      <c r="I96" s="124"/>
      <c r="J96" s="122" t="s">
        <v>1992</v>
      </c>
      <c r="K96" s="28">
        <v>200000</v>
      </c>
      <c r="L96" s="28">
        <v>800000</v>
      </c>
      <c r="M96" s="28" t="s">
        <v>20</v>
      </c>
      <c r="N96" s="28" t="s">
        <v>20</v>
      </c>
      <c r="O96" s="28" t="s">
        <v>20</v>
      </c>
      <c r="P96" s="28" t="s">
        <v>20</v>
      </c>
      <c r="Q96" s="28" t="s">
        <v>20</v>
      </c>
      <c r="R96" s="28" t="s">
        <v>20</v>
      </c>
    </row>
    <row r="97" spans="2:18" x14ac:dyDescent="0.25">
      <c r="B97" s="28">
        <v>4</v>
      </c>
      <c r="C97" s="28" t="s">
        <v>1789</v>
      </c>
      <c r="D97" s="28" t="s">
        <v>1789</v>
      </c>
      <c r="E97" s="123">
        <v>45388</v>
      </c>
      <c r="F97" s="109">
        <v>0.9194444444444444</v>
      </c>
      <c r="G97" s="122" t="s">
        <v>1993</v>
      </c>
      <c r="H97" s="124" t="s">
        <v>1861</v>
      </c>
      <c r="I97" s="124"/>
      <c r="J97" s="122" t="s">
        <v>1994</v>
      </c>
      <c r="K97" s="28" t="s">
        <v>20</v>
      </c>
      <c r="L97" s="28" t="s">
        <v>20</v>
      </c>
      <c r="M97" s="28" t="s">
        <v>20</v>
      </c>
      <c r="N97" s="28" t="s">
        <v>20</v>
      </c>
      <c r="O97" s="28" t="s">
        <v>20</v>
      </c>
      <c r="P97" s="28" t="s">
        <v>20</v>
      </c>
      <c r="Q97" s="28" t="s">
        <v>20</v>
      </c>
      <c r="R97" s="28" t="s">
        <v>20</v>
      </c>
    </row>
    <row r="98" spans="2:18" x14ac:dyDescent="0.25">
      <c r="B98" s="28">
        <v>5</v>
      </c>
      <c r="C98" s="28" t="s">
        <v>1789</v>
      </c>
      <c r="D98" s="28" t="s">
        <v>1789</v>
      </c>
      <c r="E98" s="123">
        <v>45388</v>
      </c>
      <c r="F98" s="109">
        <v>0.95486111111111116</v>
      </c>
      <c r="G98" s="122" t="s">
        <v>1995</v>
      </c>
      <c r="H98" s="124" t="s">
        <v>385</v>
      </c>
      <c r="I98" s="124"/>
      <c r="J98" s="122" t="s">
        <v>1992</v>
      </c>
      <c r="K98" s="28">
        <v>10000</v>
      </c>
      <c r="L98" s="28">
        <v>1990000</v>
      </c>
      <c r="M98" s="28" t="s">
        <v>20</v>
      </c>
      <c r="N98" s="28" t="s">
        <v>20</v>
      </c>
      <c r="O98" s="28" t="s">
        <v>20</v>
      </c>
      <c r="P98" s="28" t="s">
        <v>20</v>
      </c>
      <c r="Q98" s="28" t="s">
        <v>20</v>
      </c>
      <c r="R98" s="28" t="s">
        <v>20</v>
      </c>
    </row>
    <row r="99" spans="2:18" x14ac:dyDescent="0.25">
      <c r="B99" s="28">
        <v>6</v>
      </c>
      <c r="C99" s="28" t="s">
        <v>1789</v>
      </c>
      <c r="D99" s="28" t="s">
        <v>1789</v>
      </c>
      <c r="E99" s="123">
        <v>45389</v>
      </c>
      <c r="F99" s="109">
        <v>0.13263888888888889</v>
      </c>
      <c r="G99" s="122" t="s">
        <v>1996</v>
      </c>
      <c r="H99" s="124" t="s">
        <v>385</v>
      </c>
      <c r="I99" s="124"/>
      <c r="J99" s="122" t="s">
        <v>1997</v>
      </c>
      <c r="K99" s="28">
        <v>2000</v>
      </c>
      <c r="L99" s="28">
        <v>18000</v>
      </c>
      <c r="M99" s="28" t="s">
        <v>20</v>
      </c>
      <c r="N99" s="28" t="s">
        <v>20</v>
      </c>
      <c r="O99" s="28" t="s">
        <v>20</v>
      </c>
      <c r="P99" s="28" t="s">
        <v>20</v>
      </c>
      <c r="Q99" s="28" t="s">
        <v>20</v>
      </c>
      <c r="R99" s="28" t="s">
        <v>20</v>
      </c>
    </row>
    <row r="100" spans="2:18" x14ac:dyDescent="0.25">
      <c r="B100" s="28">
        <v>7</v>
      </c>
      <c r="C100" s="28" t="s">
        <v>1789</v>
      </c>
      <c r="D100" s="28" t="s">
        <v>1789</v>
      </c>
      <c r="E100" s="123">
        <v>45389</v>
      </c>
      <c r="F100" s="109">
        <v>0.76736111111111116</v>
      </c>
      <c r="G100" s="122" t="s">
        <v>1998</v>
      </c>
      <c r="H100" s="124" t="s">
        <v>385</v>
      </c>
      <c r="I100" s="124"/>
      <c r="J100" s="122" t="s">
        <v>1999</v>
      </c>
      <c r="K100" s="28">
        <v>500000</v>
      </c>
      <c r="L100" s="28">
        <v>1500000</v>
      </c>
      <c r="M100" s="28" t="s">
        <v>20</v>
      </c>
      <c r="N100" s="28" t="s">
        <v>20</v>
      </c>
      <c r="O100" s="28" t="s">
        <v>20</v>
      </c>
      <c r="P100" s="28" t="s">
        <v>20</v>
      </c>
      <c r="Q100" s="28" t="s">
        <v>20</v>
      </c>
      <c r="R100" s="28" t="s">
        <v>20</v>
      </c>
    </row>
    <row r="101" spans="2:18" x14ac:dyDescent="0.25">
      <c r="B101" s="28">
        <v>8</v>
      </c>
      <c r="C101" s="28" t="s">
        <v>1789</v>
      </c>
      <c r="D101" s="28" t="s">
        <v>1789</v>
      </c>
      <c r="E101" s="123">
        <v>45390</v>
      </c>
      <c r="F101" s="109">
        <v>0.66388888888888886</v>
      </c>
      <c r="G101" s="122" t="s">
        <v>2000</v>
      </c>
      <c r="H101" s="124" t="s">
        <v>1904</v>
      </c>
      <c r="I101" s="124"/>
      <c r="J101" s="122" t="s">
        <v>340</v>
      </c>
      <c r="K101" s="28" t="s">
        <v>20</v>
      </c>
      <c r="L101" s="28" t="s">
        <v>20</v>
      </c>
      <c r="M101" s="28" t="s">
        <v>20</v>
      </c>
      <c r="N101" s="28" t="s">
        <v>20</v>
      </c>
      <c r="O101" s="28" t="s">
        <v>20</v>
      </c>
      <c r="P101" s="28" t="s">
        <v>20</v>
      </c>
      <c r="Q101" s="28" t="s">
        <v>20</v>
      </c>
      <c r="R101" s="28" t="s">
        <v>20</v>
      </c>
    </row>
    <row r="102" spans="2:18" x14ac:dyDescent="0.25">
      <c r="B102" s="28">
        <v>9</v>
      </c>
      <c r="C102" s="28" t="s">
        <v>1789</v>
      </c>
      <c r="D102" s="28" t="s">
        <v>1789</v>
      </c>
      <c r="E102" s="123">
        <v>45391</v>
      </c>
      <c r="F102" s="109">
        <v>0.18958333333333333</v>
      </c>
      <c r="G102" s="122" t="s">
        <v>2001</v>
      </c>
      <c r="H102" s="124" t="s">
        <v>385</v>
      </c>
      <c r="I102" s="124"/>
      <c r="J102" s="122" t="s">
        <v>2002</v>
      </c>
      <c r="K102" s="28">
        <v>800000</v>
      </c>
      <c r="L102" s="28">
        <v>1200000</v>
      </c>
      <c r="M102" s="28" t="s">
        <v>20</v>
      </c>
      <c r="N102" s="28" t="s">
        <v>20</v>
      </c>
      <c r="O102" s="28" t="s">
        <v>20</v>
      </c>
      <c r="P102" s="28" t="s">
        <v>20</v>
      </c>
      <c r="Q102" s="28" t="s">
        <v>20</v>
      </c>
      <c r="R102" s="28" t="s">
        <v>20</v>
      </c>
    </row>
    <row r="103" spans="2:18" x14ac:dyDescent="0.25">
      <c r="B103" s="28">
        <v>10</v>
      </c>
      <c r="C103" s="28" t="s">
        <v>1789</v>
      </c>
      <c r="D103" s="28" t="s">
        <v>1789</v>
      </c>
      <c r="E103" s="123">
        <v>45391</v>
      </c>
      <c r="F103" s="109">
        <v>0.50972222222222219</v>
      </c>
      <c r="G103" s="122" t="s">
        <v>2003</v>
      </c>
      <c r="H103" s="124" t="s">
        <v>1904</v>
      </c>
      <c r="I103" s="124"/>
      <c r="J103" s="122" t="s">
        <v>2004</v>
      </c>
      <c r="K103" s="28">
        <v>0</v>
      </c>
      <c r="L103" s="28">
        <v>100000</v>
      </c>
      <c r="M103" s="28" t="s">
        <v>20</v>
      </c>
      <c r="N103" s="28" t="s">
        <v>20</v>
      </c>
      <c r="O103" s="28" t="s">
        <v>20</v>
      </c>
      <c r="P103" s="28" t="s">
        <v>20</v>
      </c>
      <c r="Q103" s="28" t="s">
        <v>20</v>
      </c>
      <c r="R103" s="28" t="s">
        <v>20</v>
      </c>
    </row>
    <row r="104" spans="2:18" x14ac:dyDescent="0.25">
      <c r="B104" s="28">
        <v>11</v>
      </c>
      <c r="C104" s="28" t="s">
        <v>1789</v>
      </c>
      <c r="D104" s="28" t="s">
        <v>1789</v>
      </c>
      <c r="E104" s="123">
        <v>45392</v>
      </c>
      <c r="F104" s="109">
        <v>0.80347222222222225</v>
      </c>
      <c r="G104" s="122" t="s">
        <v>2005</v>
      </c>
      <c r="H104" s="124" t="s">
        <v>385</v>
      </c>
      <c r="I104" s="124"/>
      <c r="J104" s="122" t="s">
        <v>1992</v>
      </c>
      <c r="K104" s="28">
        <v>200000</v>
      </c>
      <c r="L104" s="28">
        <v>4800000</v>
      </c>
      <c r="M104" s="28"/>
      <c r="N104" s="28"/>
      <c r="O104" s="28"/>
      <c r="P104" s="28"/>
      <c r="Q104" s="28"/>
      <c r="R104" s="28"/>
    </row>
    <row r="105" spans="2:18" ht="39" x14ac:dyDescent="0.25">
      <c r="B105" s="28">
        <v>12</v>
      </c>
      <c r="C105" s="28" t="s">
        <v>1789</v>
      </c>
      <c r="D105" s="28" t="s">
        <v>1789</v>
      </c>
      <c r="E105" s="123">
        <v>45393</v>
      </c>
      <c r="F105" s="109">
        <v>0.3840277777777778</v>
      </c>
      <c r="G105" s="122" t="s">
        <v>2006</v>
      </c>
      <c r="H105" s="124" t="s">
        <v>20</v>
      </c>
      <c r="I105" s="124"/>
      <c r="J105" s="122" t="s">
        <v>2007</v>
      </c>
      <c r="K105" s="28" t="s">
        <v>20</v>
      </c>
      <c r="L105" s="28" t="s">
        <v>20</v>
      </c>
      <c r="M105" s="28" t="s">
        <v>20</v>
      </c>
      <c r="N105" s="28" t="s">
        <v>20</v>
      </c>
      <c r="O105" s="28" t="s">
        <v>20</v>
      </c>
      <c r="P105" s="28" t="s">
        <v>20</v>
      </c>
      <c r="Q105" s="28" t="s">
        <v>20</v>
      </c>
      <c r="R105" s="28" t="s">
        <v>20</v>
      </c>
    </row>
    <row r="106" spans="2:18" ht="39" x14ac:dyDescent="0.25">
      <c r="B106" s="28">
        <v>13</v>
      </c>
      <c r="C106" s="28" t="s">
        <v>1789</v>
      </c>
      <c r="D106" s="28" t="s">
        <v>1789</v>
      </c>
      <c r="E106" s="123">
        <v>45393</v>
      </c>
      <c r="F106" s="109">
        <v>0.4375</v>
      </c>
      <c r="G106" s="122" t="s">
        <v>2008</v>
      </c>
      <c r="H106" s="124" t="s">
        <v>20</v>
      </c>
      <c r="I106" s="124"/>
      <c r="J106" s="122" t="s">
        <v>2007</v>
      </c>
      <c r="K106" s="28" t="s">
        <v>20</v>
      </c>
      <c r="L106" s="28" t="s">
        <v>20</v>
      </c>
      <c r="M106" s="28" t="s">
        <v>20</v>
      </c>
      <c r="N106" s="28" t="s">
        <v>20</v>
      </c>
      <c r="O106" s="28" t="s">
        <v>20</v>
      </c>
      <c r="P106" s="28" t="s">
        <v>20</v>
      </c>
      <c r="Q106" s="28" t="s">
        <v>20</v>
      </c>
      <c r="R106" s="28" t="s">
        <v>20</v>
      </c>
    </row>
    <row r="107" spans="2:18" x14ac:dyDescent="0.25">
      <c r="B107" s="28">
        <v>14</v>
      </c>
      <c r="C107" s="28" t="s">
        <v>1789</v>
      </c>
      <c r="D107" s="28" t="s">
        <v>1789</v>
      </c>
      <c r="E107" s="123">
        <v>45394</v>
      </c>
      <c r="F107" s="109">
        <v>0.76458333333333328</v>
      </c>
      <c r="G107" s="122" t="s">
        <v>2009</v>
      </c>
      <c r="H107" s="124" t="s">
        <v>2010</v>
      </c>
      <c r="I107" s="124"/>
      <c r="J107" s="122" t="s">
        <v>2011</v>
      </c>
      <c r="K107" s="28">
        <v>600000</v>
      </c>
      <c r="L107" s="28">
        <v>100000</v>
      </c>
      <c r="M107" s="28" t="s">
        <v>20</v>
      </c>
      <c r="N107" s="28" t="s">
        <v>20</v>
      </c>
      <c r="O107" s="28" t="s">
        <v>20</v>
      </c>
      <c r="P107" s="28" t="s">
        <v>20</v>
      </c>
      <c r="Q107" s="28" t="s">
        <v>20</v>
      </c>
      <c r="R107" s="28" t="s">
        <v>20</v>
      </c>
    </row>
    <row r="108" spans="2:18" x14ac:dyDescent="0.25">
      <c r="B108" s="28">
        <v>15</v>
      </c>
      <c r="C108" s="28" t="s">
        <v>1789</v>
      </c>
      <c r="D108" s="28" t="s">
        <v>1789</v>
      </c>
      <c r="E108" s="122" t="s">
        <v>888</v>
      </c>
      <c r="F108" s="109">
        <v>0.78125</v>
      </c>
      <c r="G108" s="122" t="s">
        <v>2012</v>
      </c>
      <c r="H108" s="124" t="s">
        <v>1904</v>
      </c>
      <c r="I108" s="124"/>
      <c r="J108" s="122" t="s">
        <v>2013</v>
      </c>
      <c r="K108" s="28">
        <v>6000</v>
      </c>
      <c r="L108" s="28">
        <v>64000</v>
      </c>
      <c r="M108" s="28" t="s">
        <v>20</v>
      </c>
      <c r="N108" s="28" t="s">
        <v>20</v>
      </c>
      <c r="O108" s="28" t="s">
        <v>20</v>
      </c>
      <c r="P108" s="28" t="s">
        <v>20</v>
      </c>
      <c r="Q108" s="28" t="s">
        <v>20</v>
      </c>
      <c r="R108" s="28" t="s">
        <v>20</v>
      </c>
    </row>
    <row r="109" spans="2:18" x14ac:dyDescent="0.25">
      <c r="B109" s="28">
        <v>16</v>
      </c>
      <c r="C109" s="28" t="s">
        <v>1789</v>
      </c>
      <c r="D109" s="28" t="s">
        <v>1789</v>
      </c>
      <c r="E109" s="110">
        <v>45394</v>
      </c>
      <c r="F109" s="109">
        <v>0.8520833333333333</v>
      </c>
      <c r="G109" s="28" t="s">
        <v>2014</v>
      </c>
      <c r="H109" s="124" t="s">
        <v>20</v>
      </c>
      <c r="I109" s="124"/>
      <c r="J109" s="28" t="s">
        <v>2007</v>
      </c>
      <c r="K109" s="28" t="s">
        <v>20</v>
      </c>
      <c r="L109" s="28" t="s">
        <v>20</v>
      </c>
      <c r="M109" s="28" t="s">
        <v>20</v>
      </c>
      <c r="N109" s="28" t="s">
        <v>20</v>
      </c>
      <c r="O109" s="28" t="s">
        <v>20</v>
      </c>
      <c r="P109" s="28" t="s">
        <v>20</v>
      </c>
      <c r="Q109" s="28" t="s">
        <v>20</v>
      </c>
      <c r="R109" s="28" t="s">
        <v>20</v>
      </c>
    </row>
    <row r="110" spans="2:18" ht="39" x14ac:dyDescent="0.25">
      <c r="B110" s="28">
        <v>17</v>
      </c>
      <c r="C110" s="28" t="s">
        <v>1789</v>
      </c>
      <c r="D110" s="28" t="s">
        <v>1789</v>
      </c>
      <c r="E110" s="108">
        <v>45395</v>
      </c>
      <c r="F110" s="109">
        <v>0.58680555555555558</v>
      </c>
      <c r="G110" s="28" t="s">
        <v>2015</v>
      </c>
      <c r="H110" s="124" t="s">
        <v>385</v>
      </c>
      <c r="I110" s="124"/>
      <c r="J110" s="28" t="s">
        <v>1971</v>
      </c>
      <c r="K110" s="28">
        <v>500000</v>
      </c>
      <c r="L110" s="28">
        <v>4500000</v>
      </c>
      <c r="M110" s="28" t="s">
        <v>20</v>
      </c>
      <c r="N110" s="28" t="s">
        <v>20</v>
      </c>
      <c r="O110" s="28" t="s">
        <v>20</v>
      </c>
      <c r="P110" s="28" t="s">
        <v>20</v>
      </c>
      <c r="Q110" s="28" t="s">
        <v>20</v>
      </c>
      <c r="R110" s="28" t="s">
        <v>20</v>
      </c>
    </row>
    <row r="111" spans="2:18" x14ac:dyDescent="0.25">
      <c r="B111" s="28">
        <v>18</v>
      </c>
      <c r="C111" s="28" t="s">
        <v>1789</v>
      </c>
      <c r="D111" s="28" t="s">
        <v>1789</v>
      </c>
      <c r="E111" s="108">
        <v>45395</v>
      </c>
      <c r="F111" s="109">
        <v>0.9916666666666667</v>
      </c>
      <c r="G111" s="122" t="s">
        <v>2016</v>
      </c>
      <c r="H111" s="124" t="s">
        <v>1904</v>
      </c>
      <c r="I111" s="124"/>
      <c r="J111" s="28" t="s">
        <v>2017</v>
      </c>
      <c r="K111" s="28" t="s">
        <v>20</v>
      </c>
      <c r="L111" s="28" t="s">
        <v>20</v>
      </c>
      <c r="M111" s="28" t="s">
        <v>20</v>
      </c>
      <c r="N111" s="28" t="s">
        <v>20</v>
      </c>
      <c r="O111" s="28" t="s">
        <v>20</v>
      </c>
      <c r="P111" s="28" t="s">
        <v>20</v>
      </c>
      <c r="Q111" s="28" t="s">
        <v>20</v>
      </c>
      <c r="R111" s="28" t="s">
        <v>20</v>
      </c>
    </row>
    <row r="112" spans="2:18" x14ac:dyDescent="0.25">
      <c r="B112" s="28">
        <v>19</v>
      </c>
      <c r="C112" s="28" t="s">
        <v>1789</v>
      </c>
      <c r="D112" s="28" t="s">
        <v>1789</v>
      </c>
      <c r="E112" s="108">
        <v>45397</v>
      </c>
      <c r="F112" s="109">
        <v>0.33194444444444443</v>
      </c>
      <c r="G112" s="26" t="s">
        <v>2016</v>
      </c>
      <c r="H112" s="124" t="s">
        <v>1904</v>
      </c>
      <c r="I112" s="124"/>
      <c r="J112" s="28" t="s">
        <v>2017</v>
      </c>
      <c r="K112" s="28" t="s">
        <v>20</v>
      </c>
      <c r="L112" s="28" t="s">
        <v>20</v>
      </c>
      <c r="M112" s="28" t="s">
        <v>20</v>
      </c>
      <c r="N112" s="28" t="s">
        <v>20</v>
      </c>
      <c r="O112" s="28" t="s">
        <v>20</v>
      </c>
      <c r="P112" s="28" t="s">
        <v>20</v>
      </c>
      <c r="Q112" s="28" t="s">
        <v>20</v>
      </c>
      <c r="R112" s="28" t="s">
        <v>20</v>
      </c>
    </row>
    <row r="113" spans="2:18" x14ac:dyDescent="0.25">
      <c r="B113" s="28">
        <v>20</v>
      </c>
      <c r="C113" s="28" t="s">
        <v>1789</v>
      </c>
      <c r="D113" s="28" t="s">
        <v>1789</v>
      </c>
      <c r="E113" s="108">
        <v>45398</v>
      </c>
      <c r="F113" s="109">
        <v>1.8055555555555554E-2</v>
      </c>
      <c r="G113" s="26" t="s">
        <v>2018</v>
      </c>
      <c r="H113" s="124" t="s">
        <v>1904</v>
      </c>
      <c r="I113" s="124"/>
      <c r="J113" s="28" t="s">
        <v>2019</v>
      </c>
      <c r="K113" s="28" t="s">
        <v>20</v>
      </c>
      <c r="L113" s="28" t="s">
        <v>20</v>
      </c>
      <c r="M113" s="28" t="s">
        <v>20</v>
      </c>
      <c r="N113" s="28" t="s">
        <v>20</v>
      </c>
      <c r="O113" s="28" t="s">
        <v>20</v>
      </c>
      <c r="P113" s="28" t="s">
        <v>20</v>
      </c>
      <c r="Q113" s="28" t="s">
        <v>20</v>
      </c>
      <c r="R113" s="28" t="s">
        <v>20</v>
      </c>
    </row>
    <row r="114" spans="2:18" ht="39" x14ac:dyDescent="0.25">
      <c r="B114" s="28">
        <v>21</v>
      </c>
      <c r="C114" s="28" t="s">
        <v>1789</v>
      </c>
      <c r="D114" s="28" t="s">
        <v>1789</v>
      </c>
      <c r="E114" s="108">
        <v>45398</v>
      </c>
      <c r="F114" s="109">
        <v>0.3888888888888889</v>
      </c>
      <c r="G114" s="26" t="s">
        <v>2020</v>
      </c>
      <c r="H114" s="124" t="s">
        <v>385</v>
      </c>
      <c r="I114" s="124"/>
      <c r="J114" s="26" t="s">
        <v>1992</v>
      </c>
      <c r="K114" s="28">
        <v>500000</v>
      </c>
      <c r="L114" s="28">
        <v>4500000</v>
      </c>
      <c r="M114" s="28" t="s">
        <v>20</v>
      </c>
      <c r="N114" s="28" t="s">
        <v>20</v>
      </c>
      <c r="O114" s="28" t="s">
        <v>20</v>
      </c>
      <c r="P114" s="28" t="s">
        <v>20</v>
      </c>
      <c r="Q114" s="28" t="s">
        <v>20</v>
      </c>
      <c r="R114" s="28" t="s">
        <v>20</v>
      </c>
    </row>
    <row r="115" spans="2:18" ht="39" x14ac:dyDescent="0.25">
      <c r="B115" s="28">
        <v>22</v>
      </c>
      <c r="C115" s="28" t="s">
        <v>1789</v>
      </c>
      <c r="D115" s="28" t="s">
        <v>1789</v>
      </c>
      <c r="E115" s="28" t="s">
        <v>902</v>
      </c>
      <c r="F115" s="109">
        <v>0.39513888888888887</v>
      </c>
      <c r="G115" s="26" t="s">
        <v>2021</v>
      </c>
      <c r="H115" s="124" t="s">
        <v>1904</v>
      </c>
      <c r="I115" s="124"/>
      <c r="J115" s="28" t="s">
        <v>2017</v>
      </c>
      <c r="K115" s="28" t="s">
        <v>20</v>
      </c>
      <c r="L115" s="28" t="s">
        <v>20</v>
      </c>
      <c r="M115" s="28" t="s">
        <v>20</v>
      </c>
      <c r="N115" s="28" t="s">
        <v>20</v>
      </c>
      <c r="O115" s="28" t="s">
        <v>20</v>
      </c>
      <c r="P115" s="28" t="s">
        <v>20</v>
      </c>
      <c r="Q115" s="28" t="s">
        <v>20</v>
      </c>
      <c r="R115" s="28" t="s">
        <v>20</v>
      </c>
    </row>
    <row r="116" spans="2:18" ht="39" x14ac:dyDescent="0.25">
      <c r="B116" s="28">
        <v>23</v>
      </c>
      <c r="C116" s="28" t="s">
        <v>1789</v>
      </c>
      <c r="D116" s="28" t="s">
        <v>1789</v>
      </c>
      <c r="E116" s="108">
        <v>45398</v>
      </c>
      <c r="F116" s="109">
        <v>0.64722222222222225</v>
      </c>
      <c r="G116" s="26" t="s">
        <v>2022</v>
      </c>
      <c r="H116" s="124" t="s">
        <v>1904</v>
      </c>
      <c r="I116" s="124"/>
      <c r="J116" s="28" t="s">
        <v>2023</v>
      </c>
      <c r="K116" s="28" t="s">
        <v>20</v>
      </c>
      <c r="L116" s="28" t="s">
        <v>20</v>
      </c>
      <c r="M116" s="28" t="s">
        <v>20</v>
      </c>
      <c r="N116" s="28" t="s">
        <v>20</v>
      </c>
      <c r="O116" s="28" t="s">
        <v>20</v>
      </c>
      <c r="P116" s="28" t="s">
        <v>20</v>
      </c>
      <c r="Q116" s="28" t="s">
        <v>20</v>
      </c>
      <c r="R116" s="28" t="s">
        <v>20</v>
      </c>
    </row>
    <row r="117" spans="2:18" ht="39" x14ac:dyDescent="0.25">
      <c r="B117" s="28">
        <v>24</v>
      </c>
      <c r="C117" s="28" t="s">
        <v>1789</v>
      </c>
      <c r="D117" s="28" t="s">
        <v>1789</v>
      </c>
      <c r="E117" s="123">
        <v>45398</v>
      </c>
      <c r="F117" s="109">
        <v>0.72777777777777775</v>
      </c>
      <c r="G117" s="26" t="s">
        <v>2024</v>
      </c>
      <c r="H117" s="124" t="s">
        <v>20</v>
      </c>
      <c r="I117" s="124"/>
      <c r="J117" s="28" t="s">
        <v>2007</v>
      </c>
      <c r="K117" s="28"/>
      <c r="L117" s="28"/>
      <c r="M117" s="28" t="s">
        <v>20</v>
      </c>
      <c r="N117" s="28" t="s">
        <v>20</v>
      </c>
      <c r="O117" s="28" t="s">
        <v>20</v>
      </c>
      <c r="P117" s="28" t="s">
        <v>20</v>
      </c>
      <c r="Q117" s="28" t="s">
        <v>20</v>
      </c>
      <c r="R117" s="28" t="s">
        <v>20</v>
      </c>
    </row>
    <row r="118" spans="2:18" x14ac:dyDescent="0.25">
      <c r="B118" s="28">
        <v>25</v>
      </c>
      <c r="C118" s="28" t="s">
        <v>1789</v>
      </c>
      <c r="D118" s="28" t="s">
        <v>1789</v>
      </c>
      <c r="E118" s="123">
        <v>45398</v>
      </c>
      <c r="F118" s="109">
        <v>0.93055555555555558</v>
      </c>
      <c r="G118" s="26" t="s">
        <v>2025</v>
      </c>
      <c r="H118" s="124" t="s">
        <v>406</v>
      </c>
      <c r="I118" s="124"/>
      <c r="J118" s="28" t="s">
        <v>2026</v>
      </c>
      <c r="K118" s="28">
        <v>20000</v>
      </c>
      <c r="L118" s="28">
        <v>70000</v>
      </c>
      <c r="M118" s="28" t="s">
        <v>20</v>
      </c>
      <c r="N118" s="28" t="s">
        <v>20</v>
      </c>
      <c r="O118" s="28" t="s">
        <v>20</v>
      </c>
      <c r="P118" s="28" t="s">
        <v>20</v>
      </c>
      <c r="Q118" s="28" t="s">
        <v>20</v>
      </c>
      <c r="R118" s="28" t="s">
        <v>20</v>
      </c>
    </row>
    <row r="119" spans="2:18" ht="39" x14ac:dyDescent="0.25">
      <c r="B119" s="28">
        <v>26</v>
      </c>
      <c r="C119" s="28" t="s">
        <v>1789</v>
      </c>
      <c r="D119" s="28" t="s">
        <v>1789</v>
      </c>
      <c r="E119" s="123">
        <v>45399</v>
      </c>
      <c r="F119" s="109">
        <v>4.3749999999999997E-2</v>
      </c>
      <c r="G119" s="26" t="s">
        <v>2027</v>
      </c>
      <c r="H119" s="124" t="s">
        <v>1904</v>
      </c>
      <c r="I119" s="124"/>
      <c r="J119" s="28" t="s">
        <v>2028</v>
      </c>
      <c r="K119" s="28">
        <v>10000</v>
      </c>
      <c r="L119" s="28">
        <v>90000</v>
      </c>
      <c r="M119" s="28" t="s">
        <v>20</v>
      </c>
      <c r="N119" s="28" t="s">
        <v>20</v>
      </c>
      <c r="O119" s="28" t="s">
        <v>20</v>
      </c>
      <c r="P119" s="28" t="s">
        <v>20</v>
      </c>
      <c r="Q119" s="28" t="s">
        <v>20</v>
      </c>
      <c r="R119" s="28" t="s">
        <v>20</v>
      </c>
    </row>
    <row r="120" spans="2:18" ht="39" x14ac:dyDescent="0.25">
      <c r="B120" s="28">
        <v>27</v>
      </c>
      <c r="C120" s="28" t="s">
        <v>1789</v>
      </c>
      <c r="D120" s="28" t="s">
        <v>1789</v>
      </c>
      <c r="E120" s="123">
        <v>45399</v>
      </c>
      <c r="F120" s="109">
        <v>0.15</v>
      </c>
      <c r="G120" s="26" t="s">
        <v>2029</v>
      </c>
      <c r="H120" s="124" t="s">
        <v>385</v>
      </c>
      <c r="I120" s="124"/>
      <c r="J120" s="28" t="s">
        <v>2030</v>
      </c>
      <c r="K120" s="28">
        <v>500000</v>
      </c>
      <c r="L120" s="28">
        <v>4500000</v>
      </c>
      <c r="M120" s="28" t="s">
        <v>20</v>
      </c>
      <c r="N120" s="28" t="s">
        <v>20</v>
      </c>
      <c r="O120" s="28" t="s">
        <v>20</v>
      </c>
      <c r="P120" s="28" t="s">
        <v>20</v>
      </c>
      <c r="Q120" s="28" t="s">
        <v>20</v>
      </c>
      <c r="R120" s="28" t="s">
        <v>20</v>
      </c>
    </row>
    <row r="121" spans="2:18" x14ac:dyDescent="0.25">
      <c r="B121" s="28">
        <v>28</v>
      </c>
      <c r="C121" s="28" t="s">
        <v>1789</v>
      </c>
      <c r="D121" s="28" t="s">
        <v>1789</v>
      </c>
      <c r="E121" s="123">
        <v>45399</v>
      </c>
      <c r="F121" s="109">
        <v>0.58750000000000002</v>
      </c>
      <c r="G121" s="26" t="s">
        <v>2031</v>
      </c>
      <c r="H121" s="124" t="s">
        <v>1904</v>
      </c>
      <c r="I121" s="124"/>
      <c r="J121" s="28" t="s">
        <v>2032</v>
      </c>
      <c r="K121" s="28" t="s">
        <v>20</v>
      </c>
      <c r="L121" s="28" t="s">
        <v>20</v>
      </c>
      <c r="M121" s="28" t="s">
        <v>20</v>
      </c>
      <c r="N121" s="28" t="s">
        <v>20</v>
      </c>
      <c r="O121" s="28" t="s">
        <v>20</v>
      </c>
      <c r="P121" s="28" t="s">
        <v>20</v>
      </c>
      <c r="Q121" s="28" t="s">
        <v>20</v>
      </c>
      <c r="R121" s="28" t="s">
        <v>20</v>
      </c>
    </row>
    <row r="122" spans="2:18" ht="39" x14ac:dyDescent="0.25">
      <c r="B122" s="26">
        <v>29</v>
      </c>
      <c r="C122" s="28" t="s">
        <v>1789</v>
      </c>
      <c r="D122" s="28" t="s">
        <v>1789</v>
      </c>
      <c r="E122" s="123">
        <v>45399</v>
      </c>
      <c r="F122" s="109">
        <v>0.95138888888888884</v>
      </c>
      <c r="G122" s="26" t="s">
        <v>2033</v>
      </c>
      <c r="H122" s="124" t="s">
        <v>2007</v>
      </c>
      <c r="I122" s="124"/>
      <c r="J122" s="28" t="s">
        <v>1999</v>
      </c>
      <c r="K122" s="28" t="s">
        <v>20</v>
      </c>
      <c r="L122" s="28" t="s">
        <v>20</v>
      </c>
      <c r="M122" s="28" t="s">
        <v>20</v>
      </c>
      <c r="N122" s="28" t="s">
        <v>20</v>
      </c>
      <c r="O122" s="28" t="s">
        <v>20</v>
      </c>
      <c r="P122" s="28" t="s">
        <v>20</v>
      </c>
      <c r="Q122" s="28" t="s">
        <v>20</v>
      </c>
      <c r="R122" s="28" t="s">
        <v>20</v>
      </c>
    </row>
    <row r="123" spans="2:18" ht="39" x14ac:dyDescent="0.25">
      <c r="B123" s="28">
        <v>30</v>
      </c>
      <c r="C123" s="28" t="s">
        <v>1789</v>
      </c>
      <c r="D123" s="28" t="s">
        <v>1789</v>
      </c>
      <c r="E123" s="123">
        <v>45400</v>
      </c>
      <c r="F123" s="109">
        <v>0.44583333333333336</v>
      </c>
      <c r="G123" s="26" t="s">
        <v>2034</v>
      </c>
      <c r="H123" s="124" t="s">
        <v>1904</v>
      </c>
      <c r="I123" s="124"/>
      <c r="J123" s="28" t="s">
        <v>2035</v>
      </c>
      <c r="K123" s="28" t="s">
        <v>20</v>
      </c>
      <c r="L123" s="28" t="s">
        <v>20</v>
      </c>
      <c r="M123" s="28" t="s">
        <v>20</v>
      </c>
      <c r="N123" s="28" t="s">
        <v>20</v>
      </c>
      <c r="O123" s="28" t="s">
        <v>20</v>
      </c>
      <c r="P123" s="28" t="s">
        <v>20</v>
      </c>
      <c r="Q123" s="28" t="s">
        <v>20</v>
      </c>
      <c r="R123" s="28" t="s">
        <v>20</v>
      </c>
    </row>
    <row r="124" spans="2:18" ht="39" x14ac:dyDescent="0.25">
      <c r="B124" s="28">
        <v>31</v>
      </c>
      <c r="C124" s="28" t="s">
        <v>1789</v>
      </c>
      <c r="D124" s="28" t="s">
        <v>1789</v>
      </c>
      <c r="E124" s="123">
        <v>45400</v>
      </c>
      <c r="F124" s="109">
        <v>0.46180555555555558</v>
      </c>
      <c r="G124" s="26" t="s">
        <v>2036</v>
      </c>
      <c r="H124" s="124" t="s">
        <v>2007</v>
      </c>
      <c r="I124" s="124"/>
      <c r="J124" s="28"/>
      <c r="K124" s="28"/>
      <c r="L124" s="28"/>
      <c r="M124" s="28"/>
      <c r="N124" s="28"/>
      <c r="O124" s="28"/>
      <c r="P124" s="28"/>
      <c r="Q124" s="28"/>
      <c r="R124" s="28"/>
    </row>
    <row r="125" spans="2:18" x14ac:dyDescent="0.25">
      <c r="B125" s="28">
        <v>32</v>
      </c>
      <c r="C125" s="28" t="s">
        <v>1789</v>
      </c>
      <c r="D125" s="28" t="s">
        <v>1789</v>
      </c>
      <c r="E125" s="123">
        <v>45400</v>
      </c>
      <c r="F125" s="109">
        <v>0.51041666666666663</v>
      </c>
      <c r="G125" s="26" t="s">
        <v>2037</v>
      </c>
      <c r="H125" s="124" t="s">
        <v>1904</v>
      </c>
      <c r="I125" s="124"/>
      <c r="J125" s="28" t="s">
        <v>1915</v>
      </c>
      <c r="K125" s="28" t="s">
        <v>20</v>
      </c>
      <c r="L125" s="28" t="s">
        <v>20</v>
      </c>
      <c r="M125" s="28" t="s">
        <v>20</v>
      </c>
      <c r="N125" s="28" t="s">
        <v>20</v>
      </c>
      <c r="O125" s="28" t="s">
        <v>20</v>
      </c>
      <c r="P125" s="28" t="s">
        <v>20</v>
      </c>
      <c r="Q125" s="28" t="s">
        <v>20</v>
      </c>
      <c r="R125" s="28" t="s">
        <v>20</v>
      </c>
    </row>
    <row r="126" spans="2:18" x14ac:dyDescent="0.25">
      <c r="B126" s="28">
        <v>33</v>
      </c>
      <c r="C126" s="28" t="s">
        <v>1789</v>
      </c>
      <c r="D126" s="28" t="s">
        <v>1789</v>
      </c>
      <c r="E126" s="123">
        <v>45401</v>
      </c>
      <c r="F126" s="109">
        <v>0.68541666666666667</v>
      </c>
      <c r="G126" s="26" t="s">
        <v>2038</v>
      </c>
      <c r="H126" s="124" t="s">
        <v>1904</v>
      </c>
      <c r="I126" s="124"/>
      <c r="J126" s="28" t="s">
        <v>2039</v>
      </c>
      <c r="K126" s="28" t="s">
        <v>20</v>
      </c>
      <c r="L126" s="28" t="s">
        <v>20</v>
      </c>
      <c r="M126" s="28" t="s">
        <v>20</v>
      </c>
      <c r="N126" s="28" t="s">
        <v>20</v>
      </c>
      <c r="O126" s="28" t="s">
        <v>20</v>
      </c>
      <c r="P126" s="28" t="s">
        <v>20</v>
      </c>
      <c r="Q126" s="28" t="s">
        <v>20</v>
      </c>
      <c r="R126" s="28" t="s">
        <v>20</v>
      </c>
    </row>
    <row r="127" spans="2:18" ht="39" x14ac:dyDescent="0.25">
      <c r="B127" s="28">
        <v>34</v>
      </c>
      <c r="C127" s="28" t="s">
        <v>1789</v>
      </c>
      <c r="D127" s="28" t="s">
        <v>1789</v>
      </c>
      <c r="E127" s="123">
        <v>45401</v>
      </c>
      <c r="F127" s="109">
        <v>0.90763888888888888</v>
      </c>
      <c r="G127" s="26" t="s">
        <v>2040</v>
      </c>
      <c r="H127" s="124" t="s">
        <v>2007</v>
      </c>
      <c r="I127" s="124"/>
      <c r="J127" s="28" t="s">
        <v>2041</v>
      </c>
      <c r="K127" s="28" t="s">
        <v>20</v>
      </c>
      <c r="L127" s="28" t="s">
        <v>20</v>
      </c>
      <c r="M127" s="28" t="s">
        <v>20</v>
      </c>
      <c r="N127" s="28" t="s">
        <v>20</v>
      </c>
      <c r="O127" s="28" t="s">
        <v>20</v>
      </c>
      <c r="P127" s="28" t="s">
        <v>20</v>
      </c>
      <c r="Q127" s="28" t="s">
        <v>20</v>
      </c>
      <c r="R127" s="28" t="s">
        <v>20</v>
      </c>
    </row>
    <row r="128" spans="2:18" x14ac:dyDescent="0.25">
      <c r="B128" s="28">
        <v>35</v>
      </c>
      <c r="C128" s="28" t="s">
        <v>1789</v>
      </c>
      <c r="D128" s="28" t="s">
        <v>1789</v>
      </c>
      <c r="E128" s="123">
        <v>45403</v>
      </c>
      <c r="F128" s="109">
        <v>2.1527777777777778E-2</v>
      </c>
      <c r="G128" s="26" t="s">
        <v>2042</v>
      </c>
      <c r="H128" s="124" t="s">
        <v>385</v>
      </c>
      <c r="I128" s="124"/>
      <c r="J128" s="28" t="s">
        <v>2043</v>
      </c>
      <c r="K128" s="28">
        <v>5000</v>
      </c>
      <c r="L128" s="28">
        <v>15000</v>
      </c>
      <c r="M128" s="28" t="s">
        <v>20</v>
      </c>
      <c r="N128" s="28" t="s">
        <v>20</v>
      </c>
      <c r="O128" s="28" t="s">
        <v>20</v>
      </c>
      <c r="P128" s="28" t="s">
        <v>20</v>
      </c>
      <c r="Q128" s="28" t="s">
        <v>20</v>
      </c>
      <c r="R128" s="28" t="s">
        <v>20</v>
      </c>
    </row>
    <row r="129" spans="2:18" ht="39" x14ac:dyDescent="0.25">
      <c r="B129" s="28">
        <v>36</v>
      </c>
      <c r="C129" s="28" t="s">
        <v>1789</v>
      </c>
      <c r="D129" s="28" t="s">
        <v>1789</v>
      </c>
      <c r="E129" s="122" t="s">
        <v>938</v>
      </c>
      <c r="F129" s="109">
        <v>0.39097222222222222</v>
      </c>
      <c r="G129" s="26" t="s">
        <v>2044</v>
      </c>
      <c r="H129" s="124" t="s">
        <v>385</v>
      </c>
      <c r="I129" s="124"/>
      <c r="J129" s="28" t="s">
        <v>2045</v>
      </c>
      <c r="K129" s="28">
        <v>5000</v>
      </c>
      <c r="L129" s="28">
        <v>15000</v>
      </c>
      <c r="M129" s="28" t="s">
        <v>20</v>
      </c>
      <c r="N129" s="28" t="s">
        <v>20</v>
      </c>
      <c r="O129" s="28" t="s">
        <v>20</v>
      </c>
      <c r="P129" s="28" t="s">
        <v>20</v>
      </c>
      <c r="Q129" s="28" t="s">
        <v>20</v>
      </c>
      <c r="R129" s="28" t="s">
        <v>20</v>
      </c>
    </row>
    <row r="130" spans="2:18" ht="39" x14ac:dyDescent="0.25">
      <c r="B130" s="28">
        <v>37</v>
      </c>
      <c r="C130" s="28" t="s">
        <v>1789</v>
      </c>
      <c r="D130" s="28" t="s">
        <v>1789</v>
      </c>
      <c r="E130" s="122" t="s">
        <v>938</v>
      </c>
      <c r="F130" s="109">
        <v>0.58125000000000004</v>
      </c>
      <c r="G130" s="26" t="s">
        <v>2046</v>
      </c>
      <c r="H130" s="124" t="s">
        <v>406</v>
      </c>
      <c r="I130" s="124"/>
      <c r="J130" s="28" t="s">
        <v>2047</v>
      </c>
      <c r="K130" s="28">
        <v>600000</v>
      </c>
      <c r="L130" s="28">
        <v>58400</v>
      </c>
      <c r="M130" s="28" t="s">
        <v>20</v>
      </c>
      <c r="N130" s="28" t="s">
        <v>20</v>
      </c>
      <c r="O130" s="28" t="s">
        <v>20</v>
      </c>
      <c r="P130" s="28" t="s">
        <v>20</v>
      </c>
      <c r="Q130" s="28" t="s">
        <v>20</v>
      </c>
      <c r="R130" s="28" t="s">
        <v>20</v>
      </c>
    </row>
    <row r="131" spans="2:18" ht="39" x14ac:dyDescent="0.25">
      <c r="B131" s="28">
        <v>38</v>
      </c>
      <c r="C131" s="28" t="s">
        <v>1789</v>
      </c>
      <c r="D131" s="28" t="s">
        <v>1789</v>
      </c>
      <c r="E131" s="122" t="s">
        <v>943</v>
      </c>
      <c r="F131" s="109">
        <v>0.69513888888888886</v>
      </c>
      <c r="G131" s="26" t="s">
        <v>2048</v>
      </c>
      <c r="H131" s="124" t="s">
        <v>385</v>
      </c>
      <c r="I131" s="124"/>
      <c r="J131" s="28" t="s">
        <v>1999</v>
      </c>
      <c r="K131" s="28">
        <v>20000</v>
      </c>
      <c r="L131" s="28">
        <v>9980000</v>
      </c>
      <c r="M131" s="28" t="s">
        <v>20</v>
      </c>
      <c r="N131" s="28" t="s">
        <v>20</v>
      </c>
      <c r="O131" s="28" t="s">
        <v>20</v>
      </c>
      <c r="P131" s="28" t="s">
        <v>20</v>
      </c>
      <c r="Q131" s="28" t="s">
        <v>20</v>
      </c>
      <c r="R131" s="28" t="s">
        <v>20</v>
      </c>
    </row>
    <row r="132" spans="2:18" x14ac:dyDescent="0.25">
      <c r="B132" s="28">
        <v>39</v>
      </c>
      <c r="C132" s="28" t="s">
        <v>1789</v>
      </c>
      <c r="D132" s="28" t="s">
        <v>1789</v>
      </c>
      <c r="E132" s="123">
        <v>45403</v>
      </c>
      <c r="F132" s="109">
        <v>0.99791666666666667</v>
      </c>
      <c r="G132" s="26" t="s">
        <v>2049</v>
      </c>
      <c r="H132" s="124" t="s">
        <v>385</v>
      </c>
      <c r="I132" s="124"/>
      <c r="J132" s="28" t="s">
        <v>1992</v>
      </c>
      <c r="K132" s="28">
        <v>10000</v>
      </c>
      <c r="L132" s="28">
        <v>5990000</v>
      </c>
      <c r="M132" s="28" t="s">
        <v>20</v>
      </c>
      <c r="N132" s="28" t="s">
        <v>20</v>
      </c>
      <c r="O132" s="28" t="s">
        <v>20</v>
      </c>
      <c r="P132" s="28" t="s">
        <v>20</v>
      </c>
      <c r="Q132" s="28" t="s">
        <v>20</v>
      </c>
      <c r="R132" s="28" t="s">
        <v>20</v>
      </c>
    </row>
    <row r="133" spans="2:18" x14ac:dyDescent="0.25">
      <c r="B133" s="28">
        <v>40</v>
      </c>
      <c r="C133" s="28" t="s">
        <v>1789</v>
      </c>
      <c r="D133" s="28" t="s">
        <v>1789</v>
      </c>
      <c r="E133" s="123">
        <v>45404</v>
      </c>
      <c r="F133" s="109">
        <v>0.43611111111111112</v>
      </c>
      <c r="G133" s="26" t="s">
        <v>2050</v>
      </c>
      <c r="H133" s="124" t="s">
        <v>1904</v>
      </c>
      <c r="I133" s="124"/>
      <c r="J133" s="28" t="s">
        <v>2017</v>
      </c>
      <c r="K133" s="28" t="s">
        <v>20</v>
      </c>
      <c r="L133" s="28" t="s">
        <v>20</v>
      </c>
      <c r="M133" s="28" t="s">
        <v>20</v>
      </c>
      <c r="N133" s="28" t="s">
        <v>20</v>
      </c>
      <c r="O133" s="28" t="s">
        <v>20</v>
      </c>
      <c r="P133" s="28" t="s">
        <v>20</v>
      </c>
      <c r="Q133" s="28" t="s">
        <v>20</v>
      </c>
      <c r="R133" s="28" t="s">
        <v>20</v>
      </c>
    </row>
    <row r="134" spans="2:18" x14ac:dyDescent="0.25">
      <c r="B134" s="28">
        <v>41</v>
      </c>
      <c r="C134" s="28" t="s">
        <v>1789</v>
      </c>
      <c r="D134" s="28" t="s">
        <v>1789</v>
      </c>
      <c r="E134" s="123">
        <v>45404</v>
      </c>
      <c r="F134" s="109">
        <v>0.64375000000000004</v>
      </c>
      <c r="G134" s="26" t="s">
        <v>2051</v>
      </c>
      <c r="H134" s="124" t="s">
        <v>1904</v>
      </c>
      <c r="I134" s="124"/>
      <c r="J134" s="28" t="s">
        <v>2017</v>
      </c>
      <c r="K134" s="28" t="s">
        <v>20</v>
      </c>
      <c r="L134" s="28" t="s">
        <v>20</v>
      </c>
      <c r="M134" s="28" t="s">
        <v>20</v>
      </c>
      <c r="N134" s="28" t="s">
        <v>20</v>
      </c>
      <c r="O134" s="28" t="s">
        <v>20</v>
      </c>
      <c r="P134" s="28" t="s">
        <v>20</v>
      </c>
      <c r="Q134" s="28" t="s">
        <v>20</v>
      </c>
      <c r="R134" s="28" t="s">
        <v>20</v>
      </c>
    </row>
    <row r="135" spans="2:18" x14ac:dyDescent="0.25">
      <c r="B135" s="28">
        <v>42</v>
      </c>
      <c r="C135" s="28" t="s">
        <v>1789</v>
      </c>
      <c r="D135" s="28" t="s">
        <v>1789</v>
      </c>
      <c r="E135" s="123">
        <v>45404</v>
      </c>
      <c r="F135" s="109">
        <v>0.65902777777777777</v>
      </c>
      <c r="G135" s="26" t="s">
        <v>2052</v>
      </c>
      <c r="H135" s="124" t="s">
        <v>2053</v>
      </c>
      <c r="I135" s="124"/>
      <c r="J135" s="28" t="s">
        <v>20</v>
      </c>
      <c r="K135" s="28" t="s">
        <v>20</v>
      </c>
      <c r="L135" s="28" t="s">
        <v>20</v>
      </c>
      <c r="M135" s="28" t="s">
        <v>20</v>
      </c>
      <c r="N135" s="28" t="s">
        <v>20</v>
      </c>
      <c r="O135" s="28" t="s">
        <v>20</v>
      </c>
      <c r="P135" s="28" t="s">
        <v>20</v>
      </c>
      <c r="Q135" s="28" t="s">
        <v>20</v>
      </c>
      <c r="R135" s="28" t="s">
        <v>20</v>
      </c>
    </row>
    <row r="136" spans="2:18" ht="39" x14ac:dyDescent="0.25">
      <c r="B136" s="28">
        <v>43</v>
      </c>
      <c r="C136" s="28" t="s">
        <v>1789</v>
      </c>
      <c r="D136" s="28" t="s">
        <v>1789</v>
      </c>
      <c r="E136" s="122" t="s">
        <v>953</v>
      </c>
      <c r="F136" s="109">
        <v>2.7777777777777779E-3</v>
      </c>
      <c r="G136" s="26" t="s">
        <v>2052</v>
      </c>
      <c r="H136" s="124" t="s">
        <v>2053</v>
      </c>
      <c r="I136" s="124"/>
      <c r="J136" s="28" t="s">
        <v>20</v>
      </c>
      <c r="K136" s="28" t="s">
        <v>20</v>
      </c>
      <c r="L136" s="28" t="s">
        <v>20</v>
      </c>
      <c r="M136" s="28" t="s">
        <v>20</v>
      </c>
      <c r="N136" s="28" t="s">
        <v>20</v>
      </c>
      <c r="O136" s="28" t="s">
        <v>20</v>
      </c>
      <c r="P136" s="28" t="s">
        <v>20</v>
      </c>
      <c r="Q136" s="28" t="s">
        <v>20</v>
      </c>
      <c r="R136" s="28" t="s">
        <v>20</v>
      </c>
    </row>
    <row r="137" spans="2:18" ht="39" x14ac:dyDescent="0.25">
      <c r="B137" s="28">
        <v>44</v>
      </c>
      <c r="C137" s="28" t="s">
        <v>1789</v>
      </c>
      <c r="D137" s="28" t="s">
        <v>1789</v>
      </c>
      <c r="E137" s="123">
        <v>45405</v>
      </c>
      <c r="F137" s="109">
        <v>9.4444444444444442E-2</v>
      </c>
      <c r="G137" s="26" t="s">
        <v>2054</v>
      </c>
      <c r="H137" s="124" t="s">
        <v>2055</v>
      </c>
      <c r="I137" s="124"/>
      <c r="J137" s="28" t="s">
        <v>2056</v>
      </c>
      <c r="K137" s="28">
        <v>70000</v>
      </c>
      <c r="L137" s="28">
        <v>1930000</v>
      </c>
      <c r="M137" s="28" t="s">
        <v>20</v>
      </c>
      <c r="N137" s="28" t="s">
        <v>20</v>
      </c>
      <c r="O137" s="28" t="s">
        <v>20</v>
      </c>
      <c r="P137" s="28" t="s">
        <v>20</v>
      </c>
      <c r="Q137" s="28" t="s">
        <v>20</v>
      </c>
      <c r="R137" s="28" t="s">
        <v>20</v>
      </c>
    </row>
    <row r="138" spans="2:18" x14ac:dyDescent="0.25">
      <c r="B138" s="28">
        <v>45</v>
      </c>
      <c r="C138" s="28" t="s">
        <v>1789</v>
      </c>
      <c r="D138" s="28" t="s">
        <v>1789</v>
      </c>
      <c r="E138" s="123">
        <v>45405</v>
      </c>
      <c r="F138" s="109">
        <v>0.60833333333333328</v>
      </c>
      <c r="G138" s="26" t="s">
        <v>2057</v>
      </c>
      <c r="H138" s="124" t="s">
        <v>1904</v>
      </c>
      <c r="I138" s="124"/>
      <c r="J138" s="28" t="s">
        <v>2058</v>
      </c>
      <c r="K138" s="28" t="s">
        <v>20</v>
      </c>
      <c r="L138" s="28" t="s">
        <v>20</v>
      </c>
      <c r="M138" s="28" t="s">
        <v>20</v>
      </c>
      <c r="N138" s="28" t="s">
        <v>20</v>
      </c>
      <c r="O138" s="28" t="s">
        <v>20</v>
      </c>
      <c r="P138" s="28" t="s">
        <v>20</v>
      </c>
      <c r="Q138" s="28" t="s">
        <v>20</v>
      </c>
      <c r="R138" s="28" t="s">
        <v>20</v>
      </c>
    </row>
    <row r="139" spans="2:18" x14ac:dyDescent="0.25">
      <c r="B139" s="28">
        <v>46</v>
      </c>
      <c r="C139" s="28" t="s">
        <v>1789</v>
      </c>
      <c r="D139" s="28" t="s">
        <v>1789</v>
      </c>
      <c r="E139" s="123">
        <v>45405</v>
      </c>
      <c r="F139" s="109">
        <v>0.70902777777777781</v>
      </c>
      <c r="G139" s="26" t="s">
        <v>2059</v>
      </c>
      <c r="H139" s="124" t="s">
        <v>1904</v>
      </c>
      <c r="I139" s="124"/>
      <c r="J139" s="28" t="s">
        <v>2035</v>
      </c>
      <c r="K139" s="28" t="s">
        <v>20</v>
      </c>
      <c r="L139" s="28" t="s">
        <v>20</v>
      </c>
      <c r="M139" s="28" t="s">
        <v>20</v>
      </c>
      <c r="N139" s="28" t="s">
        <v>20</v>
      </c>
      <c r="O139" s="28" t="s">
        <v>20</v>
      </c>
      <c r="P139" s="28" t="s">
        <v>20</v>
      </c>
      <c r="Q139" s="28" t="s">
        <v>20</v>
      </c>
      <c r="R139" s="28" t="s">
        <v>20</v>
      </c>
    </row>
    <row r="140" spans="2:18" x14ac:dyDescent="0.25">
      <c r="B140" s="28">
        <v>47</v>
      </c>
      <c r="C140" s="28" t="s">
        <v>1789</v>
      </c>
      <c r="D140" s="28" t="s">
        <v>1789</v>
      </c>
      <c r="E140" s="123">
        <v>45406</v>
      </c>
      <c r="F140" s="109">
        <v>0.18402777777777779</v>
      </c>
      <c r="G140" s="26" t="s">
        <v>2060</v>
      </c>
      <c r="H140" s="124" t="s">
        <v>1904</v>
      </c>
      <c r="I140" s="124"/>
      <c r="J140" s="28" t="s">
        <v>2061</v>
      </c>
      <c r="K140" s="28">
        <v>500</v>
      </c>
      <c r="L140" s="28">
        <v>999500</v>
      </c>
      <c r="M140" s="28" t="s">
        <v>20</v>
      </c>
      <c r="N140" s="28" t="s">
        <v>20</v>
      </c>
      <c r="O140" s="28" t="s">
        <v>20</v>
      </c>
      <c r="P140" s="28" t="s">
        <v>20</v>
      </c>
      <c r="Q140" s="28" t="s">
        <v>20</v>
      </c>
      <c r="R140" s="28" t="s">
        <v>20</v>
      </c>
    </row>
    <row r="141" spans="2:18" x14ac:dyDescent="0.25">
      <c r="B141" s="28">
        <v>48</v>
      </c>
      <c r="C141" s="28" t="s">
        <v>1789</v>
      </c>
      <c r="D141" s="28" t="s">
        <v>1789</v>
      </c>
      <c r="E141" s="123">
        <v>45406</v>
      </c>
      <c r="F141" s="109">
        <v>0.70625000000000004</v>
      </c>
      <c r="G141" s="26" t="s">
        <v>2062</v>
      </c>
      <c r="H141" s="124" t="s">
        <v>1904</v>
      </c>
      <c r="I141" s="124"/>
      <c r="J141" s="28" t="s">
        <v>2017</v>
      </c>
      <c r="K141" s="28" t="s">
        <v>20</v>
      </c>
      <c r="L141" s="28" t="s">
        <v>20</v>
      </c>
      <c r="M141" s="28" t="s">
        <v>20</v>
      </c>
      <c r="N141" s="28" t="s">
        <v>20</v>
      </c>
      <c r="O141" s="28" t="s">
        <v>20</v>
      </c>
      <c r="P141" s="28" t="s">
        <v>20</v>
      </c>
      <c r="Q141" s="28" t="s">
        <v>20</v>
      </c>
      <c r="R141" s="28" t="s">
        <v>20</v>
      </c>
    </row>
    <row r="142" spans="2:18" x14ac:dyDescent="0.25">
      <c r="B142" s="28">
        <v>49</v>
      </c>
      <c r="C142" s="28" t="s">
        <v>1789</v>
      </c>
      <c r="D142" s="28" t="s">
        <v>1789</v>
      </c>
      <c r="E142" s="123">
        <v>45406</v>
      </c>
      <c r="F142" s="109">
        <v>0.76111111111111107</v>
      </c>
      <c r="G142" s="26" t="s">
        <v>2063</v>
      </c>
      <c r="H142" s="124" t="s">
        <v>1904</v>
      </c>
      <c r="I142" s="124"/>
      <c r="J142" s="28" t="s">
        <v>2017</v>
      </c>
      <c r="K142" s="28" t="s">
        <v>20</v>
      </c>
      <c r="L142" s="28" t="s">
        <v>20</v>
      </c>
      <c r="M142" s="28" t="s">
        <v>20</v>
      </c>
      <c r="N142" s="28" t="s">
        <v>20</v>
      </c>
      <c r="O142" s="28" t="s">
        <v>20</v>
      </c>
      <c r="P142" s="28" t="s">
        <v>20</v>
      </c>
      <c r="Q142" s="28" t="s">
        <v>20</v>
      </c>
      <c r="R142" s="28" t="s">
        <v>20</v>
      </c>
    </row>
    <row r="143" spans="2:18" ht="39" x14ac:dyDescent="0.25">
      <c r="B143" s="28">
        <v>50</v>
      </c>
      <c r="C143" s="28" t="s">
        <v>1789</v>
      </c>
      <c r="D143" s="28" t="s">
        <v>1789</v>
      </c>
      <c r="E143" s="122"/>
      <c r="F143" s="109">
        <v>0.96250000000000002</v>
      </c>
      <c r="G143" s="26" t="s">
        <v>2064</v>
      </c>
      <c r="H143" s="124" t="s">
        <v>385</v>
      </c>
      <c r="I143" s="124"/>
      <c r="J143" s="28" t="s">
        <v>2065</v>
      </c>
      <c r="K143" s="28"/>
      <c r="L143" s="28"/>
      <c r="M143" s="28"/>
      <c r="N143" s="28"/>
      <c r="O143" s="28"/>
      <c r="P143" s="28"/>
      <c r="Q143" s="28"/>
      <c r="R143" s="28"/>
    </row>
    <row r="144" spans="2:18" x14ac:dyDescent="0.25">
      <c r="B144" s="28">
        <v>51</v>
      </c>
      <c r="C144" s="28" t="s">
        <v>1789</v>
      </c>
      <c r="D144" s="28" t="s">
        <v>1789</v>
      </c>
      <c r="E144" s="123">
        <v>45407</v>
      </c>
      <c r="F144" s="109">
        <v>5.4166666666666669E-2</v>
      </c>
      <c r="G144" s="26" t="s">
        <v>2066</v>
      </c>
      <c r="H144" s="124" t="s">
        <v>2053</v>
      </c>
      <c r="I144" s="124"/>
      <c r="J144" s="28" t="s">
        <v>1999</v>
      </c>
      <c r="K144" s="28" t="s">
        <v>20</v>
      </c>
      <c r="L144" s="28" t="s">
        <v>20</v>
      </c>
      <c r="M144" s="28" t="s">
        <v>20</v>
      </c>
      <c r="N144" s="28" t="s">
        <v>20</v>
      </c>
      <c r="O144" s="28" t="s">
        <v>20</v>
      </c>
      <c r="P144" s="28" t="s">
        <v>20</v>
      </c>
      <c r="Q144" s="28" t="s">
        <v>20</v>
      </c>
      <c r="R144" s="28" t="s">
        <v>20</v>
      </c>
    </row>
    <row r="145" spans="2:18" x14ac:dyDescent="0.25">
      <c r="B145" s="28">
        <v>52</v>
      </c>
      <c r="C145" s="28" t="s">
        <v>1789</v>
      </c>
      <c r="D145" s="28" t="s">
        <v>1789</v>
      </c>
      <c r="E145" s="123">
        <v>45407</v>
      </c>
      <c r="F145" s="109">
        <v>0.10416666666666667</v>
      </c>
      <c r="G145" s="26" t="s">
        <v>2067</v>
      </c>
      <c r="H145" s="124" t="s">
        <v>1904</v>
      </c>
      <c r="I145" s="124"/>
      <c r="J145" s="28" t="s">
        <v>2017</v>
      </c>
      <c r="K145" s="28" t="s">
        <v>20</v>
      </c>
      <c r="L145" s="28" t="s">
        <v>20</v>
      </c>
      <c r="M145" s="28" t="s">
        <v>20</v>
      </c>
      <c r="N145" s="28" t="s">
        <v>20</v>
      </c>
      <c r="O145" s="28" t="s">
        <v>20</v>
      </c>
      <c r="P145" s="28" t="s">
        <v>20</v>
      </c>
      <c r="Q145" s="28" t="s">
        <v>20</v>
      </c>
      <c r="R145" s="28" t="s">
        <v>20</v>
      </c>
    </row>
    <row r="146" spans="2:18" x14ac:dyDescent="0.25">
      <c r="B146" s="28">
        <v>53</v>
      </c>
      <c r="C146" s="28" t="s">
        <v>1789</v>
      </c>
      <c r="D146" s="28" t="s">
        <v>1789</v>
      </c>
      <c r="E146" s="123">
        <v>45407</v>
      </c>
      <c r="F146" s="109">
        <v>0.15</v>
      </c>
      <c r="G146" s="26" t="s">
        <v>2068</v>
      </c>
      <c r="H146" s="124" t="s">
        <v>1904</v>
      </c>
      <c r="I146" s="124"/>
      <c r="J146" s="28" t="s">
        <v>340</v>
      </c>
      <c r="K146" s="28" t="s">
        <v>20</v>
      </c>
      <c r="L146" s="28" t="s">
        <v>20</v>
      </c>
      <c r="M146" s="28" t="s">
        <v>20</v>
      </c>
      <c r="N146" s="28" t="s">
        <v>20</v>
      </c>
      <c r="O146" s="28" t="s">
        <v>20</v>
      </c>
      <c r="P146" s="28" t="s">
        <v>20</v>
      </c>
      <c r="Q146" s="28" t="s">
        <v>20</v>
      </c>
      <c r="R146" s="28" t="s">
        <v>20</v>
      </c>
    </row>
    <row r="147" spans="2:18" x14ac:dyDescent="0.25">
      <c r="B147" s="28">
        <v>54</v>
      </c>
      <c r="C147" s="28" t="s">
        <v>1789</v>
      </c>
      <c r="D147" s="28" t="s">
        <v>1789</v>
      </c>
      <c r="E147" s="123">
        <v>45407</v>
      </c>
      <c r="F147" s="109">
        <v>0.80138888888888893</v>
      </c>
      <c r="G147" s="26" t="s">
        <v>2069</v>
      </c>
      <c r="H147" s="124" t="s">
        <v>385</v>
      </c>
      <c r="I147" s="124"/>
      <c r="J147" s="28" t="s">
        <v>2070</v>
      </c>
      <c r="K147" s="28">
        <v>5000</v>
      </c>
      <c r="L147" s="28">
        <v>15000</v>
      </c>
      <c r="M147" s="28" t="s">
        <v>20</v>
      </c>
      <c r="N147" s="28" t="s">
        <v>20</v>
      </c>
      <c r="O147" s="28" t="s">
        <v>20</v>
      </c>
      <c r="P147" s="28" t="s">
        <v>20</v>
      </c>
      <c r="Q147" s="28" t="s">
        <v>20</v>
      </c>
      <c r="R147" s="28" t="s">
        <v>20</v>
      </c>
    </row>
    <row r="148" spans="2:18" ht="39" x14ac:dyDescent="0.25">
      <c r="B148" s="28">
        <v>55</v>
      </c>
      <c r="C148" s="28" t="s">
        <v>1789</v>
      </c>
      <c r="D148" s="28" t="s">
        <v>1789</v>
      </c>
      <c r="E148" s="123">
        <v>45408</v>
      </c>
      <c r="F148" s="109">
        <v>0.47916666666666669</v>
      </c>
      <c r="G148" s="26" t="s">
        <v>2071</v>
      </c>
      <c r="H148" s="124" t="s">
        <v>2072</v>
      </c>
      <c r="I148" s="124"/>
      <c r="J148" s="28" t="s">
        <v>2071</v>
      </c>
      <c r="K148" s="28">
        <v>100000</v>
      </c>
      <c r="L148" s="28">
        <v>20000</v>
      </c>
      <c r="M148" s="28" t="s">
        <v>20</v>
      </c>
      <c r="N148" s="28" t="s">
        <v>20</v>
      </c>
      <c r="O148" s="28" t="s">
        <v>20</v>
      </c>
      <c r="P148" s="28" t="s">
        <v>20</v>
      </c>
      <c r="Q148" s="28" t="s">
        <v>20</v>
      </c>
      <c r="R148" s="28" t="s">
        <v>20</v>
      </c>
    </row>
    <row r="149" spans="2:18" ht="58.5" x14ac:dyDescent="0.25">
      <c r="B149" s="28">
        <v>56</v>
      </c>
      <c r="C149" s="28" t="s">
        <v>1789</v>
      </c>
      <c r="D149" s="28" t="s">
        <v>1789</v>
      </c>
      <c r="E149" s="123">
        <v>45410</v>
      </c>
      <c r="F149" s="109">
        <v>1.5277777777777777E-2</v>
      </c>
      <c r="G149" s="26" t="s">
        <v>2073</v>
      </c>
      <c r="H149" s="124" t="s">
        <v>2550</v>
      </c>
      <c r="I149" s="124"/>
      <c r="J149" s="28" t="s">
        <v>20</v>
      </c>
      <c r="K149" s="28" t="s">
        <v>20</v>
      </c>
      <c r="L149" s="28" t="s">
        <v>20</v>
      </c>
      <c r="M149" s="28" t="s">
        <v>20</v>
      </c>
      <c r="N149" s="28" t="s">
        <v>20</v>
      </c>
      <c r="O149" s="28" t="s">
        <v>20</v>
      </c>
      <c r="P149" s="28" t="s">
        <v>20</v>
      </c>
      <c r="Q149" s="28" t="s">
        <v>20</v>
      </c>
      <c r="R149" s="28" t="s">
        <v>20</v>
      </c>
    </row>
    <row r="150" spans="2:18" ht="39" x14ac:dyDescent="0.25">
      <c r="B150" s="28">
        <v>57</v>
      </c>
      <c r="C150" s="28" t="s">
        <v>1789</v>
      </c>
      <c r="D150" s="28" t="s">
        <v>1789</v>
      </c>
      <c r="E150" s="123">
        <v>45410</v>
      </c>
      <c r="F150" s="109">
        <v>0.51666666666666672</v>
      </c>
      <c r="G150" s="26" t="s">
        <v>2074</v>
      </c>
      <c r="H150" s="124" t="s">
        <v>406</v>
      </c>
      <c r="I150" s="124"/>
      <c r="J150" s="28" t="s">
        <v>2075</v>
      </c>
      <c r="K150" s="28">
        <v>200000</v>
      </c>
      <c r="L150" s="28">
        <v>1800000</v>
      </c>
      <c r="M150" s="28" t="s">
        <v>20</v>
      </c>
      <c r="N150" s="28" t="s">
        <v>20</v>
      </c>
      <c r="O150" s="28" t="s">
        <v>20</v>
      </c>
      <c r="P150" s="28" t="s">
        <v>20</v>
      </c>
      <c r="Q150" s="28" t="s">
        <v>20</v>
      </c>
      <c r="R150" s="28" t="s">
        <v>20</v>
      </c>
    </row>
    <row r="151" spans="2:18" ht="39" x14ac:dyDescent="0.25">
      <c r="B151" s="28">
        <v>58</v>
      </c>
      <c r="C151" s="28" t="s">
        <v>1789</v>
      </c>
      <c r="D151" s="28" t="s">
        <v>1789</v>
      </c>
      <c r="E151" s="123">
        <v>45411</v>
      </c>
      <c r="F151" s="109">
        <v>0.44374999999999998</v>
      </c>
      <c r="G151" s="26" t="s">
        <v>2076</v>
      </c>
      <c r="H151" s="124" t="s">
        <v>2077</v>
      </c>
      <c r="I151" s="124"/>
      <c r="J151" s="28"/>
      <c r="K151" s="28" t="s">
        <v>20</v>
      </c>
      <c r="L151" s="28" t="s">
        <v>20</v>
      </c>
      <c r="M151" s="28" t="s">
        <v>20</v>
      </c>
      <c r="N151" s="28" t="s">
        <v>20</v>
      </c>
      <c r="O151" s="28" t="s">
        <v>20</v>
      </c>
      <c r="P151" s="28" t="s">
        <v>20</v>
      </c>
      <c r="Q151" s="28" t="s">
        <v>20</v>
      </c>
      <c r="R151" s="28" t="s">
        <v>20</v>
      </c>
    </row>
    <row r="152" spans="2:18" ht="39" x14ac:dyDescent="0.25">
      <c r="B152" s="28">
        <v>59</v>
      </c>
      <c r="C152" s="28" t="s">
        <v>1789</v>
      </c>
      <c r="D152" s="28" t="s">
        <v>1789</v>
      </c>
      <c r="E152" s="123">
        <v>45412</v>
      </c>
      <c r="F152" s="109">
        <v>0.62847222222222221</v>
      </c>
      <c r="G152" s="26" t="s">
        <v>2078</v>
      </c>
      <c r="H152" s="124" t="s">
        <v>1904</v>
      </c>
      <c r="I152" s="124"/>
      <c r="J152" s="28" t="s">
        <v>1889</v>
      </c>
      <c r="K152" s="28" t="s">
        <v>20</v>
      </c>
      <c r="L152" s="28" t="s">
        <v>20</v>
      </c>
      <c r="M152" s="28" t="s">
        <v>20</v>
      </c>
      <c r="N152" s="28" t="s">
        <v>20</v>
      </c>
      <c r="O152" s="28" t="s">
        <v>20</v>
      </c>
      <c r="P152" s="28" t="s">
        <v>20</v>
      </c>
      <c r="Q152" s="28" t="s">
        <v>20</v>
      </c>
      <c r="R152" s="28" t="s">
        <v>20</v>
      </c>
    </row>
    <row r="153" spans="2:18" x14ac:dyDescent="0.25">
      <c r="B153" s="28">
        <v>60</v>
      </c>
      <c r="C153" s="28" t="s">
        <v>1789</v>
      </c>
      <c r="D153" s="28" t="s">
        <v>1789</v>
      </c>
      <c r="E153" s="123">
        <v>45412</v>
      </c>
      <c r="F153" s="109">
        <v>0.6333333333333333</v>
      </c>
      <c r="G153" s="26" t="s">
        <v>2079</v>
      </c>
      <c r="H153" s="124" t="s">
        <v>1861</v>
      </c>
      <c r="I153" s="124"/>
      <c r="J153" s="28" t="s">
        <v>2080</v>
      </c>
      <c r="K153" s="28" t="s">
        <v>20</v>
      </c>
      <c r="L153" s="28" t="s">
        <v>20</v>
      </c>
      <c r="M153" s="28"/>
      <c r="N153" s="28"/>
      <c r="O153" s="28"/>
      <c r="P153" s="28"/>
      <c r="Q153" s="28"/>
      <c r="R153" s="28"/>
    </row>
    <row r="154" spans="2:18" x14ac:dyDescent="0.25">
      <c r="B154" s="28">
        <v>1</v>
      </c>
      <c r="C154" s="28" t="s">
        <v>1789</v>
      </c>
      <c r="D154" s="28" t="s">
        <v>1789</v>
      </c>
      <c r="E154" s="108">
        <v>45385</v>
      </c>
      <c r="F154" s="109">
        <v>0.80972222222222223</v>
      </c>
      <c r="G154" s="28" t="s">
        <v>2081</v>
      </c>
      <c r="H154" s="124" t="s">
        <v>1904</v>
      </c>
      <c r="I154" s="124"/>
      <c r="J154" s="28" t="s">
        <v>2443</v>
      </c>
      <c r="K154" s="28" t="s">
        <v>20</v>
      </c>
      <c r="L154" s="28" t="s">
        <v>20</v>
      </c>
      <c r="M154" s="28" t="s">
        <v>20</v>
      </c>
      <c r="N154" s="28" t="s">
        <v>20</v>
      </c>
      <c r="O154" s="28" t="s">
        <v>20</v>
      </c>
      <c r="P154" s="28" t="s">
        <v>20</v>
      </c>
      <c r="Q154" s="28" t="s">
        <v>20</v>
      </c>
      <c r="R154" s="28" t="s">
        <v>20</v>
      </c>
    </row>
    <row r="155" spans="2:18" ht="39" x14ac:dyDescent="0.25">
      <c r="B155" s="28">
        <v>2</v>
      </c>
      <c r="C155" s="28" t="s">
        <v>1789</v>
      </c>
      <c r="D155" s="28" t="s">
        <v>1789</v>
      </c>
      <c r="E155" s="108">
        <v>45386</v>
      </c>
      <c r="F155" s="109">
        <v>0.78611111111111109</v>
      </c>
      <c r="G155" s="28" t="s">
        <v>2082</v>
      </c>
      <c r="H155" s="124" t="s">
        <v>1904</v>
      </c>
      <c r="I155" s="124"/>
      <c r="J155" s="28" t="s">
        <v>2443</v>
      </c>
      <c r="K155" s="28" t="s">
        <v>20</v>
      </c>
      <c r="L155" s="28" t="s">
        <v>20</v>
      </c>
      <c r="M155" s="28" t="s">
        <v>20</v>
      </c>
      <c r="N155" s="28" t="s">
        <v>20</v>
      </c>
      <c r="O155" s="28" t="s">
        <v>20</v>
      </c>
      <c r="P155" s="28" t="s">
        <v>20</v>
      </c>
      <c r="Q155" s="28" t="s">
        <v>20</v>
      </c>
      <c r="R155" s="28" t="s">
        <v>20</v>
      </c>
    </row>
    <row r="156" spans="2:18" ht="39" x14ac:dyDescent="0.25">
      <c r="B156" s="28">
        <v>3</v>
      </c>
      <c r="C156" s="28" t="s">
        <v>1789</v>
      </c>
      <c r="D156" s="28" t="s">
        <v>1789</v>
      </c>
      <c r="E156" s="108">
        <v>45388</v>
      </c>
      <c r="F156" s="109">
        <v>0.79166666666666663</v>
      </c>
      <c r="G156" s="28" t="s">
        <v>2083</v>
      </c>
      <c r="H156" s="124" t="s">
        <v>1904</v>
      </c>
      <c r="I156" s="124"/>
      <c r="J156" s="28" t="s">
        <v>2443</v>
      </c>
      <c r="K156" s="28" t="s">
        <v>20</v>
      </c>
      <c r="L156" s="28" t="s">
        <v>20</v>
      </c>
      <c r="M156" s="28" t="s">
        <v>20</v>
      </c>
      <c r="N156" s="28" t="s">
        <v>20</v>
      </c>
      <c r="O156" s="28" t="s">
        <v>20</v>
      </c>
      <c r="P156" s="28" t="s">
        <v>20</v>
      </c>
      <c r="Q156" s="28" t="s">
        <v>20</v>
      </c>
      <c r="R156" s="28" t="s">
        <v>20</v>
      </c>
    </row>
    <row r="157" spans="2:18" x14ac:dyDescent="0.25">
      <c r="B157" s="28">
        <v>4</v>
      </c>
      <c r="C157" s="28" t="s">
        <v>1789</v>
      </c>
      <c r="D157" s="28" t="s">
        <v>1789</v>
      </c>
      <c r="E157" s="108">
        <v>45389</v>
      </c>
      <c r="F157" s="109">
        <v>2.0833333333333332E-2</v>
      </c>
      <c r="G157" s="28" t="s">
        <v>2084</v>
      </c>
      <c r="H157" s="124" t="s">
        <v>1904</v>
      </c>
      <c r="I157" s="124"/>
      <c r="J157" s="28" t="s">
        <v>2443</v>
      </c>
      <c r="K157" s="28"/>
      <c r="L157" s="28"/>
      <c r="M157" s="28"/>
      <c r="N157" s="28"/>
      <c r="O157" s="28"/>
      <c r="P157" s="28"/>
      <c r="Q157" s="28"/>
      <c r="R157" s="28"/>
    </row>
    <row r="158" spans="2:18" x14ac:dyDescent="0.25">
      <c r="B158" s="28">
        <v>5</v>
      </c>
      <c r="C158" s="28" t="s">
        <v>1789</v>
      </c>
      <c r="D158" s="28" t="s">
        <v>1789</v>
      </c>
      <c r="E158" s="108">
        <v>45389</v>
      </c>
      <c r="F158" s="109">
        <v>0.89375000000000004</v>
      </c>
      <c r="G158" s="28" t="s">
        <v>2085</v>
      </c>
      <c r="H158" s="124" t="s">
        <v>1904</v>
      </c>
      <c r="I158" s="124"/>
      <c r="J158" s="28" t="s">
        <v>2443</v>
      </c>
      <c r="K158" s="28"/>
      <c r="L158" s="28"/>
      <c r="M158" s="28"/>
      <c r="N158" s="28"/>
      <c r="O158" s="28"/>
      <c r="P158" s="28"/>
      <c r="Q158" s="28"/>
      <c r="R158" s="28"/>
    </row>
    <row r="159" spans="2:18" ht="39" x14ac:dyDescent="0.25">
      <c r="B159" s="28">
        <v>6</v>
      </c>
      <c r="C159" s="28" t="s">
        <v>1789</v>
      </c>
      <c r="D159" s="28" t="s">
        <v>1789</v>
      </c>
      <c r="E159" s="108">
        <v>45390</v>
      </c>
      <c r="F159" s="109">
        <v>0.59236111111111112</v>
      </c>
      <c r="G159" s="28" t="s">
        <v>2086</v>
      </c>
      <c r="H159" s="124" t="s">
        <v>1904</v>
      </c>
      <c r="I159" s="124"/>
      <c r="J159" s="28" t="s">
        <v>2443</v>
      </c>
      <c r="K159" s="28"/>
      <c r="L159" s="28"/>
      <c r="M159" s="28"/>
      <c r="N159" s="28"/>
      <c r="O159" s="28"/>
      <c r="P159" s="28"/>
      <c r="Q159" s="28"/>
      <c r="R159" s="28"/>
    </row>
    <row r="160" spans="2:18" x14ac:dyDescent="0.25">
      <c r="B160" s="28">
        <v>7</v>
      </c>
      <c r="C160" s="28" t="s">
        <v>1789</v>
      </c>
      <c r="D160" s="28" t="s">
        <v>1789</v>
      </c>
      <c r="E160" s="108">
        <v>45390</v>
      </c>
      <c r="F160" s="109">
        <v>0.79513888888888884</v>
      </c>
      <c r="G160" s="28" t="s">
        <v>2087</v>
      </c>
      <c r="H160" s="124" t="s">
        <v>1904</v>
      </c>
      <c r="I160" s="124"/>
      <c r="J160" s="28" t="s">
        <v>2443</v>
      </c>
      <c r="K160" s="28"/>
      <c r="L160" s="28"/>
      <c r="M160" s="28"/>
      <c r="N160" s="28"/>
      <c r="O160" s="28"/>
      <c r="P160" s="28"/>
      <c r="Q160" s="28"/>
      <c r="R160" s="28"/>
    </row>
    <row r="161" spans="2:18" x14ac:dyDescent="0.25">
      <c r="B161" s="28">
        <v>8</v>
      </c>
      <c r="C161" s="28" t="s">
        <v>1789</v>
      </c>
      <c r="D161" s="28" t="s">
        <v>1789</v>
      </c>
      <c r="E161" s="108">
        <v>45390</v>
      </c>
      <c r="F161" s="109">
        <v>0.85833333333333328</v>
      </c>
      <c r="G161" s="28" t="s">
        <v>2088</v>
      </c>
      <c r="H161" s="124" t="s">
        <v>1904</v>
      </c>
      <c r="I161" s="124"/>
      <c r="J161" s="28" t="s">
        <v>2443</v>
      </c>
      <c r="K161" s="28"/>
      <c r="L161" s="28"/>
      <c r="M161" s="28"/>
      <c r="N161" s="28"/>
      <c r="O161" s="28"/>
      <c r="P161" s="28"/>
      <c r="Q161" s="28"/>
      <c r="R161" s="28"/>
    </row>
    <row r="162" spans="2:18" x14ac:dyDescent="0.25">
      <c r="B162" s="28">
        <v>9</v>
      </c>
      <c r="C162" s="28" t="s">
        <v>1789</v>
      </c>
      <c r="D162" s="28" t="s">
        <v>1789</v>
      </c>
      <c r="E162" s="108">
        <v>45390</v>
      </c>
      <c r="F162" s="109">
        <v>0.78611111111111109</v>
      </c>
      <c r="G162" s="28" t="s">
        <v>2089</v>
      </c>
      <c r="H162" s="124"/>
      <c r="I162" s="124"/>
      <c r="J162" s="28"/>
      <c r="K162" s="28"/>
      <c r="L162" s="28"/>
      <c r="M162" s="28"/>
      <c r="N162" s="28"/>
      <c r="O162" s="28"/>
      <c r="P162" s="28"/>
      <c r="Q162" s="28"/>
      <c r="R162" s="28"/>
    </row>
    <row r="163" spans="2:18" x14ac:dyDescent="0.25">
      <c r="B163" s="28">
        <v>10</v>
      </c>
      <c r="C163" s="28" t="s">
        <v>1789</v>
      </c>
      <c r="D163" s="28" t="s">
        <v>1789</v>
      </c>
      <c r="E163" s="108">
        <v>45391</v>
      </c>
      <c r="F163" s="109">
        <v>0.62708333333333333</v>
      </c>
      <c r="G163" s="28" t="s">
        <v>2090</v>
      </c>
      <c r="H163" s="124" t="s">
        <v>1904</v>
      </c>
      <c r="I163" s="124"/>
      <c r="J163" s="28" t="s">
        <v>2443</v>
      </c>
      <c r="K163" s="28"/>
      <c r="L163" s="28"/>
      <c r="M163" s="28"/>
      <c r="N163" s="28"/>
      <c r="O163" s="28"/>
      <c r="P163" s="28"/>
      <c r="Q163" s="28"/>
      <c r="R163" s="28"/>
    </row>
    <row r="164" spans="2:18" x14ac:dyDescent="0.25">
      <c r="B164" s="28">
        <v>11</v>
      </c>
      <c r="C164" s="28" t="s">
        <v>1789</v>
      </c>
      <c r="D164" s="28" t="s">
        <v>1789</v>
      </c>
      <c r="E164" s="108">
        <v>45391</v>
      </c>
      <c r="F164" s="109">
        <v>0.86388888888888893</v>
      </c>
      <c r="G164" s="28" t="s">
        <v>2091</v>
      </c>
      <c r="H164" s="124" t="s">
        <v>1904</v>
      </c>
      <c r="I164" s="124"/>
      <c r="J164" s="28" t="s">
        <v>2443</v>
      </c>
      <c r="K164" s="28"/>
      <c r="L164" s="28"/>
      <c r="M164" s="28"/>
      <c r="N164" s="28"/>
      <c r="O164" s="28"/>
      <c r="P164" s="28"/>
      <c r="Q164" s="28"/>
      <c r="R164" s="28"/>
    </row>
    <row r="165" spans="2:18" x14ac:dyDescent="0.25">
      <c r="B165" s="28">
        <v>12</v>
      </c>
      <c r="C165" s="28" t="s">
        <v>1789</v>
      </c>
      <c r="D165" s="28" t="s">
        <v>1789</v>
      </c>
      <c r="E165" s="108">
        <v>45391</v>
      </c>
      <c r="F165" s="109">
        <v>0.9555555555555556</v>
      </c>
      <c r="G165" s="28" t="s">
        <v>2092</v>
      </c>
      <c r="H165" s="124" t="s">
        <v>1904</v>
      </c>
      <c r="I165" s="124"/>
      <c r="J165" s="28" t="s">
        <v>2443</v>
      </c>
      <c r="K165" s="28"/>
      <c r="L165" s="28"/>
      <c r="M165" s="28"/>
      <c r="N165" s="28"/>
      <c r="O165" s="28"/>
      <c r="P165" s="28"/>
      <c r="Q165" s="28"/>
      <c r="R165" s="28"/>
    </row>
    <row r="166" spans="2:18" x14ac:dyDescent="0.25">
      <c r="B166" s="28">
        <v>13</v>
      </c>
      <c r="C166" s="28" t="s">
        <v>1789</v>
      </c>
      <c r="D166" s="28" t="s">
        <v>1789</v>
      </c>
      <c r="E166" s="108">
        <v>45392</v>
      </c>
      <c r="F166" s="109">
        <v>0.32430555555555557</v>
      </c>
      <c r="G166" s="28" t="s">
        <v>2093</v>
      </c>
      <c r="H166" s="124" t="s">
        <v>1904</v>
      </c>
      <c r="I166" s="124"/>
      <c r="J166" s="28" t="s">
        <v>2443</v>
      </c>
      <c r="K166" s="28"/>
      <c r="L166" s="28"/>
      <c r="M166" s="28"/>
      <c r="N166" s="28"/>
      <c r="O166" s="28"/>
      <c r="P166" s="28"/>
      <c r="Q166" s="28"/>
      <c r="R166" s="28"/>
    </row>
    <row r="167" spans="2:18" x14ac:dyDescent="0.25">
      <c r="B167" s="28">
        <v>14</v>
      </c>
      <c r="C167" s="28" t="s">
        <v>1789</v>
      </c>
      <c r="D167" s="28" t="s">
        <v>1789</v>
      </c>
      <c r="E167" s="108">
        <v>45392</v>
      </c>
      <c r="F167" s="109">
        <v>0.38124999999999998</v>
      </c>
      <c r="G167" s="28" t="s">
        <v>2094</v>
      </c>
      <c r="H167" s="124" t="s">
        <v>1904</v>
      </c>
      <c r="I167" s="124"/>
      <c r="J167" s="28" t="s">
        <v>2443</v>
      </c>
      <c r="K167" s="28"/>
      <c r="L167" s="28"/>
      <c r="M167" s="28"/>
      <c r="N167" s="28"/>
      <c r="O167" s="28"/>
      <c r="P167" s="28"/>
      <c r="Q167" s="28"/>
      <c r="R167" s="28"/>
    </row>
    <row r="168" spans="2:18" x14ac:dyDescent="0.25">
      <c r="B168" s="28">
        <v>15</v>
      </c>
      <c r="C168" s="28" t="s">
        <v>1789</v>
      </c>
      <c r="D168" s="28" t="s">
        <v>1789</v>
      </c>
      <c r="E168" s="108">
        <v>45392</v>
      </c>
      <c r="F168" s="109">
        <v>0.71875</v>
      </c>
      <c r="G168" s="28" t="s">
        <v>2095</v>
      </c>
      <c r="H168" s="124" t="s">
        <v>1904</v>
      </c>
      <c r="I168" s="124"/>
      <c r="J168" s="28" t="s">
        <v>2443</v>
      </c>
      <c r="K168" s="28"/>
      <c r="L168" s="28"/>
      <c r="M168" s="28"/>
      <c r="N168" s="28"/>
      <c r="O168" s="28"/>
      <c r="P168" s="28"/>
      <c r="Q168" s="28"/>
      <c r="R168" s="28"/>
    </row>
    <row r="169" spans="2:18" x14ac:dyDescent="0.25">
      <c r="B169" s="28">
        <v>16</v>
      </c>
      <c r="C169" s="28" t="s">
        <v>1789</v>
      </c>
      <c r="D169" s="28" t="s">
        <v>1789</v>
      </c>
      <c r="E169" s="108">
        <v>45392</v>
      </c>
      <c r="F169" s="28" t="s">
        <v>1025</v>
      </c>
      <c r="G169" s="28" t="s">
        <v>2096</v>
      </c>
      <c r="H169" s="124" t="s">
        <v>1904</v>
      </c>
      <c r="I169" s="124"/>
      <c r="J169" s="28" t="s">
        <v>2443</v>
      </c>
      <c r="K169" s="28"/>
      <c r="L169" s="28"/>
      <c r="M169" s="28"/>
      <c r="N169" s="28"/>
      <c r="O169" s="28"/>
      <c r="P169" s="28"/>
      <c r="Q169" s="28"/>
      <c r="R169" s="28"/>
    </row>
    <row r="170" spans="2:18" x14ac:dyDescent="0.25">
      <c r="B170" s="28">
        <v>17</v>
      </c>
      <c r="C170" s="28" t="s">
        <v>1789</v>
      </c>
      <c r="D170" s="28" t="s">
        <v>1789</v>
      </c>
      <c r="E170" s="108">
        <v>45392</v>
      </c>
      <c r="F170" s="109">
        <v>0.86458333333333337</v>
      </c>
      <c r="G170" s="28" t="s">
        <v>2093</v>
      </c>
      <c r="H170" s="124" t="s">
        <v>1904</v>
      </c>
      <c r="I170" s="124"/>
      <c r="J170" s="28" t="s">
        <v>2443</v>
      </c>
      <c r="K170" s="28"/>
      <c r="L170" s="28"/>
      <c r="M170" s="28"/>
      <c r="N170" s="28"/>
      <c r="O170" s="28"/>
      <c r="P170" s="28"/>
      <c r="Q170" s="28"/>
      <c r="R170" s="28"/>
    </row>
    <row r="171" spans="2:18" x14ac:dyDescent="0.25">
      <c r="B171" s="28">
        <v>18</v>
      </c>
      <c r="C171" s="28" t="s">
        <v>1789</v>
      </c>
      <c r="D171" s="28" t="s">
        <v>1789</v>
      </c>
      <c r="E171" s="108">
        <v>45392</v>
      </c>
      <c r="F171" s="109">
        <v>0.98611111111111116</v>
      </c>
      <c r="G171" s="28" t="s">
        <v>2097</v>
      </c>
      <c r="H171" s="124" t="s">
        <v>1904</v>
      </c>
      <c r="I171" s="124"/>
      <c r="J171" s="28" t="s">
        <v>2443</v>
      </c>
      <c r="K171" s="28"/>
      <c r="L171" s="28"/>
      <c r="M171" s="28"/>
      <c r="N171" s="28"/>
      <c r="O171" s="28"/>
      <c r="P171" s="28"/>
      <c r="Q171" s="28"/>
      <c r="R171" s="28"/>
    </row>
    <row r="172" spans="2:18" x14ac:dyDescent="0.25">
      <c r="B172" s="28">
        <v>19</v>
      </c>
      <c r="C172" s="28" t="s">
        <v>1789</v>
      </c>
      <c r="D172" s="28" t="s">
        <v>1789</v>
      </c>
      <c r="E172" s="108">
        <v>45393</v>
      </c>
      <c r="F172" s="109">
        <v>0.24097222222222223</v>
      </c>
      <c r="G172" s="28" t="s">
        <v>2098</v>
      </c>
      <c r="H172" s="124" t="s">
        <v>1904</v>
      </c>
      <c r="I172" s="124"/>
      <c r="J172" s="28" t="s">
        <v>2443</v>
      </c>
      <c r="K172" s="28"/>
      <c r="L172" s="28"/>
      <c r="M172" s="28"/>
      <c r="N172" s="28"/>
      <c r="O172" s="28"/>
      <c r="P172" s="28"/>
      <c r="Q172" s="28"/>
      <c r="R172" s="28"/>
    </row>
    <row r="173" spans="2:18" x14ac:dyDescent="0.25">
      <c r="B173" s="28">
        <v>20</v>
      </c>
      <c r="C173" s="28" t="s">
        <v>1789</v>
      </c>
      <c r="D173" s="28" t="s">
        <v>1789</v>
      </c>
      <c r="E173" s="108">
        <v>45393</v>
      </c>
      <c r="F173" s="109">
        <v>0.48194444444444445</v>
      </c>
      <c r="G173" s="28" t="s">
        <v>2099</v>
      </c>
      <c r="H173" s="124" t="s">
        <v>1904</v>
      </c>
      <c r="I173" s="124"/>
      <c r="J173" s="28" t="s">
        <v>2443</v>
      </c>
      <c r="K173" s="28"/>
      <c r="L173" s="28"/>
      <c r="M173" s="28"/>
      <c r="N173" s="28"/>
      <c r="O173" s="28"/>
      <c r="P173" s="28"/>
      <c r="Q173" s="28"/>
      <c r="R173" s="28"/>
    </row>
    <row r="174" spans="2:18" ht="39" x14ac:dyDescent="0.25">
      <c r="B174" s="28">
        <v>21</v>
      </c>
      <c r="C174" s="28" t="s">
        <v>1789</v>
      </c>
      <c r="D174" s="28" t="s">
        <v>1789</v>
      </c>
      <c r="E174" s="108">
        <v>45393</v>
      </c>
      <c r="F174" s="109">
        <v>0.72777777777777775</v>
      </c>
      <c r="G174" s="28" t="s">
        <v>2100</v>
      </c>
      <c r="H174" s="124" t="s">
        <v>1904</v>
      </c>
      <c r="I174" s="124"/>
      <c r="J174" s="28" t="s">
        <v>2443</v>
      </c>
      <c r="K174" s="28"/>
      <c r="L174" s="28"/>
      <c r="M174" s="28"/>
      <c r="N174" s="28"/>
      <c r="O174" s="28"/>
      <c r="P174" s="28"/>
      <c r="Q174" s="28"/>
      <c r="R174" s="28"/>
    </row>
    <row r="175" spans="2:18" x14ac:dyDescent="0.25">
      <c r="B175" s="28">
        <v>22</v>
      </c>
      <c r="C175" s="28" t="s">
        <v>1789</v>
      </c>
      <c r="D175" s="28" t="s">
        <v>1789</v>
      </c>
      <c r="E175" s="108">
        <v>45393</v>
      </c>
      <c r="F175" s="109">
        <v>0.76944444444444449</v>
      </c>
      <c r="G175" s="28" t="s">
        <v>2095</v>
      </c>
      <c r="H175" s="124" t="s">
        <v>1904</v>
      </c>
      <c r="I175" s="124"/>
      <c r="J175" s="28" t="s">
        <v>2443</v>
      </c>
      <c r="K175" s="28"/>
      <c r="L175" s="28"/>
      <c r="M175" s="28"/>
      <c r="N175" s="28"/>
      <c r="O175" s="28"/>
      <c r="P175" s="28"/>
      <c r="Q175" s="28"/>
      <c r="R175" s="28"/>
    </row>
    <row r="176" spans="2:18" x14ac:dyDescent="0.25">
      <c r="B176" s="28">
        <v>23</v>
      </c>
      <c r="C176" s="28" t="s">
        <v>1789</v>
      </c>
      <c r="D176" s="28" t="s">
        <v>1789</v>
      </c>
      <c r="E176" s="108">
        <v>45393</v>
      </c>
      <c r="F176" s="109">
        <v>0.85416666666666663</v>
      </c>
      <c r="G176" s="28" t="s">
        <v>2101</v>
      </c>
      <c r="H176" s="124" t="s">
        <v>1904</v>
      </c>
      <c r="I176" s="124"/>
      <c r="J176" s="28" t="s">
        <v>2443</v>
      </c>
      <c r="K176" s="28"/>
      <c r="L176" s="28"/>
      <c r="M176" s="28"/>
      <c r="N176" s="28"/>
      <c r="O176" s="28"/>
      <c r="P176" s="28"/>
      <c r="Q176" s="28"/>
      <c r="R176" s="28"/>
    </row>
    <row r="177" spans="2:18" x14ac:dyDescent="0.25">
      <c r="B177" s="28">
        <v>24</v>
      </c>
      <c r="C177" s="28" t="s">
        <v>1789</v>
      </c>
      <c r="D177" s="28" t="s">
        <v>1789</v>
      </c>
      <c r="E177" s="108">
        <v>45394</v>
      </c>
      <c r="F177" s="109">
        <v>0.30069444444444443</v>
      </c>
      <c r="G177" s="28" t="s">
        <v>2102</v>
      </c>
      <c r="H177" s="124" t="s">
        <v>1904</v>
      </c>
      <c r="I177" s="124"/>
      <c r="J177" s="28" t="s">
        <v>2443</v>
      </c>
      <c r="K177" s="28"/>
      <c r="L177" s="28"/>
      <c r="M177" s="28"/>
      <c r="N177" s="28"/>
      <c r="O177" s="28"/>
      <c r="P177" s="28"/>
      <c r="Q177" s="28"/>
      <c r="R177" s="28"/>
    </row>
    <row r="178" spans="2:18" x14ac:dyDescent="0.25">
      <c r="B178" s="28">
        <v>25</v>
      </c>
      <c r="C178" s="28" t="s">
        <v>1789</v>
      </c>
      <c r="D178" s="28" t="s">
        <v>1789</v>
      </c>
      <c r="E178" s="108">
        <v>45394</v>
      </c>
      <c r="F178" s="109">
        <v>0.4597222222222222</v>
      </c>
      <c r="G178" s="28" t="s">
        <v>2103</v>
      </c>
      <c r="H178" s="124" t="s">
        <v>1904</v>
      </c>
      <c r="I178" s="124"/>
      <c r="J178" s="28" t="s">
        <v>2443</v>
      </c>
      <c r="K178" s="28"/>
      <c r="L178" s="28"/>
      <c r="M178" s="28"/>
      <c r="N178" s="28"/>
      <c r="O178" s="28"/>
      <c r="P178" s="28"/>
      <c r="Q178" s="28"/>
      <c r="R178" s="28"/>
    </row>
    <row r="179" spans="2:18" x14ac:dyDescent="0.25">
      <c r="B179" s="28">
        <v>26</v>
      </c>
      <c r="C179" s="28" t="s">
        <v>1789</v>
      </c>
      <c r="D179" s="28" t="s">
        <v>1789</v>
      </c>
      <c r="E179" s="108">
        <v>45394</v>
      </c>
      <c r="F179" s="109">
        <v>0.73750000000000004</v>
      </c>
      <c r="G179" s="28" t="s">
        <v>2104</v>
      </c>
      <c r="H179" s="124" t="s">
        <v>1904</v>
      </c>
      <c r="I179" s="124"/>
      <c r="J179" s="28" t="s">
        <v>2443</v>
      </c>
      <c r="K179" s="28"/>
      <c r="L179" s="28"/>
      <c r="M179" s="28"/>
      <c r="N179" s="28"/>
      <c r="O179" s="28"/>
      <c r="P179" s="28"/>
      <c r="Q179" s="28"/>
      <c r="R179" s="28"/>
    </row>
    <row r="180" spans="2:18" x14ac:dyDescent="0.25">
      <c r="B180" s="28">
        <v>27</v>
      </c>
      <c r="C180" s="28" t="s">
        <v>1789</v>
      </c>
      <c r="D180" s="28" t="s">
        <v>1789</v>
      </c>
      <c r="E180" s="108">
        <v>45394</v>
      </c>
      <c r="F180" s="109">
        <v>0.94444444444444442</v>
      </c>
      <c r="G180" s="28" t="s">
        <v>2105</v>
      </c>
      <c r="H180" s="124" t="s">
        <v>1904</v>
      </c>
      <c r="I180" s="124"/>
      <c r="J180" s="28" t="s">
        <v>2443</v>
      </c>
      <c r="K180" s="28"/>
      <c r="L180" s="28"/>
      <c r="M180" s="28"/>
      <c r="N180" s="28"/>
      <c r="O180" s="28"/>
      <c r="P180" s="28"/>
      <c r="Q180" s="28"/>
      <c r="R180" s="28"/>
    </row>
    <row r="181" spans="2:18" x14ac:dyDescent="0.25">
      <c r="B181" s="28">
        <v>28</v>
      </c>
      <c r="C181" s="28" t="s">
        <v>1789</v>
      </c>
      <c r="D181" s="28" t="s">
        <v>1789</v>
      </c>
      <c r="E181" s="108">
        <v>45395</v>
      </c>
      <c r="F181" s="109">
        <v>0.32222222222222224</v>
      </c>
      <c r="G181" s="28" t="s">
        <v>2106</v>
      </c>
      <c r="H181" s="124" t="s">
        <v>1904</v>
      </c>
      <c r="I181" s="124"/>
      <c r="J181" s="28" t="s">
        <v>2443</v>
      </c>
      <c r="K181" s="28"/>
      <c r="L181" s="28"/>
      <c r="M181" s="28"/>
      <c r="N181" s="28"/>
      <c r="O181" s="28"/>
      <c r="P181" s="28"/>
      <c r="Q181" s="28"/>
      <c r="R181" s="28"/>
    </row>
    <row r="182" spans="2:18" x14ac:dyDescent="0.25">
      <c r="B182" s="28">
        <v>29</v>
      </c>
      <c r="C182" s="28" t="s">
        <v>1789</v>
      </c>
      <c r="D182" s="28" t="s">
        <v>1789</v>
      </c>
      <c r="E182" s="108">
        <v>45395</v>
      </c>
      <c r="F182" s="109">
        <v>0.96111111111111114</v>
      </c>
      <c r="G182" s="28" t="s">
        <v>2107</v>
      </c>
      <c r="H182" s="124" t="s">
        <v>1904</v>
      </c>
      <c r="I182" s="124"/>
      <c r="J182" s="28" t="s">
        <v>2443</v>
      </c>
      <c r="K182" s="28"/>
      <c r="L182" s="28"/>
      <c r="M182" s="28"/>
      <c r="N182" s="28"/>
      <c r="O182" s="28"/>
      <c r="P182" s="28"/>
      <c r="Q182" s="28"/>
      <c r="R182" s="28"/>
    </row>
    <row r="183" spans="2:18" x14ac:dyDescent="0.25">
      <c r="B183" s="28">
        <v>30</v>
      </c>
      <c r="C183" s="28" t="s">
        <v>1789</v>
      </c>
      <c r="D183" s="28" t="s">
        <v>1789</v>
      </c>
      <c r="E183" s="108">
        <v>45396</v>
      </c>
      <c r="F183" s="109">
        <v>0.6</v>
      </c>
      <c r="G183" s="28" t="s">
        <v>2108</v>
      </c>
      <c r="H183" s="124" t="s">
        <v>1904</v>
      </c>
      <c r="I183" s="124"/>
      <c r="J183" s="28" t="s">
        <v>2443</v>
      </c>
      <c r="K183" s="28"/>
      <c r="L183" s="28"/>
      <c r="M183" s="28"/>
      <c r="N183" s="28"/>
      <c r="O183" s="28"/>
      <c r="P183" s="28"/>
      <c r="Q183" s="28"/>
      <c r="R183" s="28"/>
    </row>
    <row r="184" spans="2:18" x14ac:dyDescent="0.25">
      <c r="B184" s="28">
        <v>31</v>
      </c>
      <c r="C184" s="28" t="s">
        <v>1789</v>
      </c>
      <c r="D184" s="28" t="s">
        <v>1789</v>
      </c>
      <c r="E184" s="108">
        <v>45400</v>
      </c>
      <c r="F184" s="109">
        <v>0.70902777777777781</v>
      </c>
      <c r="G184" s="28" t="s">
        <v>2109</v>
      </c>
      <c r="H184" s="124" t="s">
        <v>1904</v>
      </c>
      <c r="I184" s="124"/>
      <c r="J184" s="28" t="s">
        <v>2443</v>
      </c>
      <c r="K184" s="28"/>
      <c r="L184" s="28"/>
      <c r="M184" s="28"/>
      <c r="N184" s="28"/>
      <c r="O184" s="28"/>
      <c r="P184" s="28"/>
      <c r="Q184" s="28"/>
      <c r="R184" s="28"/>
    </row>
    <row r="185" spans="2:18" x14ac:dyDescent="0.25">
      <c r="B185" s="28">
        <v>32</v>
      </c>
      <c r="C185" s="28" t="s">
        <v>1789</v>
      </c>
      <c r="D185" s="28" t="s">
        <v>1789</v>
      </c>
      <c r="E185" s="108">
        <v>45400</v>
      </c>
      <c r="F185" s="109">
        <v>0.71597222222222223</v>
      </c>
      <c r="G185" s="28" t="s">
        <v>2110</v>
      </c>
      <c r="H185" s="124" t="s">
        <v>1904</v>
      </c>
      <c r="I185" s="124"/>
      <c r="J185" s="28" t="s">
        <v>2443</v>
      </c>
      <c r="K185" s="28"/>
      <c r="L185" s="28"/>
      <c r="M185" s="28"/>
      <c r="N185" s="28"/>
      <c r="O185" s="28"/>
      <c r="P185" s="28"/>
      <c r="Q185" s="28"/>
      <c r="R185" s="28"/>
    </row>
    <row r="186" spans="2:18" x14ac:dyDescent="0.25">
      <c r="B186" s="28">
        <v>33</v>
      </c>
      <c r="C186" s="28" t="s">
        <v>1789</v>
      </c>
      <c r="D186" s="28" t="s">
        <v>1789</v>
      </c>
      <c r="E186" s="108">
        <v>45400</v>
      </c>
      <c r="F186" s="109">
        <v>0.80138888888888893</v>
      </c>
      <c r="G186" s="28" t="s">
        <v>2111</v>
      </c>
      <c r="H186" s="124" t="s">
        <v>1904</v>
      </c>
      <c r="I186" s="124"/>
      <c r="J186" s="28" t="s">
        <v>2443</v>
      </c>
      <c r="K186" s="28"/>
      <c r="L186" s="28"/>
      <c r="M186" s="28"/>
      <c r="N186" s="28"/>
      <c r="O186" s="28"/>
      <c r="P186" s="28"/>
      <c r="Q186" s="28"/>
      <c r="R186" s="28"/>
    </row>
    <row r="187" spans="2:18" x14ac:dyDescent="0.25">
      <c r="B187" s="28">
        <v>34</v>
      </c>
      <c r="C187" s="28" t="s">
        <v>1789</v>
      </c>
      <c r="D187" s="28" t="s">
        <v>1789</v>
      </c>
      <c r="E187" s="108">
        <v>45401</v>
      </c>
      <c r="F187" s="109">
        <v>0.41388888888888886</v>
      </c>
      <c r="G187" s="28" t="s">
        <v>2112</v>
      </c>
      <c r="H187" s="124" t="s">
        <v>1904</v>
      </c>
      <c r="I187" s="124"/>
      <c r="J187" s="28" t="s">
        <v>2443</v>
      </c>
      <c r="K187" s="28"/>
      <c r="L187" s="28"/>
      <c r="M187" s="28"/>
      <c r="N187" s="28"/>
      <c r="O187" s="28"/>
      <c r="P187" s="28"/>
      <c r="Q187" s="28"/>
      <c r="R187" s="28"/>
    </row>
    <row r="188" spans="2:18" x14ac:dyDescent="0.25">
      <c r="B188" s="28">
        <v>35</v>
      </c>
      <c r="C188" s="28" t="s">
        <v>1789</v>
      </c>
      <c r="D188" s="28" t="s">
        <v>1789</v>
      </c>
      <c r="E188" s="108">
        <v>45401</v>
      </c>
      <c r="F188" s="109">
        <v>0.55902777777777779</v>
      </c>
      <c r="G188" s="28" t="s">
        <v>2113</v>
      </c>
      <c r="H188" s="124" t="s">
        <v>1904</v>
      </c>
      <c r="I188" s="124"/>
      <c r="J188" s="28" t="s">
        <v>2443</v>
      </c>
      <c r="K188" s="28"/>
      <c r="L188" s="28"/>
      <c r="M188" s="28"/>
      <c r="N188" s="28"/>
      <c r="O188" s="28"/>
      <c r="P188" s="28"/>
      <c r="Q188" s="28"/>
      <c r="R188" s="28"/>
    </row>
    <row r="189" spans="2:18" x14ac:dyDescent="0.25">
      <c r="B189" s="28">
        <v>36</v>
      </c>
      <c r="C189" s="28" t="s">
        <v>1789</v>
      </c>
      <c r="D189" s="28" t="s">
        <v>1789</v>
      </c>
      <c r="E189" s="108">
        <v>45401</v>
      </c>
      <c r="F189" s="109">
        <v>0.85624999999999996</v>
      </c>
      <c r="G189" s="28" t="s">
        <v>2114</v>
      </c>
      <c r="H189" s="124" t="s">
        <v>1904</v>
      </c>
      <c r="I189" s="124"/>
      <c r="J189" s="28" t="s">
        <v>2443</v>
      </c>
      <c r="K189" s="28"/>
      <c r="L189" s="28"/>
      <c r="M189" s="28"/>
      <c r="N189" s="28"/>
      <c r="O189" s="28"/>
      <c r="P189" s="28"/>
      <c r="Q189" s="28"/>
      <c r="R189" s="28"/>
    </row>
    <row r="190" spans="2:18" x14ac:dyDescent="0.25">
      <c r="B190" s="28">
        <v>37</v>
      </c>
      <c r="C190" s="28" t="s">
        <v>1789</v>
      </c>
      <c r="D190" s="28" t="s">
        <v>1789</v>
      </c>
      <c r="E190" s="108">
        <v>45403</v>
      </c>
      <c r="F190" s="109">
        <v>0.30486111111111114</v>
      </c>
      <c r="G190" s="28" t="s">
        <v>2115</v>
      </c>
      <c r="H190" s="124" t="s">
        <v>1904</v>
      </c>
      <c r="I190" s="124"/>
      <c r="J190" s="28" t="s">
        <v>2443</v>
      </c>
      <c r="K190" s="28"/>
      <c r="L190" s="28"/>
      <c r="M190" s="28"/>
      <c r="N190" s="28"/>
      <c r="O190" s="28"/>
      <c r="P190" s="28"/>
      <c r="Q190" s="28"/>
      <c r="R190" s="28"/>
    </row>
    <row r="191" spans="2:18" x14ac:dyDescent="0.25">
      <c r="B191" s="28">
        <v>38</v>
      </c>
      <c r="C191" s="28" t="s">
        <v>1789</v>
      </c>
      <c r="D191" s="28" t="s">
        <v>1789</v>
      </c>
      <c r="E191" s="108">
        <v>45403</v>
      </c>
      <c r="F191" s="109">
        <v>0.75902777777777775</v>
      </c>
      <c r="G191" s="28" t="s">
        <v>2116</v>
      </c>
      <c r="H191" s="124" t="s">
        <v>1904</v>
      </c>
      <c r="I191" s="124"/>
      <c r="J191" s="28" t="s">
        <v>2443</v>
      </c>
      <c r="K191" s="28"/>
      <c r="L191" s="28"/>
      <c r="M191" s="28"/>
      <c r="N191" s="28"/>
      <c r="O191" s="28"/>
      <c r="P191" s="28"/>
      <c r="Q191" s="28"/>
      <c r="R191" s="28"/>
    </row>
    <row r="192" spans="2:18" x14ac:dyDescent="0.25">
      <c r="B192" s="28">
        <v>39</v>
      </c>
      <c r="C192" s="28" t="s">
        <v>1789</v>
      </c>
      <c r="D192" s="28" t="s">
        <v>1789</v>
      </c>
      <c r="E192" s="108">
        <v>45405</v>
      </c>
      <c r="F192" s="109">
        <v>0.66736111111111107</v>
      </c>
      <c r="G192" s="28" t="s">
        <v>2117</v>
      </c>
      <c r="H192" s="124" t="s">
        <v>1904</v>
      </c>
      <c r="I192" s="124"/>
      <c r="J192" s="28" t="s">
        <v>2443</v>
      </c>
      <c r="K192" s="28"/>
      <c r="L192" s="28"/>
      <c r="M192" s="28"/>
      <c r="N192" s="28"/>
      <c r="O192" s="28"/>
      <c r="P192" s="28"/>
      <c r="Q192" s="28"/>
      <c r="R192" s="28"/>
    </row>
    <row r="193" spans="2:18" ht="39" x14ac:dyDescent="0.25">
      <c r="B193" s="28">
        <v>40</v>
      </c>
      <c r="C193" s="28" t="s">
        <v>1789</v>
      </c>
      <c r="D193" s="28" t="s">
        <v>1789</v>
      </c>
      <c r="E193" s="108">
        <v>45406</v>
      </c>
      <c r="F193" s="109">
        <v>0.87222222222222223</v>
      </c>
      <c r="G193" s="28" t="s">
        <v>2118</v>
      </c>
      <c r="H193" s="124" t="s">
        <v>1904</v>
      </c>
      <c r="I193" s="124"/>
      <c r="J193" s="28" t="s">
        <v>2443</v>
      </c>
      <c r="K193" s="28"/>
      <c r="L193" s="28"/>
      <c r="M193" s="28"/>
      <c r="N193" s="28"/>
      <c r="O193" s="28"/>
      <c r="P193" s="28"/>
      <c r="Q193" s="28"/>
      <c r="R193" s="28"/>
    </row>
    <row r="194" spans="2:18" x14ac:dyDescent="0.25">
      <c r="B194" s="28">
        <v>41</v>
      </c>
      <c r="C194" s="28" t="s">
        <v>1789</v>
      </c>
      <c r="D194" s="28" t="s">
        <v>1789</v>
      </c>
      <c r="E194" s="108">
        <v>45406</v>
      </c>
      <c r="F194" s="109">
        <v>0.89027777777777772</v>
      </c>
      <c r="G194" s="28" t="s">
        <v>2119</v>
      </c>
      <c r="H194" s="124" t="s">
        <v>1904</v>
      </c>
      <c r="I194" s="124"/>
      <c r="J194" s="28" t="s">
        <v>2443</v>
      </c>
      <c r="K194" s="28"/>
      <c r="L194" s="28"/>
      <c r="M194" s="28"/>
      <c r="N194" s="28"/>
      <c r="O194" s="28"/>
      <c r="P194" s="28"/>
      <c r="Q194" s="28"/>
      <c r="R194" s="28"/>
    </row>
    <row r="195" spans="2:18" x14ac:dyDescent="0.25">
      <c r="B195" s="28">
        <v>42</v>
      </c>
      <c r="C195" s="28" t="s">
        <v>1789</v>
      </c>
      <c r="D195" s="28" t="s">
        <v>1789</v>
      </c>
      <c r="E195" s="108">
        <v>45407</v>
      </c>
      <c r="F195" s="109">
        <v>0.6381944444444444</v>
      </c>
      <c r="G195" s="28" t="s">
        <v>2120</v>
      </c>
      <c r="H195" s="124" t="s">
        <v>1904</v>
      </c>
      <c r="I195" s="124"/>
      <c r="J195" s="28" t="s">
        <v>2443</v>
      </c>
      <c r="K195" s="28"/>
      <c r="L195" s="28"/>
      <c r="M195" s="28"/>
      <c r="N195" s="28"/>
      <c r="O195" s="28"/>
      <c r="P195" s="28"/>
      <c r="Q195" s="28"/>
      <c r="R195" s="28"/>
    </row>
    <row r="196" spans="2:18" ht="39" x14ac:dyDescent="0.25">
      <c r="B196" s="28">
        <v>43</v>
      </c>
      <c r="C196" s="28" t="s">
        <v>1789</v>
      </c>
      <c r="D196" s="28" t="s">
        <v>1789</v>
      </c>
      <c r="E196" s="108">
        <v>45407</v>
      </c>
      <c r="F196" s="109">
        <v>0.79861111111111116</v>
      </c>
      <c r="G196" s="28" t="s">
        <v>2121</v>
      </c>
      <c r="H196" s="124" t="s">
        <v>1904</v>
      </c>
      <c r="I196" s="124"/>
      <c r="J196" s="28" t="s">
        <v>2443</v>
      </c>
      <c r="K196" s="28"/>
      <c r="L196" s="28"/>
      <c r="M196" s="28"/>
      <c r="N196" s="28"/>
      <c r="O196" s="28"/>
      <c r="P196" s="28"/>
      <c r="Q196" s="28"/>
      <c r="R196" s="28"/>
    </row>
    <row r="197" spans="2:18" x14ac:dyDescent="0.25">
      <c r="B197" s="28">
        <v>44</v>
      </c>
      <c r="C197" s="28" t="s">
        <v>1789</v>
      </c>
      <c r="D197" s="28" t="s">
        <v>1789</v>
      </c>
      <c r="E197" s="108">
        <v>45408</v>
      </c>
      <c r="F197" s="109">
        <v>0.54027777777777775</v>
      </c>
      <c r="G197" s="28" t="s">
        <v>2122</v>
      </c>
      <c r="H197" s="124" t="s">
        <v>1861</v>
      </c>
      <c r="I197" s="124"/>
      <c r="J197" s="28" t="s">
        <v>2443</v>
      </c>
      <c r="K197" s="28"/>
      <c r="L197" s="28"/>
      <c r="M197" s="28"/>
      <c r="N197" s="28"/>
      <c r="O197" s="28"/>
      <c r="P197" s="28"/>
      <c r="Q197" s="28"/>
      <c r="R197" s="28"/>
    </row>
    <row r="198" spans="2:18" ht="39" x14ac:dyDescent="0.25">
      <c r="B198" s="28">
        <v>45</v>
      </c>
      <c r="C198" s="28" t="s">
        <v>1789</v>
      </c>
      <c r="D198" s="28" t="s">
        <v>1789</v>
      </c>
      <c r="E198" s="28" t="s">
        <v>1071</v>
      </c>
      <c r="F198" s="109">
        <v>0.61041666666666672</v>
      </c>
      <c r="G198" s="28" t="s">
        <v>2123</v>
      </c>
      <c r="H198" s="124" t="s">
        <v>1861</v>
      </c>
      <c r="I198" s="124"/>
      <c r="J198" s="28" t="s">
        <v>2443</v>
      </c>
      <c r="K198" s="28"/>
      <c r="L198" s="28"/>
      <c r="M198" s="28"/>
      <c r="N198" s="28"/>
      <c r="O198" s="28"/>
      <c r="P198" s="28"/>
      <c r="Q198" s="28"/>
      <c r="R198" s="28"/>
    </row>
    <row r="199" spans="2:18" x14ac:dyDescent="0.25">
      <c r="B199" s="28">
        <v>46</v>
      </c>
      <c r="C199" s="28" t="s">
        <v>1789</v>
      </c>
      <c r="D199" s="28" t="s">
        <v>1789</v>
      </c>
      <c r="E199" s="108">
        <v>45409</v>
      </c>
      <c r="F199" s="109">
        <v>1.3888888888888888E-2</v>
      </c>
      <c r="G199" s="28" t="s">
        <v>2124</v>
      </c>
      <c r="H199" s="124" t="s">
        <v>1861</v>
      </c>
      <c r="I199" s="124"/>
      <c r="J199" s="28" t="s">
        <v>2443</v>
      </c>
      <c r="K199" s="28"/>
      <c r="L199" s="28"/>
      <c r="M199" s="28"/>
      <c r="N199" s="28"/>
      <c r="O199" s="28"/>
      <c r="P199" s="28"/>
      <c r="Q199" s="28"/>
      <c r="R199" s="28"/>
    </row>
    <row r="200" spans="2:18" x14ac:dyDescent="0.25">
      <c r="B200" s="28">
        <v>47</v>
      </c>
      <c r="C200" s="28" t="s">
        <v>1789</v>
      </c>
      <c r="D200" s="28" t="s">
        <v>1789</v>
      </c>
      <c r="E200" s="108">
        <v>45410</v>
      </c>
      <c r="F200" s="109">
        <v>0.69166666666666665</v>
      </c>
      <c r="G200" s="28" t="s">
        <v>2125</v>
      </c>
      <c r="H200" s="124" t="s">
        <v>1861</v>
      </c>
      <c r="I200" s="124"/>
      <c r="J200" s="28" t="s">
        <v>2443</v>
      </c>
      <c r="K200" s="28"/>
      <c r="L200" s="28"/>
      <c r="M200" s="28"/>
      <c r="N200" s="28"/>
      <c r="O200" s="28"/>
      <c r="P200" s="28"/>
      <c r="Q200" s="28"/>
      <c r="R200" s="28"/>
    </row>
    <row r="201" spans="2:18" ht="39" x14ac:dyDescent="0.25">
      <c r="B201" s="28">
        <v>48</v>
      </c>
      <c r="C201" s="28" t="s">
        <v>1789</v>
      </c>
      <c r="D201" s="28" t="s">
        <v>1789</v>
      </c>
      <c r="E201" s="108">
        <v>45411</v>
      </c>
      <c r="F201" s="109">
        <v>0.84236111111111112</v>
      </c>
      <c r="G201" s="28" t="s">
        <v>2126</v>
      </c>
      <c r="H201" s="124" t="s">
        <v>1861</v>
      </c>
      <c r="I201" s="124"/>
      <c r="J201" s="28" t="s">
        <v>2443</v>
      </c>
      <c r="K201" s="28"/>
      <c r="L201" s="28"/>
      <c r="M201" s="28"/>
      <c r="N201" s="28"/>
      <c r="O201" s="28"/>
      <c r="P201" s="28"/>
      <c r="Q201" s="28"/>
      <c r="R201" s="28"/>
    </row>
    <row r="202" spans="2:18" ht="58.5" x14ac:dyDescent="0.25">
      <c r="B202" s="28">
        <v>49</v>
      </c>
      <c r="C202" s="28" t="s">
        <v>1789</v>
      </c>
      <c r="D202" s="28" t="s">
        <v>1789</v>
      </c>
      <c r="E202" s="28" t="s">
        <v>1080</v>
      </c>
      <c r="F202" s="109">
        <v>0.84861111111111109</v>
      </c>
      <c r="G202" s="26" t="s">
        <v>2127</v>
      </c>
      <c r="H202" s="124" t="s">
        <v>1861</v>
      </c>
      <c r="I202" s="124"/>
      <c r="J202" s="28" t="s">
        <v>2443</v>
      </c>
      <c r="K202" s="28"/>
      <c r="L202" s="28"/>
      <c r="M202" s="28"/>
      <c r="N202" s="28"/>
      <c r="O202" s="28"/>
      <c r="P202" s="28"/>
      <c r="Q202" s="28"/>
      <c r="R202" s="28"/>
    </row>
    <row r="203" spans="2:18" ht="39" x14ac:dyDescent="0.25">
      <c r="B203" s="28">
        <v>50</v>
      </c>
      <c r="C203" s="28" t="s">
        <v>1789</v>
      </c>
      <c r="D203" s="28" t="s">
        <v>1789</v>
      </c>
      <c r="E203" s="108">
        <v>45411</v>
      </c>
      <c r="F203" s="109">
        <v>0.94236111111111109</v>
      </c>
      <c r="G203" s="28" t="s">
        <v>2128</v>
      </c>
      <c r="H203" s="124" t="s">
        <v>1861</v>
      </c>
      <c r="I203" s="124"/>
      <c r="J203" s="28" t="s">
        <v>2443</v>
      </c>
      <c r="K203" s="28"/>
      <c r="L203" s="28"/>
      <c r="M203" s="28"/>
      <c r="N203" s="28"/>
      <c r="O203" s="28"/>
      <c r="P203" s="28"/>
      <c r="Q203" s="28"/>
      <c r="R203" s="28"/>
    </row>
    <row r="204" spans="2:18" x14ac:dyDescent="0.25">
      <c r="B204" s="28">
        <v>51</v>
      </c>
      <c r="C204" s="28" t="s">
        <v>1789</v>
      </c>
      <c r="D204" s="28" t="s">
        <v>1789</v>
      </c>
      <c r="E204" s="108">
        <v>45411</v>
      </c>
      <c r="F204" s="109">
        <v>0.95625000000000004</v>
      </c>
      <c r="G204" s="28" t="s">
        <v>2129</v>
      </c>
      <c r="H204" s="124" t="s">
        <v>1861</v>
      </c>
      <c r="I204" s="124"/>
      <c r="J204" s="28" t="s">
        <v>2443</v>
      </c>
      <c r="K204" s="28"/>
      <c r="L204" s="28"/>
      <c r="M204" s="28"/>
      <c r="N204" s="28"/>
      <c r="O204" s="28"/>
      <c r="P204" s="28"/>
      <c r="Q204" s="28"/>
      <c r="R204" s="28"/>
    </row>
    <row r="205" spans="2:18" ht="39" x14ac:dyDescent="0.25">
      <c r="B205" s="28">
        <v>52</v>
      </c>
      <c r="C205" s="28" t="s">
        <v>1789</v>
      </c>
      <c r="D205" s="28" t="s">
        <v>1789</v>
      </c>
      <c r="E205" s="108">
        <v>45412</v>
      </c>
      <c r="F205" s="109">
        <v>0.72430555555555554</v>
      </c>
      <c r="G205" s="28" t="s">
        <v>2130</v>
      </c>
      <c r="H205" s="124" t="s">
        <v>1861</v>
      </c>
      <c r="I205" s="124"/>
      <c r="J205" s="28" t="s">
        <v>2443</v>
      </c>
      <c r="K205" s="28"/>
      <c r="L205" s="28"/>
      <c r="M205" s="28"/>
      <c r="N205" s="28"/>
      <c r="O205" s="28"/>
      <c r="P205" s="28"/>
      <c r="Q205" s="28"/>
      <c r="R205" s="28"/>
    </row>
    <row r="206" spans="2:18" x14ac:dyDescent="0.25">
      <c r="B206" s="28">
        <v>53</v>
      </c>
      <c r="C206" s="28" t="s">
        <v>1789</v>
      </c>
      <c r="D206" s="28" t="s">
        <v>1789</v>
      </c>
      <c r="E206" s="108">
        <v>45412</v>
      </c>
      <c r="F206" s="109">
        <v>0.72361111111111109</v>
      </c>
      <c r="G206" s="28" t="s">
        <v>2131</v>
      </c>
      <c r="H206" s="124" t="s">
        <v>1904</v>
      </c>
      <c r="I206" s="124"/>
      <c r="J206" s="28" t="s">
        <v>2443</v>
      </c>
      <c r="K206" s="28"/>
      <c r="L206" s="28"/>
      <c r="M206" s="28"/>
      <c r="N206" s="28"/>
      <c r="O206" s="28"/>
      <c r="P206" s="28"/>
      <c r="Q206" s="28"/>
      <c r="R206" s="28"/>
    </row>
    <row r="207" spans="2:18" x14ac:dyDescent="0.25">
      <c r="B207" s="28">
        <v>54</v>
      </c>
      <c r="C207" s="28" t="s">
        <v>1789</v>
      </c>
      <c r="D207" s="28" t="s">
        <v>1789</v>
      </c>
      <c r="E207" s="108">
        <v>45412</v>
      </c>
      <c r="F207" s="109">
        <v>0.82430555555555551</v>
      </c>
      <c r="G207" s="28" t="s">
        <v>2132</v>
      </c>
      <c r="H207" s="124" t="s">
        <v>1904</v>
      </c>
      <c r="I207" s="124"/>
      <c r="J207" s="28" t="s">
        <v>2443</v>
      </c>
      <c r="K207" s="28"/>
      <c r="L207" s="28"/>
      <c r="M207" s="28"/>
      <c r="N207" s="28"/>
      <c r="O207" s="28"/>
      <c r="P207" s="28"/>
      <c r="Q207" s="28"/>
      <c r="R207" s="28"/>
    </row>
    <row r="208" spans="2:18" x14ac:dyDescent="0.25">
      <c r="B208" s="28">
        <v>1</v>
      </c>
      <c r="C208" s="28" t="s">
        <v>1789</v>
      </c>
      <c r="D208" s="28" t="s">
        <v>1789</v>
      </c>
      <c r="E208" s="108">
        <v>45413</v>
      </c>
      <c r="F208" s="109">
        <v>0.51666666666666672</v>
      </c>
      <c r="G208" s="122" t="s">
        <v>2133</v>
      </c>
      <c r="H208" s="124" t="s">
        <v>1904</v>
      </c>
      <c r="I208" s="124"/>
      <c r="J208" s="28" t="s">
        <v>340</v>
      </c>
      <c r="K208" s="28">
        <v>5000</v>
      </c>
      <c r="L208" s="28">
        <v>95000</v>
      </c>
      <c r="M208" s="28" t="s">
        <v>20</v>
      </c>
      <c r="N208" s="28" t="s">
        <v>20</v>
      </c>
      <c r="O208" s="28" t="s">
        <v>20</v>
      </c>
      <c r="P208" s="28" t="s">
        <v>20</v>
      </c>
      <c r="Q208" s="28" t="s">
        <v>20</v>
      </c>
      <c r="R208" s="28" t="s">
        <v>20</v>
      </c>
    </row>
    <row r="209" spans="2:18" x14ac:dyDescent="0.25">
      <c r="B209" s="28">
        <v>2</v>
      </c>
      <c r="C209" s="28" t="s">
        <v>1789</v>
      </c>
      <c r="D209" s="28" t="s">
        <v>1789</v>
      </c>
      <c r="E209" s="123">
        <v>45413</v>
      </c>
      <c r="F209" s="109">
        <v>0.79166666666666663</v>
      </c>
      <c r="G209" s="122" t="s">
        <v>2134</v>
      </c>
      <c r="H209" s="124" t="s">
        <v>385</v>
      </c>
      <c r="I209" s="124"/>
      <c r="J209" s="122" t="s">
        <v>480</v>
      </c>
      <c r="K209" s="28">
        <v>5000</v>
      </c>
      <c r="L209" s="28">
        <v>45000</v>
      </c>
      <c r="M209" s="28" t="s">
        <v>20</v>
      </c>
      <c r="N209" s="28" t="s">
        <v>20</v>
      </c>
      <c r="O209" s="28" t="s">
        <v>20</v>
      </c>
      <c r="P209" s="28" t="s">
        <v>20</v>
      </c>
      <c r="Q209" s="28" t="s">
        <v>20</v>
      </c>
      <c r="R209" s="28" t="s">
        <v>20</v>
      </c>
    </row>
    <row r="210" spans="2:18" x14ac:dyDescent="0.25">
      <c r="B210" s="28">
        <v>3</v>
      </c>
      <c r="C210" s="28" t="s">
        <v>1789</v>
      </c>
      <c r="D210" s="28" t="s">
        <v>1789</v>
      </c>
      <c r="E210" s="123">
        <v>45415</v>
      </c>
      <c r="F210" s="109">
        <v>0.40972222222222221</v>
      </c>
      <c r="G210" s="122" t="s">
        <v>2135</v>
      </c>
      <c r="H210" s="124" t="s">
        <v>1904</v>
      </c>
      <c r="I210" s="124"/>
      <c r="J210" s="122" t="s">
        <v>1994</v>
      </c>
      <c r="K210" s="28">
        <v>2000</v>
      </c>
      <c r="L210" s="28">
        <v>980000</v>
      </c>
      <c r="M210" s="28" t="s">
        <v>20</v>
      </c>
      <c r="N210" s="28" t="s">
        <v>20</v>
      </c>
      <c r="O210" s="28" t="s">
        <v>20</v>
      </c>
      <c r="P210" s="28" t="s">
        <v>20</v>
      </c>
      <c r="Q210" s="28" t="s">
        <v>20</v>
      </c>
      <c r="R210" s="28" t="s">
        <v>20</v>
      </c>
    </row>
    <row r="211" spans="2:18" x14ac:dyDescent="0.25">
      <c r="B211" s="28">
        <v>4</v>
      </c>
      <c r="C211" s="28" t="s">
        <v>1789</v>
      </c>
      <c r="D211" s="28" t="s">
        <v>1789</v>
      </c>
      <c r="E211" s="123">
        <v>45415</v>
      </c>
      <c r="F211" s="109">
        <v>0.42222222222222222</v>
      </c>
      <c r="G211" s="122" t="s">
        <v>2136</v>
      </c>
      <c r="H211" s="124" t="s">
        <v>1904</v>
      </c>
      <c r="I211" s="124"/>
      <c r="J211" s="122" t="s">
        <v>2019</v>
      </c>
      <c r="K211" s="28">
        <v>0</v>
      </c>
      <c r="L211" s="28">
        <v>2000000</v>
      </c>
      <c r="M211" s="28" t="s">
        <v>20</v>
      </c>
      <c r="N211" s="28" t="s">
        <v>20</v>
      </c>
      <c r="O211" s="28" t="s">
        <v>20</v>
      </c>
      <c r="P211" s="28" t="s">
        <v>20</v>
      </c>
      <c r="Q211" s="28" t="s">
        <v>20</v>
      </c>
      <c r="R211" s="28" t="s">
        <v>20</v>
      </c>
    </row>
    <row r="212" spans="2:18" x14ac:dyDescent="0.25">
      <c r="B212" s="28">
        <v>5</v>
      </c>
      <c r="C212" s="28" t="s">
        <v>1789</v>
      </c>
      <c r="D212" s="28" t="s">
        <v>1789</v>
      </c>
      <c r="E212" s="123">
        <v>45415</v>
      </c>
      <c r="F212" s="109">
        <v>0.67083333333333328</v>
      </c>
      <c r="G212" s="122" t="s">
        <v>2137</v>
      </c>
      <c r="H212" s="124" t="s">
        <v>526</v>
      </c>
      <c r="I212" s="124"/>
      <c r="J212" s="122" t="s">
        <v>2138</v>
      </c>
      <c r="K212" s="28">
        <v>1200000</v>
      </c>
      <c r="L212" s="28">
        <v>1800000</v>
      </c>
      <c r="M212" s="28" t="s">
        <v>20</v>
      </c>
      <c r="N212" s="28" t="s">
        <v>20</v>
      </c>
      <c r="O212" s="28" t="s">
        <v>20</v>
      </c>
      <c r="P212" s="28" t="s">
        <v>20</v>
      </c>
      <c r="Q212" s="28" t="s">
        <v>20</v>
      </c>
      <c r="R212" s="28" t="s">
        <v>20</v>
      </c>
    </row>
    <row r="213" spans="2:18" ht="39" x14ac:dyDescent="0.25">
      <c r="B213" s="28">
        <v>6</v>
      </c>
      <c r="C213" s="28" t="s">
        <v>1789</v>
      </c>
      <c r="D213" s="28" t="s">
        <v>1789</v>
      </c>
      <c r="E213" s="123">
        <v>45415</v>
      </c>
      <c r="F213" s="109">
        <v>0.85763888888888884</v>
      </c>
      <c r="G213" s="122" t="s">
        <v>2139</v>
      </c>
      <c r="H213" s="124" t="s">
        <v>2007</v>
      </c>
      <c r="I213" s="124"/>
      <c r="J213" s="122" t="s">
        <v>1992</v>
      </c>
      <c r="K213" s="28"/>
      <c r="L213" s="28"/>
      <c r="M213" s="28" t="s">
        <v>20</v>
      </c>
      <c r="N213" s="28" t="s">
        <v>20</v>
      </c>
      <c r="O213" s="28" t="s">
        <v>20</v>
      </c>
      <c r="P213" s="28" t="s">
        <v>20</v>
      </c>
      <c r="Q213" s="28" t="s">
        <v>20</v>
      </c>
      <c r="R213" s="28" t="s">
        <v>20</v>
      </c>
    </row>
    <row r="214" spans="2:18" x14ac:dyDescent="0.25">
      <c r="B214" s="28">
        <v>7</v>
      </c>
      <c r="C214" s="28" t="s">
        <v>1789</v>
      </c>
      <c r="D214" s="28" t="s">
        <v>1789</v>
      </c>
      <c r="E214" s="123">
        <v>45415</v>
      </c>
      <c r="F214" s="109">
        <v>0.86875000000000002</v>
      </c>
      <c r="G214" s="122" t="s">
        <v>2140</v>
      </c>
      <c r="H214" s="124" t="s">
        <v>1904</v>
      </c>
      <c r="I214" s="124"/>
      <c r="J214" s="122" t="s">
        <v>2019</v>
      </c>
      <c r="K214" s="28">
        <v>0</v>
      </c>
      <c r="L214" s="28">
        <v>50000</v>
      </c>
      <c r="M214" s="28" t="s">
        <v>20</v>
      </c>
      <c r="N214" s="28" t="s">
        <v>20</v>
      </c>
      <c r="O214" s="28" t="s">
        <v>20</v>
      </c>
      <c r="P214" s="28" t="s">
        <v>20</v>
      </c>
      <c r="Q214" s="28" t="s">
        <v>20</v>
      </c>
      <c r="R214" s="28" t="s">
        <v>20</v>
      </c>
    </row>
    <row r="215" spans="2:18" x14ac:dyDescent="0.25">
      <c r="B215" s="28">
        <v>8</v>
      </c>
      <c r="C215" s="28" t="s">
        <v>1789</v>
      </c>
      <c r="D215" s="28" t="s">
        <v>1789</v>
      </c>
      <c r="E215" s="123">
        <v>45416</v>
      </c>
      <c r="F215" s="109">
        <v>0.46250000000000002</v>
      </c>
      <c r="G215" s="122" t="s">
        <v>2141</v>
      </c>
      <c r="H215" s="124" t="s">
        <v>526</v>
      </c>
      <c r="I215" s="124"/>
      <c r="J215" s="122" t="s">
        <v>1947</v>
      </c>
      <c r="K215" s="28">
        <v>50000</v>
      </c>
      <c r="L215" s="28">
        <v>7950000</v>
      </c>
      <c r="M215" s="28" t="s">
        <v>20</v>
      </c>
      <c r="N215" s="28" t="s">
        <v>20</v>
      </c>
      <c r="O215" s="28" t="s">
        <v>20</v>
      </c>
      <c r="P215" s="28" t="s">
        <v>20</v>
      </c>
      <c r="Q215" s="28" t="s">
        <v>20</v>
      </c>
      <c r="R215" s="28" t="s">
        <v>20</v>
      </c>
    </row>
    <row r="216" spans="2:18" x14ac:dyDescent="0.25">
      <c r="B216" s="28">
        <v>9</v>
      </c>
      <c r="C216" s="28" t="s">
        <v>1789</v>
      </c>
      <c r="D216" s="28" t="s">
        <v>1789</v>
      </c>
      <c r="E216" s="123">
        <v>45416</v>
      </c>
      <c r="F216" s="109">
        <v>0.56180555555555556</v>
      </c>
      <c r="G216" s="122" t="s">
        <v>2142</v>
      </c>
      <c r="H216" s="124" t="s">
        <v>1904</v>
      </c>
      <c r="I216" s="124"/>
      <c r="J216" s="122" t="s">
        <v>340</v>
      </c>
      <c r="K216" s="28">
        <v>0</v>
      </c>
      <c r="L216" s="28">
        <v>100000</v>
      </c>
      <c r="M216" s="28" t="s">
        <v>20</v>
      </c>
      <c r="N216" s="28" t="s">
        <v>20</v>
      </c>
      <c r="O216" s="28" t="s">
        <v>20</v>
      </c>
      <c r="P216" s="28" t="s">
        <v>20</v>
      </c>
      <c r="Q216" s="28" t="s">
        <v>20</v>
      </c>
      <c r="R216" s="28" t="s">
        <v>20</v>
      </c>
    </row>
    <row r="217" spans="2:18" x14ac:dyDescent="0.25">
      <c r="B217" s="28">
        <v>10</v>
      </c>
      <c r="C217" s="28" t="s">
        <v>1789</v>
      </c>
      <c r="D217" s="28" t="s">
        <v>1789</v>
      </c>
      <c r="E217" s="123">
        <v>45416</v>
      </c>
      <c r="F217" s="109">
        <v>0.8354166666666667</v>
      </c>
      <c r="G217" s="122" t="s">
        <v>2143</v>
      </c>
      <c r="H217" s="124" t="s">
        <v>1904</v>
      </c>
      <c r="I217" s="124"/>
      <c r="J217" s="122" t="s">
        <v>1994</v>
      </c>
      <c r="K217" s="28">
        <v>0</v>
      </c>
      <c r="L217" s="28">
        <v>2000000</v>
      </c>
      <c r="M217" s="28" t="s">
        <v>20</v>
      </c>
      <c r="N217" s="28" t="s">
        <v>20</v>
      </c>
      <c r="O217" s="28" t="s">
        <v>20</v>
      </c>
      <c r="P217" s="28" t="s">
        <v>20</v>
      </c>
      <c r="Q217" s="28" t="s">
        <v>20</v>
      </c>
      <c r="R217" s="28" t="s">
        <v>20</v>
      </c>
    </row>
    <row r="218" spans="2:18" x14ac:dyDescent="0.25">
      <c r="B218" s="28">
        <v>11</v>
      </c>
      <c r="C218" s="28" t="s">
        <v>1789</v>
      </c>
      <c r="D218" s="28" t="s">
        <v>1789</v>
      </c>
      <c r="E218" s="123">
        <v>45416</v>
      </c>
      <c r="F218" s="109">
        <v>0.85763888888888884</v>
      </c>
      <c r="G218" s="122" t="s">
        <v>2144</v>
      </c>
      <c r="H218" s="124" t="s">
        <v>1904</v>
      </c>
      <c r="I218" s="124"/>
      <c r="J218" s="122" t="s">
        <v>1994</v>
      </c>
      <c r="K218" s="28">
        <v>0</v>
      </c>
      <c r="L218" s="28">
        <v>5000000</v>
      </c>
      <c r="M218" s="28"/>
      <c r="N218" s="28"/>
      <c r="O218" s="28"/>
      <c r="P218" s="28"/>
      <c r="Q218" s="28"/>
      <c r="R218" s="28"/>
    </row>
    <row r="219" spans="2:18" x14ac:dyDescent="0.25">
      <c r="B219" s="28">
        <v>12</v>
      </c>
      <c r="C219" s="28" t="s">
        <v>1789</v>
      </c>
      <c r="D219" s="28" t="s">
        <v>1789</v>
      </c>
      <c r="E219" s="123">
        <v>45417</v>
      </c>
      <c r="F219" s="109">
        <v>0.20694444444444443</v>
      </c>
      <c r="G219" s="122" t="s">
        <v>2145</v>
      </c>
      <c r="H219" s="124" t="s">
        <v>1904</v>
      </c>
      <c r="I219" s="124"/>
      <c r="J219" s="122" t="s">
        <v>1994</v>
      </c>
      <c r="K219" s="28">
        <v>200000</v>
      </c>
      <c r="L219" s="28">
        <v>200000</v>
      </c>
      <c r="M219" s="28" t="s">
        <v>20</v>
      </c>
      <c r="N219" s="28" t="s">
        <v>20</v>
      </c>
      <c r="O219" s="28" t="s">
        <v>20</v>
      </c>
      <c r="P219" s="28" t="s">
        <v>20</v>
      </c>
      <c r="Q219" s="28" t="s">
        <v>20</v>
      </c>
      <c r="R219" s="28" t="s">
        <v>20</v>
      </c>
    </row>
    <row r="220" spans="2:18" ht="39" x14ac:dyDescent="0.25">
      <c r="B220" s="28">
        <v>13</v>
      </c>
      <c r="C220" s="28" t="s">
        <v>1789</v>
      </c>
      <c r="D220" s="28" t="s">
        <v>1789</v>
      </c>
      <c r="E220" s="123">
        <v>45417</v>
      </c>
      <c r="F220" s="109">
        <v>0.21527777777777779</v>
      </c>
      <c r="G220" s="122" t="s">
        <v>2146</v>
      </c>
      <c r="H220" s="124" t="s">
        <v>526</v>
      </c>
      <c r="I220" s="124"/>
      <c r="J220" s="122" t="s">
        <v>2045</v>
      </c>
      <c r="K220" s="28">
        <v>2000</v>
      </c>
      <c r="L220" s="28">
        <v>48000</v>
      </c>
      <c r="M220" s="28" t="s">
        <v>20</v>
      </c>
      <c r="N220" s="28" t="s">
        <v>20</v>
      </c>
      <c r="O220" s="28" t="s">
        <v>20</v>
      </c>
      <c r="P220" s="28" t="s">
        <v>20</v>
      </c>
      <c r="Q220" s="28" t="s">
        <v>20</v>
      </c>
      <c r="R220" s="28" t="s">
        <v>20</v>
      </c>
    </row>
    <row r="221" spans="2:18" x14ac:dyDescent="0.25">
      <c r="B221" s="28">
        <v>14</v>
      </c>
      <c r="C221" s="28" t="s">
        <v>1789</v>
      </c>
      <c r="D221" s="28" t="s">
        <v>1789</v>
      </c>
      <c r="E221" s="123">
        <v>45417</v>
      </c>
      <c r="F221" s="109">
        <v>0.50763888888888886</v>
      </c>
      <c r="G221" s="122" t="s">
        <v>2147</v>
      </c>
      <c r="H221" s="124" t="s">
        <v>1904</v>
      </c>
      <c r="I221" s="124"/>
      <c r="J221" s="122" t="s">
        <v>1994</v>
      </c>
      <c r="K221" s="28">
        <v>1000</v>
      </c>
      <c r="L221" s="28">
        <v>49000</v>
      </c>
      <c r="M221" s="28" t="s">
        <v>20</v>
      </c>
      <c r="N221" s="28" t="s">
        <v>20</v>
      </c>
      <c r="O221" s="28" t="s">
        <v>20</v>
      </c>
      <c r="P221" s="28" t="s">
        <v>20</v>
      </c>
      <c r="Q221" s="28" t="s">
        <v>20</v>
      </c>
      <c r="R221" s="28" t="s">
        <v>20</v>
      </c>
    </row>
    <row r="222" spans="2:18" x14ac:dyDescent="0.25">
      <c r="B222" s="28">
        <v>15</v>
      </c>
      <c r="C222" s="28" t="s">
        <v>1789</v>
      </c>
      <c r="D222" s="28" t="s">
        <v>1789</v>
      </c>
      <c r="E222" s="123">
        <v>45417</v>
      </c>
      <c r="F222" s="109">
        <v>0.5444444444444444</v>
      </c>
      <c r="G222" s="122" t="s">
        <v>2148</v>
      </c>
      <c r="H222" s="124" t="s">
        <v>1904</v>
      </c>
      <c r="I222" s="124"/>
      <c r="J222" s="122" t="s">
        <v>1994</v>
      </c>
      <c r="K222" s="28">
        <v>0</v>
      </c>
      <c r="L222" s="28">
        <v>25000000</v>
      </c>
      <c r="M222" s="28" t="s">
        <v>20</v>
      </c>
      <c r="N222" s="28" t="s">
        <v>20</v>
      </c>
      <c r="O222" s="28" t="s">
        <v>20</v>
      </c>
      <c r="P222" s="28" t="s">
        <v>20</v>
      </c>
      <c r="Q222" s="28" t="s">
        <v>20</v>
      </c>
      <c r="R222" s="28" t="s">
        <v>20</v>
      </c>
    </row>
    <row r="223" spans="2:18" x14ac:dyDescent="0.25">
      <c r="B223" s="28">
        <v>16</v>
      </c>
      <c r="C223" s="28" t="s">
        <v>1789</v>
      </c>
      <c r="D223" s="28" t="s">
        <v>1789</v>
      </c>
      <c r="E223" s="123">
        <v>45417</v>
      </c>
      <c r="F223" s="109">
        <v>0.62083333333333335</v>
      </c>
      <c r="G223" s="122" t="s">
        <v>2149</v>
      </c>
      <c r="H223" s="124" t="s">
        <v>1904</v>
      </c>
      <c r="I223" s="124"/>
      <c r="J223" s="122" t="s">
        <v>2150</v>
      </c>
      <c r="K223" s="28">
        <v>5000</v>
      </c>
      <c r="L223" s="28">
        <v>495000</v>
      </c>
      <c r="M223" s="28"/>
      <c r="N223" s="28"/>
      <c r="O223" s="28"/>
      <c r="P223" s="28"/>
      <c r="Q223" s="28"/>
      <c r="R223" s="28"/>
    </row>
    <row r="224" spans="2:18" ht="39" x14ac:dyDescent="0.25">
      <c r="B224" s="28">
        <v>17</v>
      </c>
      <c r="C224" s="28" t="s">
        <v>1789</v>
      </c>
      <c r="D224" s="28" t="s">
        <v>1789</v>
      </c>
      <c r="E224" s="110">
        <v>45417</v>
      </c>
      <c r="F224" s="109">
        <v>0.62361111111111112</v>
      </c>
      <c r="G224" s="28" t="s">
        <v>2151</v>
      </c>
      <c r="H224" s="124" t="s">
        <v>2152</v>
      </c>
      <c r="I224" s="124"/>
      <c r="J224" s="28" t="s">
        <v>2153</v>
      </c>
      <c r="K224" s="28"/>
      <c r="L224" s="28"/>
      <c r="M224" s="28" t="s">
        <v>20</v>
      </c>
      <c r="N224" s="28" t="s">
        <v>20</v>
      </c>
      <c r="O224" s="28" t="s">
        <v>20</v>
      </c>
      <c r="P224" s="28" t="s">
        <v>20</v>
      </c>
      <c r="Q224" s="28" t="s">
        <v>20</v>
      </c>
      <c r="R224" s="28" t="s">
        <v>20</v>
      </c>
    </row>
    <row r="225" spans="2:18" x14ac:dyDescent="0.25">
      <c r="B225" s="28">
        <v>18</v>
      </c>
      <c r="C225" s="28" t="s">
        <v>1789</v>
      </c>
      <c r="D225" s="28" t="s">
        <v>1789</v>
      </c>
      <c r="E225" s="108">
        <v>45418</v>
      </c>
      <c r="F225" s="109">
        <v>0.88680555555555551</v>
      </c>
      <c r="G225" s="28" t="s">
        <v>2154</v>
      </c>
      <c r="H225" s="124" t="s">
        <v>1904</v>
      </c>
      <c r="I225" s="124"/>
      <c r="J225" s="28"/>
      <c r="K225" s="28">
        <v>0</v>
      </c>
      <c r="L225" s="28">
        <v>200000</v>
      </c>
      <c r="M225" s="28" t="s">
        <v>20</v>
      </c>
      <c r="N225" s="28" t="s">
        <v>20</v>
      </c>
      <c r="O225" s="28" t="s">
        <v>20</v>
      </c>
      <c r="P225" s="28" t="s">
        <v>20</v>
      </c>
      <c r="Q225" s="28" t="s">
        <v>20</v>
      </c>
      <c r="R225" s="28" t="s">
        <v>20</v>
      </c>
    </row>
    <row r="226" spans="2:18" x14ac:dyDescent="0.25">
      <c r="B226" s="28">
        <v>19</v>
      </c>
      <c r="C226" s="28" t="s">
        <v>1789</v>
      </c>
      <c r="D226" s="28" t="s">
        <v>1789</v>
      </c>
      <c r="E226" s="108">
        <v>45418</v>
      </c>
      <c r="F226" s="109">
        <v>0.94236111111111109</v>
      </c>
      <c r="G226" s="122" t="s">
        <v>2155</v>
      </c>
      <c r="H226" s="124" t="s">
        <v>385</v>
      </c>
      <c r="I226" s="124"/>
      <c r="J226" s="28" t="s">
        <v>2045</v>
      </c>
      <c r="K226" s="28">
        <v>0</v>
      </c>
      <c r="L226" s="28">
        <v>100000</v>
      </c>
      <c r="M226" s="28" t="s">
        <v>20</v>
      </c>
      <c r="N226" s="28" t="s">
        <v>20</v>
      </c>
      <c r="O226" s="28" t="s">
        <v>20</v>
      </c>
      <c r="P226" s="28" t="s">
        <v>20</v>
      </c>
      <c r="Q226" s="28" t="s">
        <v>20</v>
      </c>
      <c r="R226" s="28" t="s">
        <v>20</v>
      </c>
    </row>
    <row r="227" spans="2:18" ht="39" x14ac:dyDescent="0.25">
      <c r="B227" s="28">
        <v>20</v>
      </c>
      <c r="C227" s="28" t="s">
        <v>1789</v>
      </c>
      <c r="D227" s="28" t="s">
        <v>1789</v>
      </c>
      <c r="E227" s="108">
        <v>45420</v>
      </c>
      <c r="F227" s="109">
        <v>0.58888888888888891</v>
      </c>
      <c r="G227" s="26" t="s">
        <v>2156</v>
      </c>
      <c r="H227" s="124" t="s">
        <v>406</v>
      </c>
      <c r="I227" s="124"/>
      <c r="J227" s="28" t="s">
        <v>2157</v>
      </c>
      <c r="K227" s="28">
        <v>70000</v>
      </c>
      <c r="L227" s="28">
        <v>10000</v>
      </c>
      <c r="M227" s="28" t="s">
        <v>20</v>
      </c>
      <c r="N227" s="28" t="s">
        <v>20</v>
      </c>
      <c r="O227" s="28" t="s">
        <v>20</v>
      </c>
      <c r="P227" s="28" t="s">
        <v>20</v>
      </c>
      <c r="Q227" s="28" t="s">
        <v>20</v>
      </c>
      <c r="R227" s="28" t="s">
        <v>20</v>
      </c>
    </row>
    <row r="228" spans="2:18" ht="39" x14ac:dyDescent="0.25">
      <c r="B228" s="28">
        <v>21</v>
      </c>
      <c r="C228" s="28" t="s">
        <v>1789</v>
      </c>
      <c r="D228" s="28" t="s">
        <v>1789</v>
      </c>
      <c r="E228" s="108">
        <v>45420</v>
      </c>
      <c r="F228" s="109">
        <v>0.68680555555555556</v>
      </c>
      <c r="G228" s="26" t="s">
        <v>2158</v>
      </c>
      <c r="H228" s="124"/>
      <c r="I228" s="124"/>
      <c r="J228" s="28" t="s">
        <v>2007</v>
      </c>
      <c r="K228" s="28">
        <v>0</v>
      </c>
      <c r="L228" s="28">
        <v>0</v>
      </c>
      <c r="M228" s="28" t="s">
        <v>20</v>
      </c>
      <c r="N228" s="28" t="s">
        <v>20</v>
      </c>
      <c r="O228" s="28" t="s">
        <v>20</v>
      </c>
      <c r="P228" s="28" t="s">
        <v>20</v>
      </c>
      <c r="Q228" s="28" t="s">
        <v>20</v>
      </c>
      <c r="R228" s="28" t="s">
        <v>20</v>
      </c>
    </row>
    <row r="229" spans="2:18" x14ac:dyDescent="0.25">
      <c r="B229" s="28">
        <v>22</v>
      </c>
      <c r="C229" s="28" t="s">
        <v>1789</v>
      </c>
      <c r="D229" s="28" t="s">
        <v>1789</v>
      </c>
      <c r="E229" s="108">
        <v>45421</v>
      </c>
      <c r="F229" s="109">
        <v>0.58333333333333337</v>
      </c>
      <c r="G229" s="26" t="s">
        <v>2159</v>
      </c>
      <c r="H229" s="124" t="s">
        <v>1904</v>
      </c>
      <c r="I229" s="124"/>
      <c r="J229" s="26" t="s">
        <v>2160</v>
      </c>
      <c r="K229" s="28">
        <v>0</v>
      </c>
      <c r="L229" s="28">
        <v>1000000</v>
      </c>
      <c r="M229" s="28" t="s">
        <v>20</v>
      </c>
      <c r="N229" s="28" t="s">
        <v>20</v>
      </c>
      <c r="O229" s="28" t="s">
        <v>20</v>
      </c>
      <c r="P229" s="28" t="s">
        <v>20</v>
      </c>
      <c r="Q229" s="28" t="s">
        <v>20</v>
      </c>
      <c r="R229" s="28" t="s">
        <v>20</v>
      </c>
    </row>
    <row r="230" spans="2:18" x14ac:dyDescent="0.25">
      <c r="B230" s="28">
        <v>23</v>
      </c>
      <c r="C230" s="28" t="s">
        <v>1789</v>
      </c>
      <c r="D230" s="28" t="s">
        <v>1789</v>
      </c>
      <c r="E230" s="108">
        <v>45422</v>
      </c>
      <c r="F230" s="109">
        <v>0.66111111111111109</v>
      </c>
      <c r="G230" s="26" t="s">
        <v>2161</v>
      </c>
      <c r="H230" s="124" t="s">
        <v>2162</v>
      </c>
      <c r="I230" s="124"/>
      <c r="J230" s="28" t="s">
        <v>2163</v>
      </c>
      <c r="K230" s="28">
        <v>0</v>
      </c>
      <c r="L230" s="28">
        <v>100000</v>
      </c>
      <c r="M230" s="28" t="s">
        <v>20</v>
      </c>
      <c r="N230" s="28" t="s">
        <v>20</v>
      </c>
      <c r="O230" s="28" t="s">
        <v>20</v>
      </c>
      <c r="P230" s="28" t="s">
        <v>20</v>
      </c>
      <c r="Q230" s="28" t="s">
        <v>20</v>
      </c>
      <c r="R230" s="28" t="s">
        <v>20</v>
      </c>
    </row>
    <row r="231" spans="2:18" x14ac:dyDescent="0.25">
      <c r="B231" s="28">
        <v>24</v>
      </c>
      <c r="C231" s="28" t="s">
        <v>1789</v>
      </c>
      <c r="D231" s="28" t="s">
        <v>1789</v>
      </c>
      <c r="E231" s="108">
        <v>45422</v>
      </c>
      <c r="F231" s="109">
        <v>0.85555555555555551</v>
      </c>
      <c r="G231" s="26" t="s">
        <v>2164</v>
      </c>
      <c r="H231" s="124" t="s">
        <v>2162</v>
      </c>
      <c r="I231" s="124"/>
      <c r="J231" s="28" t="s">
        <v>2165</v>
      </c>
      <c r="K231" s="28">
        <v>5000</v>
      </c>
      <c r="L231" s="28">
        <v>495000</v>
      </c>
      <c r="M231" s="28" t="s">
        <v>20</v>
      </c>
      <c r="N231" s="28" t="s">
        <v>20</v>
      </c>
      <c r="O231" s="28" t="s">
        <v>20</v>
      </c>
      <c r="P231" s="28" t="s">
        <v>20</v>
      </c>
      <c r="Q231" s="28" t="s">
        <v>20</v>
      </c>
      <c r="R231" s="28" t="s">
        <v>20</v>
      </c>
    </row>
    <row r="232" spans="2:18" x14ac:dyDescent="0.25">
      <c r="B232" s="28">
        <v>25</v>
      </c>
      <c r="C232" s="28" t="s">
        <v>1789</v>
      </c>
      <c r="D232" s="28" t="s">
        <v>1789</v>
      </c>
      <c r="E232" s="123">
        <v>45424</v>
      </c>
      <c r="F232" s="109">
        <v>0.87152777777777779</v>
      </c>
      <c r="G232" s="26" t="s">
        <v>2166</v>
      </c>
      <c r="H232" s="124" t="s">
        <v>1904</v>
      </c>
      <c r="I232" s="124"/>
      <c r="J232" s="28" t="s">
        <v>2167</v>
      </c>
      <c r="K232" s="28">
        <v>50000</v>
      </c>
      <c r="L232" s="28">
        <v>4950000</v>
      </c>
      <c r="M232" s="28" t="s">
        <v>20</v>
      </c>
      <c r="N232" s="28" t="s">
        <v>20</v>
      </c>
      <c r="O232" s="28" t="s">
        <v>20</v>
      </c>
      <c r="P232" s="28" t="s">
        <v>20</v>
      </c>
      <c r="Q232" s="28" t="s">
        <v>20</v>
      </c>
      <c r="R232" s="28" t="s">
        <v>20</v>
      </c>
    </row>
    <row r="233" spans="2:18" x14ac:dyDescent="0.25">
      <c r="B233" s="28">
        <v>26</v>
      </c>
      <c r="C233" s="28" t="s">
        <v>1789</v>
      </c>
      <c r="D233" s="28" t="s">
        <v>1789</v>
      </c>
      <c r="E233" s="123">
        <v>45425</v>
      </c>
      <c r="F233" s="109">
        <v>3.1944444444444442E-2</v>
      </c>
      <c r="G233" s="26" t="s">
        <v>2168</v>
      </c>
      <c r="H233" s="124" t="s">
        <v>2169</v>
      </c>
      <c r="I233" s="124"/>
      <c r="J233" s="28" t="s">
        <v>2047</v>
      </c>
      <c r="K233" s="28"/>
      <c r="L233" s="28"/>
      <c r="M233" s="28" t="s">
        <v>20</v>
      </c>
      <c r="N233" s="28" t="s">
        <v>20</v>
      </c>
      <c r="O233" s="28" t="s">
        <v>20</v>
      </c>
      <c r="P233" s="28" t="s">
        <v>20</v>
      </c>
      <c r="Q233" s="28" t="s">
        <v>20</v>
      </c>
      <c r="R233" s="28" t="s">
        <v>20</v>
      </c>
    </row>
    <row r="234" spans="2:18" x14ac:dyDescent="0.25">
      <c r="B234" s="28">
        <v>27</v>
      </c>
      <c r="C234" s="28" t="s">
        <v>1789</v>
      </c>
      <c r="D234" s="28" t="s">
        <v>1789</v>
      </c>
      <c r="E234" s="123">
        <v>45425</v>
      </c>
      <c r="F234" s="109">
        <v>0.69861111111111107</v>
      </c>
      <c r="G234" s="26" t="s">
        <v>2170</v>
      </c>
      <c r="H234" s="124" t="s">
        <v>1904</v>
      </c>
      <c r="I234" s="124"/>
      <c r="J234" s="28" t="s">
        <v>2171</v>
      </c>
      <c r="K234" s="28">
        <v>0</v>
      </c>
      <c r="L234" s="28">
        <v>5000000</v>
      </c>
      <c r="M234" s="28" t="s">
        <v>20</v>
      </c>
      <c r="N234" s="28" t="s">
        <v>20</v>
      </c>
      <c r="O234" s="28" t="s">
        <v>20</v>
      </c>
      <c r="P234" s="28" t="s">
        <v>20</v>
      </c>
      <c r="Q234" s="28" t="s">
        <v>20</v>
      </c>
      <c r="R234" s="28" t="s">
        <v>20</v>
      </c>
    </row>
    <row r="235" spans="2:18" x14ac:dyDescent="0.25">
      <c r="B235" s="28">
        <v>28</v>
      </c>
      <c r="C235" s="28" t="s">
        <v>1789</v>
      </c>
      <c r="D235" s="28" t="s">
        <v>1789</v>
      </c>
      <c r="E235" s="123">
        <v>45425</v>
      </c>
      <c r="F235" s="109">
        <v>0.85972222222222228</v>
      </c>
      <c r="G235" s="26" t="s">
        <v>2172</v>
      </c>
      <c r="H235" s="124" t="s">
        <v>1904</v>
      </c>
      <c r="I235" s="124"/>
      <c r="J235" s="28" t="s">
        <v>2173</v>
      </c>
      <c r="K235" s="28">
        <v>0</v>
      </c>
      <c r="L235" s="28">
        <v>5000000</v>
      </c>
      <c r="M235" s="28" t="s">
        <v>20</v>
      </c>
      <c r="N235" s="28" t="s">
        <v>20</v>
      </c>
      <c r="O235" s="28" t="s">
        <v>20</v>
      </c>
      <c r="P235" s="28" t="s">
        <v>20</v>
      </c>
      <c r="Q235" s="28" t="s">
        <v>20</v>
      </c>
      <c r="R235" s="28" t="s">
        <v>20</v>
      </c>
    </row>
    <row r="236" spans="2:18" ht="39" x14ac:dyDescent="0.25">
      <c r="B236" s="28">
        <v>29</v>
      </c>
      <c r="C236" s="28" t="s">
        <v>1789</v>
      </c>
      <c r="D236" s="28" t="s">
        <v>1789</v>
      </c>
      <c r="E236" s="123">
        <v>45426</v>
      </c>
      <c r="F236" s="109">
        <v>0.41111111111111109</v>
      </c>
      <c r="G236" s="26" t="s">
        <v>2174</v>
      </c>
      <c r="H236" s="124" t="s">
        <v>357</v>
      </c>
      <c r="I236" s="124"/>
      <c r="J236" s="28" t="s">
        <v>2175</v>
      </c>
      <c r="K236" s="28">
        <v>200000</v>
      </c>
      <c r="L236" s="28">
        <v>19800000</v>
      </c>
      <c r="M236" s="28" t="s">
        <v>20</v>
      </c>
      <c r="N236" s="28" t="s">
        <v>20</v>
      </c>
      <c r="O236" s="28" t="s">
        <v>20</v>
      </c>
      <c r="P236" s="28" t="s">
        <v>20</v>
      </c>
      <c r="Q236" s="28" t="s">
        <v>20</v>
      </c>
      <c r="R236" s="28" t="s">
        <v>20</v>
      </c>
    </row>
    <row r="237" spans="2:18" x14ac:dyDescent="0.25">
      <c r="B237" s="28">
        <v>30</v>
      </c>
      <c r="C237" s="28" t="s">
        <v>1789</v>
      </c>
      <c r="D237" s="28" t="s">
        <v>1789</v>
      </c>
      <c r="E237" s="123">
        <v>45426</v>
      </c>
      <c r="F237" s="109">
        <v>0.73888888888888893</v>
      </c>
      <c r="G237" s="26" t="s">
        <v>2176</v>
      </c>
      <c r="H237" s="124" t="s">
        <v>1904</v>
      </c>
      <c r="I237" s="124"/>
      <c r="J237" s="28" t="s">
        <v>2177</v>
      </c>
      <c r="K237" s="28">
        <v>5000</v>
      </c>
      <c r="L237" s="28">
        <v>995000</v>
      </c>
      <c r="M237" s="28" t="s">
        <v>20</v>
      </c>
      <c r="N237" s="28" t="s">
        <v>20</v>
      </c>
      <c r="O237" s="28" t="s">
        <v>20</v>
      </c>
      <c r="P237" s="28" t="s">
        <v>20</v>
      </c>
      <c r="Q237" s="28" t="s">
        <v>20</v>
      </c>
      <c r="R237" s="28" t="s">
        <v>20</v>
      </c>
    </row>
    <row r="238" spans="2:18" x14ac:dyDescent="0.25">
      <c r="B238" s="28">
        <v>31</v>
      </c>
      <c r="C238" s="28" t="s">
        <v>1789</v>
      </c>
      <c r="D238" s="28" t="s">
        <v>1789</v>
      </c>
      <c r="E238" s="123">
        <v>45426</v>
      </c>
      <c r="F238" s="109">
        <v>0.83194444444444449</v>
      </c>
      <c r="G238" s="26" t="s">
        <v>2178</v>
      </c>
      <c r="H238" s="124" t="s">
        <v>385</v>
      </c>
      <c r="I238" s="124"/>
      <c r="J238" s="28" t="s">
        <v>2045</v>
      </c>
      <c r="K238" s="28">
        <v>10000</v>
      </c>
      <c r="L238" s="28">
        <v>90000</v>
      </c>
      <c r="M238" s="28" t="s">
        <v>20</v>
      </c>
      <c r="N238" s="28" t="s">
        <v>20</v>
      </c>
      <c r="O238" s="28" t="s">
        <v>20</v>
      </c>
      <c r="P238" s="28" t="s">
        <v>20</v>
      </c>
      <c r="Q238" s="28" t="s">
        <v>20</v>
      </c>
      <c r="R238" s="28" t="s">
        <v>20</v>
      </c>
    </row>
    <row r="239" spans="2:18" ht="39" x14ac:dyDescent="0.25">
      <c r="B239" s="28">
        <v>32</v>
      </c>
      <c r="C239" s="28" t="s">
        <v>1789</v>
      </c>
      <c r="D239" s="28" t="s">
        <v>1789</v>
      </c>
      <c r="E239" s="123">
        <v>45427</v>
      </c>
      <c r="F239" s="109">
        <v>0.78402777777777777</v>
      </c>
      <c r="G239" s="26" t="s">
        <v>2179</v>
      </c>
      <c r="H239" s="124" t="s">
        <v>1904</v>
      </c>
      <c r="I239" s="124"/>
      <c r="J239" s="28" t="s">
        <v>2180</v>
      </c>
      <c r="K239" s="28">
        <v>10000</v>
      </c>
      <c r="L239" s="28">
        <v>990000</v>
      </c>
      <c r="M239" s="28"/>
      <c r="N239" s="28"/>
      <c r="O239" s="28"/>
      <c r="P239" s="28"/>
      <c r="Q239" s="28"/>
      <c r="R239" s="28"/>
    </row>
    <row r="240" spans="2:18" x14ac:dyDescent="0.25">
      <c r="B240" s="28">
        <v>33</v>
      </c>
      <c r="C240" s="28" t="s">
        <v>1789</v>
      </c>
      <c r="D240" s="28" t="s">
        <v>1789</v>
      </c>
      <c r="E240" s="123">
        <v>45427</v>
      </c>
      <c r="F240" s="109">
        <v>0.53333333333333333</v>
      </c>
      <c r="G240" s="26" t="s">
        <v>2181</v>
      </c>
      <c r="H240" s="124" t="s">
        <v>2053</v>
      </c>
      <c r="I240" s="124"/>
      <c r="J240" s="28"/>
      <c r="K240" s="28"/>
      <c r="L240" s="28"/>
      <c r="M240" s="28"/>
      <c r="N240" s="28"/>
      <c r="O240" s="28"/>
      <c r="P240" s="28"/>
      <c r="Q240" s="28"/>
      <c r="R240" s="28"/>
    </row>
    <row r="241" spans="2:18" x14ac:dyDescent="0.25">
      <c r="B241" s="28">
        <v>34</v>
      </c>
      <c r="C241" s="28" t="s">
        <v>1789</v>
      </c>
      <c r="D241" s="28" t="s">
        <v>1789</v>
      </c>
      <c r="E241" s="123">
        <v>45428</v>
      </c>
      <c r="F241" s="109">
        <v>1.8749999999999999E-2</v>
      </c>
      <c r="G241" s="26" t="s">
        <v>2182</v>
      </c>
      <c r="H241" s="124" t="s">
        <v>2162</v>
      </c>
      <c r="I241" s="124"/>
      <c r="J241" s="28" t="s">
        <v>2183</v>
      </c>
      <c r="K241" s="28">
        <v>100000</v>
      </c>
      <c r="L241" s="28">
        <v>100000</v>
      </c>
      <c r="M241" s="28" t="s">
        <v>20</v>
      </c>
      <c r="N241" s="28" t="s">
        <v>20</v>
      </c>
      <c r="O241" s="28" t="s">
        <v>20</v>
      </c>
      <c r="P241" s="28" t="s">
        <v>20</v>
      </c>
      <c r="Q241" s="28" t="s">
        <v>20</v>
      </c>
      <c r="R241" s="28" t="s">
        <v>20</v>
      </c>
    </row>
    <row r="242" spans="2:18" x14ac:dyDescent="0.25">
      <c r="B242" s="28">
        <v>35</v>
      </c>
      <c r="C242" s="28" t="s">
        <v>1789</v>
      </c>
      <c r="D242" s="28" t="s">
        <v>1789</v>
      </c>
      <c r="E242" s="123">
        <v>45428</v>
      </c>
      <c r="F242" s="109">
        <v>0.2673611111111111</v>
      </c>
      <c r="G242" s="26" t="s">
        <v>2184</v>
      </c>
      <c r="H242" s="124" t="s">
        <v>2169</v>
      </c>
      <c r="I242" s="124"/>
      <c r="J242" s="28" t="s">
        <v>2169</v>
      </c>
      <c r="K242" s="28"/>
      <c r="L242" s="28"/>
      <c r="M242" s="28" t="s">
        <v>20</v>
      </c>
      <c r="N242" s="28" t="s">
        <v>20</v>
      </c>
      <c r="O242" s="28" t="s">
        <v>20</v>
      </c>
      <c r="P242" s="28" t="s">
        <v>20</v>
      </c>
      <c r="Q242" s="28" t="s">
        <v>20</v>
      </c>
      <c r="R242" s="28" t="s">
        <v>20</v>
      </c>
    </row>
    <row r="243" spans="2:18" x14ac:dyDescent="0.25">
      <c r="B243" s="28">
        <v>36</v>
      </c>
      <c r="C243" s="28" t="s">
        <v>1789</v>
      </c>
      <c r="D243" s="28" t="s">
        <v>1789</v>
      </c>
      <c r="E243" s="123">
        <v>45428</v>
      </c>
      <c r="F243" s="109">
        <v>0.54861111111111116</v>
      </c>
      <c r="G243" s="26" t="s">
        <v>2185</v>
      </c>
      <c r="H243" s="124" t="s">
        <v>385</v>
      </c>
      <c r="I243" s="124"/>
      <c r="J243" s="28" t="s">
        <v>2186</v>
      </c>
      <c r="K243" s="28">
        <v>0</v>
      </c>
      <c r="L243" s="28">
        <v>150000</v>
      </c>
      <c r="M243" s="28" t="s">
        <v>20</v>
      </c>
      <c r="N243" s="28" t="s">
        <v>20</v>
      </c>
      <c r="O243" s="28" t="s">
        <v>20</v>
      </c>
      <c r="P243" s="28" t="s">
        <v>20</v>
      </c>
      <c r="Q243" s="28" t="s">
        <v>20</v>
      </c>
      <c r="R243" s="28" t="s">
        <v>20</v>
      </c>
    </row>
    <row r="244" spans="2:18" x14ac:dyDescent="0.25">
      <c r="B244" s="28">
        <v>37</v>
      </c>
      <c r="C244" s="28" t="s">
        <v>1789</v>
      </c>
      <c r="D244" s="28" t="s">
        <v>1789</v>
      </c>
      <c r="E244" s="123">
        <v>45428</v>
      </c>
      <c r="F244" s="109">
        <v>0.74583333333333335</v>
      </c>
      <c r="G244" s="26" t="s">
        <v>2187</v>
      </c>
      <c r="H244" s="124" t="s">
        <v>1904</v>
      </c>
      <c r="I244" s="124"/>
      <c r="J244" s="28" t="s">
        <v>2188</v>
      </c>
      <c r="K244" s="28">
        <v>5000</v>
      </c>
      <c r="L244" s="28">
        <v>995000</v>
      </c>
      <c r="M244" s="28" t="s">
        <v>20</v>
      </c>
      <c r="N244" s="28" t="s">
        <v>20</v>
      </c>
      <c r="O244" s="28" t="s">
        <v>20</v>
      </c>
      <c r="P244" s="28" t="s">
        <v>20</v>
      </c>
      <c r="Q244" s="28" t="s">
        <v>20</v>
      </c>
      <c r="R244" s="28" t="s">
        <v>20</v>
      </c>
    </row>
    <row r="245" spans="2:18" x14ac:dyDescent="0.25">
      <c r="B245" s="28">
        <v>38</v>
      </c>
      <c r="C245" s="28" t="s">
        <v>1789</v>
      </c>
      <c r="D245" s="28" t="s">
        <v>1789</v>
      </c>
      <c r="E245" s="123">
        <v>45428</v>
      </c>
      <c r="F245" s="109">
        <v>0.80347222222222225</v>
      </c>
      <c r="G245" s="26" t="s">
        <v>2189</v>
      </c>
      <c r="H245" s="124" t="s">
        <v>385</v>
      </c>
      <c r="I245" s="124"/>
      <c r="J245" s="28" t="s">
        <v>2045</v>
      </c>
      <c r="K245" s="28">
        <v>0</v>
      </c>
      <c r="L245" s="28">
        <v>0</v>
      </c>
      <c r="M245" s="28" t="s">
        <v>20</v>
      </c>
      <c r="N245" s="28" t="s">
        <v>20</v>
      </c>
      <c r="O245" s="28" t="s">
        <v>20</v>
      </c>
      <c r="P245" s="28" t="s">
        <v>20</v>
      </c>
      <c r="Q245" s="28" t="s">
        <v>20</v>
      </c>
      <c r="R245" s="28" t="s">
        <v>20</v>
      </c>
    </row>
    <row r="246" spans="2:18" x14ac:dyDescent="0.25">
      <c r="B246" s="28">
        <v>39</v>
      </c>
      <c r="C246" s="28" t="s">
        <v>1789</v>
      </c>
      <c r="D246" s="28" t="s">
        <v>1789</v>
      </c>
      <c r="E246" s="123">
        <v>45429</v>
      </c>
      <c r="F246" s="109">
        <v>0.29583333333333334</v>
      </c>
      <c r="G246" s="26" t="s">
        <v>2190</v>
      </c>
      <c r="H246" s="124" t="s">
        <v>385</v>
      </c>
      <c r="I246" s="124"/>
      <c r="J246" s="28" t="s">
        <v>2045</v>
      </c>
      <c r="K246" s="28">
        <v>5000</v>
      </c>
      <c r="L246" s="28">
        <v>45000</v>
      </c>
      <c r="M246" s="28" t="s">
        <v>20</v>
      </c>
      <c r="N246" s="28" t="s">
        <v>20</v>
      </c>
      <c r="O246" s="28" t="s">
        <v>20</v>
      </c>
      <c r="P246" s="28" t="s">
        <v>20</v>
      </c>
      <c r="Q246" s="28" t="s">
        <v>20</v>
      </c>
      <c r="R246" s="28" t="s">
        <v>20</v>
      </c>
    </row>
    <row r="247" spans="2:18" x14ac:dyDescent="0.25">
      <c r="B247" s="28">
        <v>40</v>
      </c>
      <c r="C247" s="28" t="s">
        <v>1789</v>
      </c>
      <c r="D247" s="28" t="s">
        <v>1789</v>
      </c>
      <c r="E247" s="122" t="s">
        <v>1186</v>
      </c>
      <c r="F247" s="109">
        <v>0.41388888888888886</v>
      </c>
      <c r="G247" s="26" t="s">
        <v>2191</v>
      </c>
      <c r="H247" s="124" t="s">
        <v>2192</v>
      </c>
      <c r="I247" s="124"/>
      <c r="J247" s="28" t="s">
        <v>2193</v>
      </c>
      <c r="K247" s="28">
        <v>500000</v>
      </c>
      <c r="L247" s="28">
        <v>1500000</v>
      </c>
      <c r="M247" s="28" t="s">
        <v>20</v>
      </c>
      <c r="N247" s="28" t="s">
        <v>20</v>
      </c>
      <c r="O247" s="28" t="s">
        <v>20</v>
      </c>
      <c r="P247" s="28" t="s">
        <v>20</v>
      </c>
      <c r="Q247" s="28" t="s">
        <v>20</v>
      </c>
      <c r="R247" s="28" t="s">
        <v>20</v>
      </c>
    </row>
    <row r="248" spans="2:18" x14ac:dyDescent="0.25">
      <c r="B248" s="28">
        <v>41</v>
      </c>
      <c r="C248" s="28" t="s">
        <v>1789</v>
      </c>
      <c r="D248" s="28" t="s">
        <v>1789</v>
      </c>
      <c r="E248" s="123">
        <v>45430</v>
      </c>
      <c r="F248" s="109">
        <v>0.67013888888888884</v>
      </c>
      <c r="G248" s="26" t="s">
        <v>2194</v>
      </c>
      <c r="H248" s="124" t="s">
        <v>2192</v>
      </c>
      <c r="I248" s="124"/>
      <c r="J248" s="28" t="s">
        <v>2195</v>
      </c>
      <c r="K248" s="28">
        <v>500000</v>
      </c>
      <c r="L248" s="28">
        <v>19500000</v>
      </c>
      <c r="M248" s="28" t="s">
        <v>20</v>
      </c>
      <c r="N248" s="28" t="s">
        <v>20</v>
      </c>
      <c r="O248" s="28" t="s">
        <v>20</v>
      </c>
      <c r="P248" s="28" t="s">
        <v>20</v>
      </c>
      <c r="Q248" s="28" t="s">
        <v>20</v>
      </c>
      <c r="R248" s="28" t="s">
        <v>20</v>
      </c>
    </row>
    <row r="249" spans="2:18" x14ac:dyDescent="0.25">
      <c r="B249" s="28">
        <v>42</v>
      </c>
      <c r="C249" s="28" t="s">
        <v>1789</v>
      </c>
      <c r="D249" s="28" t="s">
        <v>1789</v>
      </c>
      <c r="E249" s="123">
        <v>45430</v>
      </c>
      <c r="F249" s="109">
        <v>0.67638888888888893</v>
      </c>
      <c r="G249" s="26" t="s">
        <v>2196</v>
      </c>
      <c r="H249" s="124" t="s">
        <v>1904</v>
      </c>
      <c r="I249" s="124"/>
      <c r="J249" s="28" t="s">
        <v>2160</v>
      </c>
      <c r="K249" s="28">
        <v>0</v>
      </c>
      <c r="L249" s="28">
        <v>0</v>
      </c>
      <c r="M249" s="28" t="s">
        <v>20</v>
      </c>
      <c r="N249" s="28" t="s">
        <v>20</v>
      </c>
      <c r="O249" s="28" t="s">
        <v>20</v>
      </c>
      <c r="P249" s="28" t="s">
        <v>20</v>
      </c>
      <c r="Q249" s="28" t="s">
        <v>20</v>
      </c>
      <c r="R249" s="28" t="s">
        <v>20</v>
      </c>
    </row>
    <row r="250" spans="2:18" x14ac:dyDescent="0.25">
      <c r="B250" s="28">
        <v>43</v>
      </c>
      <c r="C250" s="28" t="s">
        <v>1789</v>
      </c>
      <c r="D250" s="28" t="s">
        <v>1789</v>
      </c>
      <c r="E250" s="123">
        <v>45432</v>
      </c>
      <c r="F250" s="109">
        <v>0.10277777777777777</v>
      </c>
      <c r="G250" s="26" t="s">
        <v>2197</v>
      </c>
      <c r="H250" s="124" t="s">
        <v>1904</v>
      </c>
      <c r="I250" s="124"/>
      <c r="J250" s="28" t="s">
        <v>2198</v>
      </c>
      <c r="K250" s="28">
        <v>0</v>
      </c>
      <c r="L250" s="28">
        <v>0</v>
      </c>
      <c r="M250" s="28"/>
      <c r="N250" s="28"/>
      <c r="O250" s="28"/>
      <c r="P250" s="28"/>
      <c r="Q250" s="28"/>
      <c r="R250" s="28"/>
    </row>
    <row r="251" spans="2:18" x14ac:dyDescent="0.25">
      <c r="B251" s="28">
        <v>44</v>
      </c>
      <c r="C251" s="28" t="s">
        <v>1789</v>
      </c>
      <c r="D251" s="28" t="s">
        <v>1789</v>
      </c>
      <c r="E251" s="123">
        <v>45432</v>
      </c>
      <c r="F251" s="109">
        <v>0.70138888888888884</v>
      </c>
      <c r="G251" s="26" t="s">
        <v>2199</v>
      </c>
      <c r="H251" s="124" t="s">
        <v>2200</v>
      </c>
      <c r="I251" s="124"/>
      <c r="J251" s="28" t="s">
        <v>2047</v>
      </c>
      <c r="K251" s="28">
        <v>0</v>
      </c>
      <c r="L251" s="28">
        <v>0</v>
      </c>
      <c r="M251" s="28" t="s">
        <v>20</v>
      </c>
      <c r="N251" s="28" t="s">
        <v>20</v>
      </c>
      <c r="O251" s="28" t="s">
        <v>20</v>
      </c>
      <c r="P251" s="28" t="s">
        <v>20</v>
      </c>
      <c r="Q251" s="28" t="s">
        <v>20</v>
      </c>
      <c r="R251" s="28" t="s">
        <v>20</v>
      </c>
    </row>
    <row r="252" spans="2:18" x14ac:dyDescent="0.25">
      <c r="B252" s="28">
        <v>45</v>
      </c>
      <c r="C252" s="28" t="s">
        <v>1789</v>
      </c>
      <c r="D252" s="28" t="s">
        <v>1789</v>
      </c>
      <c r="E252" s="123">
        <v>45432</v>
      </c>
      <c r="F252" s="109">
        <v>0.78819444444444442</v>
      </c>
      <c r="G252" s="26" t="s">
        <v>2201</v>
      </c>
      <c r="H252" s="124" t="s">
        <v>2162</v>
      </c>
      <c r="I252" s="124"/>
      <c r="J252" s="28" t="s">
        <v>2202</v>
      </c>
      <c r="K252" s="28">
        <v>150000</v>
      </c>
      <c r="L252" s="28">
        <v>350000</v>
      </c>
      <c r="M252" s="28" t="s">
        <v>20</v>
      </c>
      <c r="N252" s="28" t="s">
        <v>20</v>
      </c>
      <c r="O252" s="28" t="s">
        <v>20</v>
      </c>
      <c r="P252" s="28" t="s">
        <v>20</v>
      </c>
      <c r="Q252" s="28" t="s">
        <v>20</v>
      </c>
      <c r="R252" s="28" t="s">
        <v>20</v>
      </c>
    </row>
    <row r="253" spans="2:18" ht="39" x14ac:dyDescent="0.25">
      <c r="B253" s="28">
        <v>46</v>
      </c>
      <c r="C253" s="28" t="s">
        <v>1789</v>
      </c>
      <c r="D253" s="28" t="s">
        <v>1789</v>
      </c>
      <c r="E253" s="123">
        <v>45432</v>
      </c>
      <c r="F253" s="109">
        <v>0.81041666666666667</v>
      </c>
      <c r="G253" s="26" t="s">
        <v>2203</v>
      </c>
      <c r="H253" s="124" t="s">
        <v>2007</v>
      </c>
      <c r="I253" s="124"/>
      <c r="J253" s="28" t="s">
        <v>2204</v>
      </c>
      <c r="K253" s="28">
        <v>0</v>
      </c>
      <c r="L253" s="28">
        <v>0</v>
      </c>
      <c r="M253" s="28" t="s">
        <v>20</v>
      </c>
      <c r="N253" s="28" t="s">
        <v>20</v>
      </c>
      <c r="O253" s="28" t="s">
        <v>20</v>
      </c>
      <c r="P253" s="28" t="s">
        <v>20</v>
      </c>
      <c r="Q253" s="28" t="s">
        <v>20</v>
      </c>
      <c r="R253" s="28" t="s">
        <v>20</v>
      </c>
    </row>
    <row r="254" spans="2:18" ht="39" x14ac:dyDescent="0.25">
      <c r="B254" s="28">
        <v>47</v>
      </c>
      <c r="C254" s="28" t="s">
        <v>1789</v>
      </c>
      <c r="D254" s="28" t="s">
        <v>1789</v>
      </c>
      <c r="E254" s="123">
        <v>45432</v>
      </c>
      <c r="F254" s="109">
        <v>0.81527777777777777</v>
      </c>
      <c r="G254" s="26" t="s">
        <v>2205</v>
      </c>
      <c r="H254" s="124" t="s">
        <v>2007</v>
      </c>
      <c r="I254" s="124"/>
      <c r="J254" s="28" t="s">
        <v>2206</v>
      </c>
      <c r="K254" s="28"/>
      <c r="L254" s="28"/>
      <c r="M254" s="28" t="s">
        <v>20</v>
      </c>
      <c r="N254" s="28" t="s">
        <v>20</v>
      </c>
      <c r="O254" s="28" t="s">
        <v>20</v>
      </c>
      <c r="P254" s="28" t="s">
        <v>20</v>
      </c>
      <c r="Q254" s="28" t="s">
        <v>20</v>
      </c>
      <c r="R254" s="28" t="s">
        <v>20</v>
      </c>
    </row>
    <row r="255" spans="2:18" ht="39" x14ac:dyDescent="0.25">
      <c r="B255" s="28">
        <v>48</v>
      </c>
      <c r="C255" s="28" t="s">
        <v>1789</v>
      </c>
      <c r="D255" s="28" t="s">
        <v>1789</v>
      </c>
      <c r="E255" s="123">
        <v>45432</v>
      </c>
      <c r="F255" s="109">
        <v>0.84236111111111112</v>
      </c>
      <c r="G255" s="26" t="s">
        <v>2207</v>
      </c>
      <c r="H255" s="124" t="s">
        <v>1904</v>
      </c>
      <c r="I255" s="124"/>
      <c r="J255" s="28" t="s">
        <v>1889</v>
      </c>
      <c r="K255" s="28">
        <v>100000</v>
      </c>
      <c r="L255" s="28">
        <v>100000</v>
      </c>
      <c r="M255" s="28" t="s">
        <v>20</v>
      </c>
      <c r="N255" s="28" t="s">
        <v>20</v>
      </c>
      <c r="O255" s="28" t="s">
        <v>20</v>
      </c>
      <c r="P255" s="28" t="s">
        <v>20</v>
      </c>
      <c r="Q255" s="28" t="s">
        <v>20</v>
      </c>
      <c r="R255" s="28" t="s">
        <v>20</v>
      </c>
    </row>
    <row r="256" spans="2:18" ht="39" x14ac:dyDescent="0.25">
      <c r="B256" s="26">
        <v>49</v>
      </c>
      <c r="C256" s="28" t="s">
        <v>1789</v>
      </c>
      <c r="D256" s="28" t="s">
        <v>1789</v>
      </c>
      <c r="E256" s="110">
        <v>45432</v>
      </c>
      <c r="F256" s="109">
        <v>0.90069444444444446</v>
      </c>
      <c r="G256" s="26" t="s">
        <v>2208</v>
      </c>
      <c r="H256" s="124" t="s">
        <v>2209</v>
      </c>
      <c r="I256" s="124"/>
      <c r="J256" s="26" t="s">
        <v>2210</v>
      </c>
      <c r="K256" s="28">
        <v>0</v>
      </c>
      <c r="L256" s="28">
        <v>0</v>
      </c>
      <c r="M256" s="28" t="s">
        <v>20</v>
      </c>
      <c r="N256" s="28" t="s">
        <v>20</v>
      </c>
      <c r="O256" s="28" t="s">
        <v>20</v>
      </c>
      <c r="P256" s="28" t="s">
        <v>20</v>
      </c>
      <c r="Q256" s="28" t="s">
        <v>20</v>
      </c>
      <c r="R256" s="28" t="s">
        <v>20</v>
      </c>
    </row>
    <row r="257" spans="2:18" ht="39" x14ac:dyDescent="0.25">
      <c r="B257" s="26"/>
      <c r="C257" s="28" t="s">
        <v>1789</v>
      </c>
      <c r="D257" s="28" t="s">
        <v>1789</v>
      </c>
      <c r="E257" s="110"/>
      <c r="F257" s="28"/>
      <c r="G257" s="26"/>
      <c r="H257" s="124" t="s">
        <v>2007</v>
      </c>
      <c r="I257" s="124"/>
      <c r="J257" s="26"/>
      <c r="K257" s="28"/>
      <c r="L257" s="28"/>
      <c r="M257" s="28"/>
      <c r="N257" s="28"/>
      <c r="O257" s="28"/>
      <c r="P257" s="28"/>
      <c r="Q257" s="28"/>
      <c r="R257" s="28"/>
    </row>
    <row r="258" spans="2:18" ht="39" x14ac:dyDescent="0.25">
      <c r="B258" s="28">
        <v>50</v>
      </c>
      <c r="C258" s="28" t="s">
        <v>1789</v>
      </c>
      <c r="D258" s="28" t="s">
        <v>1789</v>
      </c>
      <c r="E258" s="123">
        <v>45433</v>
      </c>
      <c r="F258" s="109">
        <v>6.6666666666666666E-2</v>
      </c>
      <c r="G258" s="26" t="s">
        <v>2211</v>
      </c>
      <c r="H258" s="124" t="s">
        <v>2007</v>
      </c>
      <c r="I258" s="124"/>
      <c r="J258" s="28" t="s">
        <v>2212</v>
      </c>
      <c r="K258" s="28"/>
      <c r="L258" s="28"/>
      <c r="M258" s="28" t="s">
        <v>20</v>
      </c>
      <c r="N258" s="28" t="s">
        <v>20</v>
      </c>
      <c r="O258" s="28" t="s">
        <v>20</v>
      </c>
      <c r="P258" s="28" t="s">
        <v>20</v>
      </c>
      <c r="Q258" s="28" t="s">
        <v>20</v>
      </c>
      <c r="R258" s="28" t="s">
        <v>20</v>
      </c>
    </row>
    <row r="259" spans="2:18" ht="39" x14ac:dyDescent="0.25">
      <c r="B259" s="28">
        <v>51</v>
      </c>
      <c r="C259" s="28" t="s">
        <v>1789</v>
      </c>
      <c r="D259" s="28" t="s">
        <v>1789</v>
      </c>
      <c r="E259" s="122" t="s">
        <v>1215</v>
      </c>
      <c r="F259" s="109">
        <v>0.12777777777777777</v>
      </c>
      <c r="G259" s="26" t="s">
        <v>2213</v>
      </c>
      <c r="H259" s="124" t="s">
        <v>1904</v>
      </c>
      <c r="I259" s="124"/>
      <c r="J259" s="28" t="s">
        <v>2160</v>
      </c>
      <c r="K259" s="28">
        <v>0</v>
      </c>
      <c r="L259" s="28">
        <v>500000</v>
      </c>
      <c r="M259" s="28" t="s">
        <v>20</v>
      </c>
      <c r="N259" s="28" t="s">
        <v>20</v>
      </c>
      <c r="O259" s="28" t="s">
        <v>20</v>
      </c>
      <c r="P259" s="28" t="s">
        <v>20</v>
      </c>
      <c r="Q259" s="28" t="s">
        <v>20</v>
      </c>
      <c r="R259" s="28" t="s">
        <v>20</v>
      </c>
    </row>
    <row r="260" spans="2:18" x14ac:dyDescent="0.25">
      <c r="B260" s="28">
        <v>52</v>
      </c>
      <c r="C260" s="28" t="s">
        <v>1789</v>
      </c>
      <c r="D260" s="28" t="s">
        <v>1789</v>
      </c>
      <c r="E260" s="123">
        <v>45433</v>
      </c>
      <c r="F260" s="109">
        <v>0.61736111111111114</v>
      </c>
      <c r="G260" s="26" t="s">
        <v>2214</v>
      </c>
      <c r="H260" s="124" t="s">
        <v>1904</v>
      </c>
      <c r="I260" s="124"/>
      <c r="J260" s="28" t="s">
        <v>2165</v>
      </c>
      <c r="K260" s="28"/>
      <c r="L260" s="28"/>
      <c r="M260" s="28" t="s">
        <v>20</v>
      </c>
      <c r="N260" s="28" t="s">
        <v>20</v>
      </c>
      <c r="O260" s="28" t="s">
        <v>20</v>
      </c>
      <c r="P260" s="28" t="s">
        <v>20</v>
      </c>
      <c r="Q260" s="28" t="s">
        <v>20</v>
      </c>
      <c r="R260" s="28" t="s">
        <v>20</v>
      </c>
    </row>
    <row r="261" spans="2:18" ht="39" x14ac:dyDescent="0.25">
      <c r="B261" s="28">
        <v>53</v>
      </c>
      <c r="C261" s="28" t="s">
        <v>1789</v>
      </c>
      <c r="D261" s="28" t="s">
        <v>1789</v>
      </c>
      <c r="E261" s="123">
        <v>45434</v>
      </c>
      <c r="F261" s="109">
        <v>1.5972222222222221E-2</v>
      </c>
      <c r="G261" s="26" t="s">
        <v>2215</v>
      </c>
      <c r="H261" s="124" t="s">
        <v>385</v>
      </c>
      <c r="I261" s="124"/>
      <c r="J261" s="28" t="s">
        <v>2045</v>
      </c>
      <c r="K261" s="28">
        <v>5000</v>
      </c>
      <c r="L261" s="28">
        <v>95000</v>
      </c>
      <c r="M261" s="28"/>
      <c r="N261" s="28"/>
      <c r="O261" s="28"/>
      <c r="P261" s="28"/>
      <c r="Q261" s="28"/>
      <c r="R261" s="28"/>
    </row>
    <row r="262" spans="2:18" ht="39" x14ac:dyDescent="0.25">
      <c r="B262" s="28">
        <v>54</v>
      </c>
      <c r="C262" s="28" t="s">
        <v>1789</v>
      </c>
      <c r="D262" s="28" t="s">
        <v>1789</v>
      </c>
      <c r="E262" s="123">
        <v>45435</v>
      </c>
      <c r="F262" s="109">
        <v>0.64027777777777772</v>
      </c>
      <c r="G262" s="26" t="s">
        <v>2216</v>
      </c>
      <c r="H262" s="124" t="s">
        <v>385</v>
      </c>
      <c r="I262" s="124"/>
      <c r="J262" s="28" t="s">
        <v>2217</v>
      </c>
      <c r="K262" s="28">
        <v>10000</v>
      </c>
      <c r="L262" s="28">
        <v>4990000</v>
      </c>
      <c r="M262" s="28" t="s">
        <v>20</v>
      </c>
      <c r="N262" s="28" t="s">
        <v>20</v>
      </c>
      <c r="O262" s="28" t="s">
        <v>20</v>
      </c>
      <c r="P262" s="28" t="s">
        <v>20</v>
      </c>
      <c r="Q262" s="28" t="s">
        <v>20</v>
      </c>
      <c r="R262" s="28" t="s">
        <v>20</v>
      </c>
    </row>
    <row r="263" spans="2:18" ht="39" x14ac:dyDescent="0.25">
      <c r="B263" s="28">
        <v>55</v>
      </c>
      <c r="C263" s="28" t="s">
        <v>1789</v>
      </c>
      <c r="D263" s="28" t="s">
        <v>1789</v>
      </c>
      <c r="E263" s="123">
        <v>45435</v>
      </c>
      <c r="F263" s="109">
        <v>0.81111111111111112</v>
      </c>
      <c r="G263" s="26" t="s">
        <v>2218</v>
      </c>
      <c r="H263" s="124" t="s">
        <v>385</v>
      </c>
      <c r="I263" s="124"/>
      <c r="J263" s="28" t="s">
        <v>2045</v>
      </c>
      <c r="K263" s="28"/>
      <c r="L263" s="28"/>
      <c r="M263" s="28" t="s">
        <v>20</v>
      </c>
      <c r="N263" s="28" t="s">
        <v>20</v>
      </c>
      <c r="O263" s="28" t="s">
        <v>20</v>
      </c>
      <c r="P263" s="28" t="s">
        <v>20</v>
      </c>
      <c r="Q263" s="28" t="s">
        <v>20</v>
      </c>
      <c r="R263" s="28" t="s">
        <v>20</v>
      </c>
    </row>
    <row r="264" spans="2:18" ht="39" x14ac:dyDescent="0.25">
      <c r="B264" s="28">
        <v>56</v>
      </c>
      <c r="C264" s="28" t="s">
        <v>1789</v>
      </c>
      <c r="D264" s="28" t="s">
        <v>1789</v>
      </c>
      <c r="E264" s="123">
        <v>45435</v>
      </c>
      <c r="F264" s="109">
        <v>0.9555555555555556</v>
      </c>
      <c r="G264" s="26" t="s">
        <v>2219</v>
      </c>
      <c r="H264" s="124" t="s">
        <v>385</v>
      </c>
      <c r="I264" s="124"/>
      <c r="J264" s="28" t="s">
        <v>2045</v>
      </c>
      <c r="K264" s="28"/>
      <c r="L264" s="28"/>
      <c r="M264" s="28" t="s">
        <v>20</v>
      </c>
      <c r="N264" s="28" t="s">
        <v>20</v>
      </c>
      <c r="O264" s="28" t="s">
        <v>20</v>
      </c>
      <c r="P264" s="28" t="s">
        <v>20</v>
      </c>
      <c r="Q264" s="28" t="s">
        <v>20</v>
      </c>
      <c r="R264" s="28" t="s">
        <v>20</v>
      </c>
    </row>
    <row r="265" spans="2:18" ht="39" x14ac:dyDescent="0.25">
      <c r="B265" s="28">
        <v>57</v>
      </c>
      <c r="C265" s="28" t="s">
        <v>1789</v>
      </c>
      <c r="D265" s="28" t="s">
        <v>1789</v>
      </c>
      <c r="E265" s="123">
        <v>45437</v>
      </c>
      <c r="F265" s="109">
        <v>6.0416666666666667E-2</v>
      </c>
      <c r="G265" s="26" t="s">
        <v>2220</v>
      </c>
      <c r="H265" s="124" t="s">
        <v>1904</v>
      </c>
      <c r="I265" s="124"/>
      <c r="J265" s="28" t="s">
        <v>2150</v>
      </c>
      <c r="K265" s="28"/>
      <c r="L265" s="28"/>
      <c r="M265" s="28" t="s">
        <v>20</v>
      </c>
      <c r="N265" s="28" t="s">
        <v>20</v>
      </c>
      <c r="O265" s="28" t="s">
        <v>20</v>
      </c>
      <c r="P265" s="28" t="s">
        <v>20</v>
      </c>
      <c r="Q265" s="28" t="s">
        <v>20</v>
      </c>
      <c r="R265" s="28" t="s">
        <v>20</v>
      </c>
    </row>
    <row r="266" spans="2:18" ht="39" x14ac:dyDescent="0.25">
      <c r="B266" s="28">
        <v>58</v>
      </c>
      <c r="C266" s="28" t="s">
        <v>1789</v>
      </c>
      <c r="D266" s="28" t="s">
        <v>1789</v>
      </c>
      <c r="E266" s="123">
        <v>45437</v>
      </c>
      <c r="F266" s="109">
        <v>0.26319444444444445</v>
      </c>
      <c r="G266" s="26" t="s">
        <v>2221</v>
      </c>
      <c r="H266" s="124" t="s">
        <v>385</v>
      </c>
      <c r="I266" s="124"/>
      <c r="J266" s="28" t="s">
        <v>2551</v>
      </c>
      <c r="K266" s="28">
        <v>50000</v>
      </c>
      <c r="L266" s="28">
        <v>49500000</v>
      </c>
      <c r="M266" s="28" t="s">
        <v>20</v>
      </c>
      <c r="N266" s="28" t="s">
        <v>20</v>
      </c>
      <c r="O266" s="28" t="s">
        <v>20</v>
      </c>
      <c r="P266" s="28" t="s">
        <v>20</v>
      </c>
      <c r="Q266" s="28" t="s">
        <v>20</v>
      </c>
      <c r="R266" s="28" t="s">
        <v>20</v>
      </c>
    </row>
    <row r="267" spans="2:18" ht="39" x14ac:dyDescent="0.25">
      <c r="B267" s="28">
        <v>59</v>
      </c>
      <c r="C267" s="28" t="s">
        <v>1789</v>
      </c>
      <c r="D267" s="28" t="s">
        <v>1789</v>
      </c>
      <c r="E267" s="122" t="s">
        <v>1231</v>
      </c>
      <c r="F267" s="109">
        <v>0.36875000000000002</v>
      </c>
      <c r="G267" s="26" t="s">
        <v>2222</v>
      </c>
      <c r="H267" s="124" t="s">
        <v>2223</v>
      </c>
      <c r="I267" s="124"/>
      <c r="J267" s="28" t="s">
        <v>2224</v>
      </c>
      <c r="K267" s="28"/>
      <c r="L267" s="28"/>
      <c r="M267" s="28" t="s">
        <v>20</v>
      </c>
      <c r="N267" s="28" t="s">
        <v>20</v>
      </c>
      <c r="O267" s="28" t="s">
        <v>20</v>
      </c>
      <c r="P267" s="28" t="s">
        <v>20</v>
      </c>
      <c r="Q267" s="28" t="s">
        <v>20</v>
      </c>
      <c r="R267" s="28" t="s">
        <v>20</v>
      </c>
    </row>
    <row r="268" spans="2:18" ht="39" x14ac:dyDescent="0.25">
      <c r="B268" s="28">
        <v>60</v>
      </c>
      <c r="C268" s="28" t="s">
        <v>1789</v>
      </c>
      <c r="D268" s="28" t="s">
        <v>1789</v>
      </c>
      <c r="E268" s="123">
        <v>45437</v>
      </c>
      <c r="F268" s="109">
        <v>0.92986111111111114</v>
      </c>
      <c r="G268" s="26" t="s">
        <v>2225</v>
      </c>
      <c r="H268" s="124" t="s">
        <v>2223</v>
      </c>
      <c r="I268" s="124"/>
      <c r="J268" s="28" t="s">
        <v>2226</v>
      </c>
      <c r="K268" s="28"/>
      <c r="L268" s="28"/>
      <c r="M268" s="28" t="s">
        <v>20</v>
      </c>
      <c r="N268" s="28" t="s">
        <v>20</v>
      </c>
      <c r="O268" s="28" t="s">
        <v>20</v>
      </c>
      <c r="P268" s="28" t="s">
        <v>20</v>
      </c>
      <c r="Q268" s="28" t="s">
        <v>20</v>
      </c>
      <c r="R268" s="28" t="s">
        <v>20</v>
      </c>
    </row>
    <row r="269" spans="2:18" x14ac:dyDescent="0.25">
      <c r="B269" s="28">
        <v>61</v>
      </c>
      <c r="C269" s="28" t="s">
        <v>1789</v>
      </c>
      <c r="D269" s="28" t="s">
        <v>1789</v>
      </c>
      <c r="E269" s="123">
        <v>45438</v>
      </c>
      <c r="F269" s="109">
        <v>0.91041666666666665</v>
      </c>
      <c r="G269" s="26" t="s">
        <v>1859</v>
      </c>
      <c r="H269" s="124" t="s">
        <v>385</v>
      </c>
      <c r="I269" s="124"/>
      <c r="J269" s="28" t="s">
        <v>2045</v>
      </c>
      <c r="K269" s="28">
        <v>5000</v>
      </c>
      <c r="L269" s="28">
        <v>995000</v>
      </c>
      <c r="M269" s="28" t="s">
        <v>20</v>
      </c>
      <c r="N269" s="28" t="s">
        <v>20</v>
      </c>
      <c r="O269" s="28" t="s">
        <v>20</v>
      </c>
      <c r="P269" s="28" t="s">
        <v>20</v>
      </c>
      <c r="Q269" s="28" t="s">
        <v>20</v>
      </c>
      <c r="R269" s="28" t="s">
        <v>20</v>
      </c>
    </row>
    <row r="270" spans="2:18" x14ac:dyDescent="0.25">
      <c r="B270" s="28">
        <v>62</v>
      </c>
      <c r="C270" s="28" t="s">
        <v>1789</v>
      </c>
      <c r="D270" s="28" t="s">
        <v>1789</v>
      </c>
      <c r="E270" s="123">
        <v>45438</v>
      </c>
      <c r="F270" s="109">
        <v>0.96180555555555558</v>
      </c>
      <c r="G270" s="26" t="s">
        <v>2227</v>
      </c>
      <c r="H270" s="124" t="s">
        <v>385</v>
      </c>
      <c r="I270" s="124"/>
      <c r="J270" s="28" t="s">
        <v>2228</v>
      </c>
      <c r="K270" s="28">
        <v>10000</v>
      </c>
      <c r="L270" s="28">
        <v>4990000</v>
      </c>
      <c r="M270" s="28" t="s">
        <v>20</v>
      </c>
      <c r="N270" s="28" t="s">
        <v>20</v>
      </c>
      <c r="O270" s="28" t="s">
        <v>20</v>
      </c>
      <c r="P270" s="28" t="s">
        <v>20</v>
      </c>
      <c r="Q270" s="28" t="s">
        <v>20</v>
      </c>
      <c r="R270" s="28" t="s">
        <v>20</v>
      </c>
    </row>
    <row r="271" spans="2:18" ht="39" x14ac:dyDescent="0.25">
      <c r="B271" s="28">
        <v>63</v>
      </c>
      <c r="C271" s="28" t="s">
        <v>1789</v>
      </c>
      <c r="D271" s="28" t="s">
        <v>1789</v>
      </c>
      <c r="E271" s="123">
        <v>45439</v>
      </c>
      <c r="F271" s="109">
        <v>0.76458333333333328</v>
      </c>
      <c r="G271" s="26" t="s">
        <v>2229</v>
      </c>
      <c r="H271" s="124" t="s">
        <v>1904</v>
      </c>
      <c r="I271" s="124"/>
      <c r="J271" s="28" t="s">
        <v>2150</v>
      </c>
      <c r="K271" s="28"/>
      <c r="L271" s="28"/>
      <c r="M271" s="28"/>
      <c r="N271" s="28"/>
      <c r="O271" s="28"/>
      <c r="P271" s="28"/>
      <c r="Q271" s="28"/>
      <c r="R271" s="28"/>
    </row>
    <row r="272" spans="2:18" ht="39" x14ac:dyDescent="0.25">
      <c r="B272" s="28">
        <v>64</v>
      </c>
      <c r="C272" s="28" t="s">
        <v>1789</v>
      </c>
      <c r="D272" s="28" t="s">
        <v>1789</v>
      </c>
      <c r="E272" s="123">
        <v>45439</v>
      </c>
      <c r="F272" s="111">
        <v>45861</v>
      </c>
      <c r="G272" s="26" t="s">
        <v>2230</v>
      </c>
      <c r="H272" s="124" t="s">
        <v>385</v>
      </c>
      <c r="I272" s="124"/>
      <c r="J272" s="28" t="s">
        <v>2231</v>
      </c>
      <c r="K272" s="28"/>
      <c r="L272" s="28"/>
      <c r="M272" s="28"/>
      <c r="N272" s="28"/>
      <c r="O272" s="28"/>
      <c r="P272" s="28"/>
      <c r="Q272" s="28"/>
      <c r="R272" s="28"/>
    </row>
    <row r="273" spans="2:18" ht="39" x14ac:dyDescent="0.25">
      <c r="B273" s="28">
        <v>65</v>
      </c>
      <c r="C273" s="28" t="s">
        <v>1789</v>
      </c>
      <c r="D273" s="28" t="s">
        <v>1789</v>
      </c>
      <c r="E273" s="123">
        <v>45439</v>
      </c>
      <c r="F273" s="28" t="s">
        <v>1242</v>
      </c>
      <c r="G273" s="26" t="s">
        <v>2230</v>
      </c>
      <c r="H273" s="124" t="s">
        <v>385</v>
      </c>
      <c r="I273" s="124"/>
      <c r="J273" s="28" t="s">
        <v>2231</v>
      </c>
      <c r="K273" s="28"/>
      <c r="L273" s="28"/>
      <c r="M273" s="28"/>
      <c r="N273" s="28"/>
      <c r="O273" s="28"/>
      <c r="P273" s="28"/>
      <c r="Q273" s="28"/>
      <c r="R273" s="28"/>
    </row>
    <row r="274" spans="2:18" ht="39" x14ac:dyDescent="0.25">
      <c r="B274" s="28">
        <v>66</v>
      </c>
      <c r="C274" s="28" t="s">
        <v>1789</v>
      </c>
      <c r="D274" s="28" t="s">
        <v>1789</v>
      </c>
      <c r="E274" s="123">
        <v>45440</v>
      </c>
      <c r="F274" s="109">
        <v>0.61597222222222225</v>
      </c>
      <c r="G274" s="26" t="s">
        <v>2232</v>
      </c>
      <c r="H274" s="124" t="s">
        <v>2233</v>
      </c>
      <c r="I274" s="124"/>
      <c r="J274" s="28" t="s">
        <v>2234</v>
      </c>
      <c r="K274" s="28">
        <v>90000</v>
      </c>
      <c r="L274" s="28">
        <v>2110000</v>
      </c>
      <c r="M274" s="28"/>
      <c r="N274" s="28"/>
      <c r="O274" s="28"/>
      <c r="P274" s="28"/>
      <c r="Q274" s="28"/>
      <c r="R274" s="28"/>
    </row>
    <row r="275" spans="2:18" ht="39" x14ac:dyDescent="0.25">
      <c r="B275" s="28">
        <v>67</v>
      </c>
      <c r="C275" s="28" t="s">
        <v>1789</v>
      </c>
      <c r="D275" s="28" t="s">
        <v>1789</v>
      </c>
      <c r="E275" s="123">
        <v>45440</v>
      </c>
      <c r="F275" s="109">
        <v>0.64444444444444449</v>
      </c>
      <c r="G275" s="26" t="s">
        <v>2235</v>
      </c>
      <c r="H275" s="124" t="s">
        <v>385</v>
      </c>
      <c r="I275" s="124"/>
      <c r="J275" s="28" t="s">
        <v>2236</v>
      </c>
      <c r="K275" s="28">
        <v>20000</v>
      </c>
      <c r="L275" s="28">
        <v>180000</v>
      </c>
      <c r="M275" s="28"/>
      <c r="N275" s="28"/>
      <c r="O275" s="28"/>
      <c r="P275" s="28"/>
      <c r="Q275" s="28"/>
      <c r="R275" s="28"/>
    </row>
    <row r="276" spans="2:18" x14ac:dyDescent="0.25">
      <c r="B276" s="28">
        <v>68</v>
      </c>
      <c r="C276" s="28" t="s">
        <v>1789</v>
      </c>
      <c r="D276" s="28" t="s">
        <v>1789</v>
      </c>
      <c r="E276" s="123">
        <v>45440</v>
      </c>
      <c r="F276" s="109">
        <v>0.68958333333333333</v>
      </c>
      <c r="G276" s="26" t="s">
        <v>2237</v>
      </c>
      <c r="H276" s="124" t="s">
        <v>1904</v>
      </c>
      <c r="I276" s="124"/>
      <c r="J276" s="28" t="s">
        <v>2238</v>
      </c>
      <c r="K276" s="28">
        <v>150000</v>
      </c>
      <c r="L276" s="28">
        <v>50000</v>
      </c>
      <c r="M276" s="28"/>
      <c r="N276" s="28"/>
      <c r="O276" s="28"/>
      <c r="P276" s="28"/>
      <c r="Q276" s="28"/>
      <c r="R276" s="28"/>
    </row>
    <row r="277" spans="2:18" ht="39" x14ac:dyDescent="0.25">
      <c r="B277" s="28">
        <v>69</v>
      </c>
      <c r="C277" s="28" t="s">
        <v>1789</v>
      </c>
      <c r="D277" s="28" t="s">
        <v>1789</v>
      </c>
      <c r="E277" s="123">
        <v>45440</v>
      </c>
      <c r="F277" s="109">
        <v>0.70833333333333337</v>
      </c>
      <c r="G277" s="26" t="s">
        <v>2239</v>
      </c>
      <c r="H277" s="124" t="s">
        <v>385</v>
      </c>
      <c r="I277" s="124"/>
      <c r="J277" s="28" t="s">
        <v>2045</v>
      </c>
      <c r="K277" s="28"/>
      <c r="L277" s="28"/>
      <c r="M277" s="28"/>
      <c r="N277" s="28"/>
      <c r="O277" s="28"/>
      <c r="P277" s="28"/>
      <c r="Q277" s="28"/>
      <c r="R277" s="28"/>
    </row>
    <row r="278" spans="2:18" x14ac:dyDescent="0.25">
      <c r="B278" s="28">
        <v>70</v>
      </c>
      <c r="C278" s="28" t="s">
        <v>1789</v>
      </c>
      <c r="D278" s="28" t="s">
        <v>1789</v>
      </c>
      <c r="E278" s="123">
        <v>45441</v>
      </c>
      <c r="F278" s="109">
        <v>0.85902777777777772</v>
      </c>
      <c r="G278" s="26" t="s">
        <v>2240</v>
      </c>
      <c r="H278" s="124" t="s">
        <v>1904</v>
      </c>
      <c r="I278" s="124"/>
      <c r="J278" s="28" t="s">
        <v>2241</v>
      </c>
      <c r="K278" s="28">
        <v>80000</v>
      </c>
      <c r="L278" s="28">
        <v>4920000</v>
      </c>
      <c r="M278" s="28"/>
      <c r="N278" s="28"/>
      <c r="O278" s="28"/>
      <c r="P278" s="28"/>
      <c r="Q278" s="28"/>
      <c r="R278" s="28"/>
    </row>
    <row r="279" spans="2:18" ht="39" x14ac:dyDescent="0.25">
      <c r="B279" s="28">
        <v>71</v>
      </c>
      <c r="C279" s="28" t="s">
        <v>1789</v>
      </c>
      <c r="D279" s="28" t="s">
        <v>1789</v>
      </c>
      <c r="E279" s="123">
        <v>45441</v>
      </c>
      <c r="F279" s="109">
        <v>6.0416666666666667E-2</v>
      </c>
      <c r="G279" s="26" t="s">
        <v>2242</v>
      </c>
      <c r="H279" s="124" t="s">
        <v>1880</v>
      </c>
      <c r="I279" s="124"/>
      <c r="J279" s="28" t="s">
        <v>2243</v>
      </c>
      <c r="K279" s="28">
        <v>400000</v>
      </c>
      <c r="L279" s="28">
        <v>4600000</v>
      </c>
      <c r="M279" s="28"/>
      <c r="N279" s="28"/>
      <c r="O279" s="28"/>
      <c r="P279" s="28"/>
      <c r="Q279" s="28"/>
      <c r="R279" s="28"/>
    </row>
    <row r="280" spans="2:18" ht="39" x14ac:dyDescent="0.25">
      <c r="B280" s="28">
        <v>72</v>
      </c>
      <c r="C280" s="28" t="s">
        <v>1789</v>
      </c>
      <c r="D280" s="28" t="s">
        <v>1789</v>
      </c>
      <c r="E280" s="123">
        <v>45441</v>
      </c>
      <c r="F280" s="109">
        <v>0.5708333333333333</v>
      </c>
      <c r="G280" s="26" t="s">
        <v>2244</v>
      </c>
      <c r="H280" s="124" t="s">
        <v>385</v>
      </c>
      <c r="I280" s="124"/>
      <c r="J280" s="28" t="s">
        <v>2244</v>
      </c>
      <c r="K280" s="28">
        <v>15000</v>
      </c>
      <c r="L280" s="28">
        <v>19985000</v>
      </c>
      <c r="M280" s="28"/>
      <c r="N280" s="28"/>
      <c r="O280" s="28"/>
      <c r="P280" s="28"/>
      <c r="Q280" s="28"/>
      <c r="R280" s="28"/>
    </row>
    <row r="281" spans="2:18" x14ac:dyDescent="0.25">
      <c r="B281" s="28">
        <v>73</v>
      </c>
      <c r="C281" s="28" t="s">
        <v>1789</v>
      </c>
      <c r="D281" s="28" t="s">
        <v>1789</v>
      </c>
      <c r="E281" s="123">
        <v>45441</v>
      </c>
      <c r="F281" s="109">
        <v>0.57222222222222219</v>
      </c>
      <c r="G281" s="26" t="s">
        <v>2245</v>
      </c>
      <c r="H281" s="124" t="s">
        <v>2246</v>
      </c>
      <c r="I281" s="124"/>
      <c r="J281" s="28" t="s">
        <v>2114</v>
      </c>
      <c r="K281" s="28">
        <v>20000</v>
      </c>
      <c r="L281" s="28">
        <v>580000</v>
      </c>
      <c r="M281" s="28"/>
      <c r="N281" s="28"/>
      <c r="O281" s="28"/>
      <c r="P281" s="28"/>
      <c r="Q281" s="28"/>
      <c r="R281" s="28"/>
    </row>
    <row r="282" spans="2:18" ht="58.5" x14ac:dyDescent="0.25">
      <c r="B282" s="28">
        <v>74</v>
      </c>
      <c r="C282" s="28" t="s">
        <v>1789</v>
      </c>
      <c r="D282" s="28" t="s">
        <v>1789</v>
      </c>
      <c r="E282" s="123">
        <v>45441</v>
      </c>
      <c r="F282" s="109">
        <v>0.86597222222222225</v>
      </c>
      <c r="G282" s="26" t="s">
        <v>2247</v>
      </c>
      <c r="H282" s="124" t="s">
        <v>2248</v>
      </c>
      <c r="I282" s="124"/>
      <c r="J282" s="28"/>
      <c r="K282" s="28">
        <v>0</v>
      </c>
      <c r="L282" s="28">
        <v>0</v>
      </c>
      <c r="M282" s="28"/>
      <c r="N282" s="28"/>
      <c r="O282" s="28"/>
      <c r="P282" s="28"/>
      <c r="Q282" s="28"/>
      <c r="R282" s="28"/>
    </row>
    <row r="283" spans="2:18" ht="39" x14ac:dyDescent="0.25">
      <c r="B283" s="28">
        <v>75</v>
      </c>
      <c r="C283" s="28" t="s">
        <v>1789</v>
      </c>
      <c r="D283" s="28" t="s">
        <v>1789</v>
      </c>
      <c r="E283" s="123">
        <v>45441</v>
      </c>
      <c r="F283" s="109">
        <v>0.95694444444444449</v>
      </c>
      <c r="G283" s="26" t="s">
        <v>2249</v>
      </c>
      <c r="H283" s="124" t="s">
        <v>2007</v>
      </c>
      <c r="I283" s="124"/>
      <c r="J283" s="28" t="s">
        <v>2250</v>
      </c>
      <c r="K283" s="28">
        <v>0</v>
      </c>
      <c r="L283" s="28">
        <v>0</v>
      </c>
      <c r="M283" s="28"/>
      <c r="N283" s="28"/>
      <c r="O283" s="28"/>
      <c r="P283" s="28"/>
      <c r="Q283" s="28"/>
      <c r="R283" s="28"/>
    </row>
    <row r="284" spans="2:18" ht="39" x14ac:dyDescent="0.25">
      <c r="B284" s="28">
        <v>76</v>
      </c>
      <c r="C284" s="28" t="s">
        <v>1789</v>
      </c>
      <c r="D284" s="28" t="s">
        <v>1789</v>
      </c>
      <c r="E284" s="123">
        <v>45442</v>
      </c>
      <c r="F284" s="109">
        <v>0.50416666666666665</v>
      </c>
      <c r="G284" s="26" t="s">
        <v>2251</v>
      </c>
      <c r="H284" s="124" t="s">
        <v>1904</v>
      </c>
      <c r="I284" s="124"/>
      <c r="J284" s="28" t="s">
        <v>2252</v>
      </c>
      <c r="K284" s="28">
        <v>25000</v>
      </c>
      <c r="L284" s="28">
        <v>19975000</v>
      </c>
      <c r="M284" s="28"/>
      <c r="N284" s="28"/>
      <c r="O284" s="28"/>
      <c r="P284" s="28"/>
      <c r="Q284" s="28"/>
      <c r="R284" s="28"/>
    </row>
    <row r="285" spans="2:18" x14ac:dyDescent="0.25">
      <c r="B285" s="28">
        <v>77</v>
      </c>
      <c r="C285" s="28" t="s">
        <v>1789</v>
      </c>
      <c r="D285" s="28" t="s">
        <v>1789</v>
      </c>
      <c r="E285" s="123">
        <v>45442</v>
      </c>
      <c r="F285" s="109">
        <v>0.61388888888888893</v>
      </c>
      <c r="G285" s="26" t="s">
        <v>2253</v>
      </c>
      <c r="H285" s="124" t="s">
        <v>1904</v>
      </c>
      <c r="I285" s="124"/>
      <c r="J285" s="28" t="s">
        <v>2114</v>
      </c>
      <c r="K285" s="28">
        <v>20000</v>
      </c>
      <c r="L285" s="28">
        <v>180000</v>
      </c>
      <c r="M285" s="28"/>
      <c r="N285" s="28"/>
      <c r="O285" s="28"/>
      <c r="P285" s="28"/>
      <c r="Q285" s="28"/>
      <c r="R285" s="28"/>
    </row>
    <row r="286" spans="2:18" ht="39" x14ac:dyDescent="0.25">
      <c r="B286" s="28">
        <v>78</v>
      </c>
      <c r="C286" s="28" t="s">
        <v>1789</v>
      </c>
      <c r="D286" s="28" t="s">
        <v>1789</v>
      </c>
      <c r="E286" s="123">
        <v>45442</v>
      </c>
      <c r="F286" s="109">
        <v>0.64444444444444449</v>
      </c>
      <c r="G286" s="26" t="s">
        <v>2254</v>
      </c>
      <c r="H286" s="124" t="s">
        <v>385</v>
      </c>
      <c r="I286" s="124"/>
      <c r="J286" s="26" t="s">
        <v>2545</v>
      </c>
      <c r="K286" s="28">
        <v>20000</v>
      </c>
      <c r="L286" s="28">
        <v>980000</v>
      </c>
      <c r="M286" s="28"/>
      <c r="N286" s="28"/>
      <c r="O286" s="28"/>
      <c r="P286" s="28"/>
      <c r="Q286" s="28"/>
      <c r="R286" s="28"/>
    </row>
    <row r="287" spans="2:18" ht="39" x14ac:dyDescent="0.25">
      <c r="B287" s="28">
        <v>79</v>
      </c>
      <c r="C287" s="28" t="s">
        <v>1789</v>
      </c>
      <c r="D287" s="28" t="s">
        <v>1789</v>
      </c>
      <c r="E287" s="123">
        <v>45442</v>
      </c>
      <c r="F287" s="109">
        <v>0.67013888888888884</v>
      </c>
      <c r="G287" s="26" t="s">
        <v>2255</v>
      </c>
      <c r="H287" s="124" t="s">
        <v>385</v>
      </c>
      <c r="I287" s="124"/>
      <c r="J287" s="28" t="s">
        <v>2545</v>
      </c>
      <c r="K287" s="28">
        <v>10000</v>
      </c>
      <c r="L287" s="28">
        <v>1990000</v>
      </c>
      <c r="M287" s="28"/>
      <c r="N287" s="28"/>
      <c r="O287" s="28"/>
      <c r="P287" s="28"/>
      <c r="Q287" s="28"/>
      <c r="R287" s="28"/>
    </row>
    <row r="288" spans="2:18" x14ac:dyDescent="0.25">
      <c r="B288" s="28">
        <v>80</v>
      </c>
      <c r="C288" s="28" t="s">
        <v>1789</v>
      </c>
      <c r="D288" s="28" t="s">
        <v>1789</v>
      </c>
      <c r="E288" s="123">
        <v>45442</v>
      </c>
      <c r="F288" s="109">
        <v>0.77847222222222223</v>
      </c>
      <c r="G288" s="26" t="s">
        <v>2256</v>
      </c>
      <c r="H288" s="124" t="s">
        <v>1904</v>
      </c>
      <c r="I288" s="124"/>
      <c r="J288" s="28" t="s">
        <v>2150</v>
      </c>
      <c r="K288" s="28">
        <v>50000</v>
      </c>
      <c r="L288" s="28">
        <v>4950000</v>
      </c>
      <c r="M288" s="28"/>
      <c r="N288" s="28"/>
      <c r="O288" s="28"/>
      <c r="P288" s="28"/>
      <c r="Q288" s="28"/>
      <c r="R288" s="28"/>
    </row>
    <row r="289" spans="2:18" ht="39" x14ac:dyDescent="0.25">
      <c r="B289" s="28">
        <v>81</v>
      </c>
      <c r="C289" s="28" t="s">
        <v>1789</v>
      </c>
      <c r="D289" s="28" t="s">
        <v>1789</v>
      </c>
      <c r="E289" s="123">
        <v>45442</v>
      </c>
      <c r="F289" s="109">
        <v>0.96736111111111112</v>
      </c>
      <c r="G289" s="26" t="s">
        <v>2257</v>
      </c>
      <c r="H289" s="124" t="s">
        <v>406</v>
      </c>
      <c r="I289" s="124"/>
      <c r="J289" s="28" t="s">
        <v>2258</v>
      </c>
      <c r="K289" s="28"/>
      <c r="L289" s="28">
        <v>20000000</v>
      </c>
      <c r="M289" s="28"/>
      <c r="N289" s="28"/>
      <c r="O289" s="28"/>
      <c r="P289" s="28"/>
      <c r="Q289" s="28"/>
      <c r="R289" s="28"/>
    </row>
    <row r="290" spans="2:18" ht="58.5" x14ac:dyDescent="0.25">
      <c r="B290" s="28">
        <v>82</v>
      </c>
      <c r="C290" s="28" t="s">
        <v>1789</v>
      </c>
      <c r="D290" s="28" t="s">
        <v>1789</v>
      </c>
      <c r="E290" s="122" t="s">
        <v>1280</v>
      </c>
      <c r="F290" s="109">
        <v>0.99444444444444446</v>
      </c>
      <c r="G290" s="26" t="s">
        <v>2259</v>
      </c>
      <c r="H290" s="124" t="s">
        <v>1904</v>
      </c>
      <c r="I290" s="124"/>
      <c r="J290" s="28" t="s">
        <v>2258</v>
      </c>
      <c r="K290" s="28"/>
      <c r="L290" s="28">
        <v>20000000</v>
      </c>
      <c r="M290" s="28"/>
      <c r="N290" s="28"/>
      <c r="O290" s="28"/>
      <c r="P290" s="28"/>
      <c r="Q290" s="28"/>
      <c r="R290" s="28"/>
    </row>
    <row r="291" spans="2:18" ht="39" x14ac:dyDescent="0.25">
      <c r="B291" s="28">
        <v>83</v>
      </c>
      <c r="C291" s="28" t="s">
        <v>1789</v>
      </c>
      <c r="D291" s="28" t="s">
        <v>1789</v>
      </c>
      <c r="E291" s="123">
        <v>45443</v>
      </c>
      <c r="F291" s="109">
        <v>2.0833333333333332E-2</v>
      </c>
      <c r="G291" s="26" t="s">
        <v>2260</v>
      </c>
      <c r="H291" s="124" t="s">
        <v>385</v>
      </c>
      <c r="I291" s="124"/>
      <c r="J291" s="28" t="s">
        <v>2261</v>
      </c>
      <c r="K291" s="28">
        <v>200000</v>
      </c>
      <c r="L291" s="28">
        <v>800000</v>
      </c>
      <c r="M291" s="28"/>
      <c r="N291" s="28"/>
      <c r="O291" s="28"/>
      <c r="P291" s="28"/>
      <c r="Q291" s="28"/>
      <c r="R291" s="28"/>
    </row>
    <row r="292" spans="2:18" ht="39" x14ac:dyDescent="0.25">
      <c r="B292" s="28">
        <v>84</v>
      </c>
      <c r="C292" s="28" t="s">
        <v>1789</v>
      </c>
      <c r="D292" s="28" t="s">
        <v>1789</v>
      </c>
      <c r="E292" s="123">
        <v>45443</v>
      </c>
      <c r="F292" s="109">
        <v>0.85763888888888884</v>
      </c>
      <c r="G292" s="26" t="s">
        <v>2262</v>
      </c>
      <c r="H292" s="124" t="s">
        <v>385</v>
      </c>
      <c r="I292" s="124"/>
      <c r="J292" s="28" t="s">
        <v>2243</v>
      </c>
      <c r="K292" s="28">
        <v>400000</v>
      </c>
      <c r="L292" s="28">
        <v>600000</v>
      </c>
      <c r="M292" s="28"/>
      <c r="N292" s="28"/>
      <c r="O292" s="28"/>
      <c r="P292" s="28"/>
      <c r="Q292" s="28"/>
      <c r="R292" s="28"/>
    </row>
    <row r="293" spans="2:18" x14ac:dyDescent="0.25">
      <c r="B293" s="28">
        <v>1</v>
      </c>
      <c r="C293" s="28" t="s">
        <v>1789</v>
      </c>
      <c r="D293" s="28" t="s">
        <v>1789</v>
      </c>
      <c r="E293" s="108">
        <v>45413</v>
      </c>
      <c r="F293" s="109">
        <v>0.79027777777777775</v>
      </c>
      <c r="G293" s="28" t="s">
        <v>2263</v>
      </c>
      <c r="H293" s="124" t="s">
        <v>1904</v>
      </c>
      <c r="I293" s="124"/>
      <c r="J293" s="28" t="s">
        <v>2443</v>
      </c>
      <c r="K293" s="28"/>
      <c r="L293" s="28"/>
      <c r="M293" s="28" t="s">
        <v>20</v>
      </c>
      <c r="N293" s="28" t="s">
        <v>20</v>
      </c>
      <c r="O293" s="28" t="s">
        <v>20</v>
      </c>
      <c r="P293" s="28" t="s">
        <v>20</v>
      </c>
      <c r="Q293" s="28" t="s">
        <v>20</v>
      </c>
      <c r="R293" s="28" t="s">
        <v>20</v>
      </c>
    </row>
    <row r="294" spans="2:18" x14ac:dyDescent="0.25">
      <c r="B294" s="28">
        <v>2</v>
      </c>
      <c r="C294" s="28" t="s">
        <v>1789</v>
      </c>
      <c r="D294" s="28" t="s">
        <v>1789</v>
      </c>
      <c r="E294" s="108">
        <v>45414</v>
      </c>
      <c r="F294" s="109">
        <v>0.52777777777777779</v>
      </c>
      <c r="G294" s="28" t="s">
        <v>2264</v>
      </c>
      <c r="H294" s="124" t="s">
        <v>1904</v>
      </c>
      <c r="I294" s="124"/>
      <c r="J294" s="28" t="s">
        <v>2443</v>
      </c>
      <c r="K294" s="28">
        <v>5000</v>
      </c>
      <c r="L294" s="28">
        <v>495000</v>
      </c>
      <c r="M294" s="28" t="s">
        <v>20</v>
      </c>
      <c r="N294" s="28" t="s">
        <v>20</v>
      </c>
      <c r="O294" s="28" t="s">
        <v>20</v>
      </c>
      <c r="P294" s="28" t="s">
        <v>20</v>
      </c>
      <c r="Q294" s="28" t="s">
        <v>20</v>
      </c>
      <c r="R294" s="28" t="s">
        <v>20</v>
      </c>
    </row>
    <row r="295" spans="2:18" x14ac:dyDescent="0.25">
      <c r="B295" s="28">
        <v>3</v>
      </c>
      <c r="C295" s="28" t="s">
        <v>1789</v>
      </c>
      <c r="D295" s="28" t="s">
        <v>1789</v>
      </c>
      <c r="E295" s="108">
        <v>45414</v>
      </c>
      <c r="F295" s="109">
        <v>0.58888888888888891</v>
      </c>
      <c r="G295" s="28" t="s">
        <v>2265</v>
      </c>
      <c r="H295" s="124" t="s">
        <v>1904</v>
      </c>
      <c r="I295" s="124"/>
      <c r="J295" s="28" t="s">
        <v>2443</v>
      </c>
      <c r="K295" s="28"/>
      <c r="L295" s="28">
        <v>100000</v>
      </c>
      <c r="M295" s="28" t="s">
        <v>20</v>
      </c>
      <c r="N295" s="28" t="s">
        <v>20</v>
      </c>
      <c r="O295" s="28" t="s">
        <v>20</v>
      </c>
      <c r="P295" s="28" t="s">
        <v>20</v>
      </c>
      <c r="Q295" s="28" t="s">
        <v>20</v>
      </c>
      <c r="R295" s="28" t="s">
        <v>20</v>
      </c>
    </row>
    <row r="296" spans="2:18" x14ac:dyDescent="0.25">
      <c r="B296" s="28">
        <v>4</v>
      </c>
      <c r="C296" s="28" t="s">
        <v>1789</v>
      </c>
      <c r="D296" s="28" t="s">
        <v>1789</v>
      </c>
      <c r="E296" s="108">
        <v>45414</v>
      </c>
      <c r="F296" s="109">
        <v>0.78472222222222221</v>
      </c>
      <c r="G296" s="28" t="s">
        <v>2266</v>
      </c>
      <c r="H296" s="124" t="s">
        <v>1904</v>
      </c>
      <c r="I296" s="124"/>
      <c r="J296" s="28" t="s">
        <v>2443</v>
      </c>
      <c r="K296" s="28"/>
      <c r="L296" s="28"/>
      <c r="M296" s="28" t="s">
        <v>20</v>
      </c>
      <c r="N296" s="28" t="s">
        <v>20</v>
      </c>
      <c r="O296" s="28" t="s">
        <v>20</v>
      </c>
      <c r="P296" s="28" t="s">
        <v>20</v>
      </c>
      <c r="Q296" s="28" t="s">
        <v>20</v>
      </c>
      <c r="R296" s="28" t="s">
        <v>20</v>
      </c>
    </row>
    <row r="297" spans="2:18" x14ac:dyDescent="0.25">
      <c r="B297" s="28">
        <v>5</v>
      </c>
      <c r="C297" s="28" t="s">
        <v>1789</v>
      </c>
      <c r="D297" s="28" t="s">
        <v>1789</v>
      </c>
      <c r="E297" s="108">
        <v>45415</v>
      </c>
      <c r="F297" s="109">
        <v>2.0833333333333332E-2</v>
      </c>
      <c r="G297" s="28" t="s">
        <v>2267</v>
      </c>
      <c r="H297" s="124" t="s">
        <v>1904</v>
      </c>
      <c r="I297" s="124"/>
      <c r="J297" s="28" t="s">
        <v>2443</v>
      </c>
      <c r="K297" s="28">
        <v>50000</v>
      </c>
      <c r="L297" s="28">
        <v>4950000</v>
      </c>
      <c r="M297" s="28" t="s">
        <v>20</v>
      </c>
      <c r="N297" s="28" t="s">
        <v>20</v>
      </c>
      <c r="O297" s="28" t="s">
        <v>20</v>
      </c>
      <c r="P297" s="28" t="s">
        <v>20</v>
      </c>
      <c r="Q297" s="28" t="s">
        <v>20</v>
      </c>
      <c r="R297" s="28" t="s">
        <v>20</v>
      </c>
    </row>
    <row r="298" spans="2:18" x14ac:dyDescent="0.25">
      <c r="B298" s="28">
        <v>6</v>
      </c>
      <c r="C298" s="28" t="s">
        <v>1789</v>
      </c>
      <c r="D298" s="28" t="s">
        <v>1789</v>
      </c>
      <c r="E298" s="108">
        <v>45415</v>
      </c>
      <c r="F298" s="109">
        <v>0.41249999999999998</v>
      </c>
      <c r="G298" s="28" t="s">
        <v>2268</v>
      </c>
      <c r="H298" s="124" t="s">
        <v>1904</v>
      </c>
      <c r="I298" s="124"/>
      <c r="J298" s="28" t="s">
        <v>2443</v>
      </c>
      <c r="K298" s="28">
        <v>200000</v>
      </c>
      <c r="L298" s="28">
        <v>1800000</v>
      </c>
      <c r="M298" s="28" t="s">
        <v>20</v>
      </c>
      <c r="N298" s="28" t="s">
        <v>20</v>
      </c>
      <c r="O298" s="28" t="s">
        <v>20</v>
      </c>
      <c r="P298" s="28" t="s">
        <v>20</v>
      </c>
      <c r="Q298" s="28" t="s">
        <v>20</v>
      </c>
      <c r="R298" s="28" t="s">
        <v>20</v>
      </c>
    </row>
    <row r="299" spans="2:18" x14ac:dyDescent="0.25">
      <c r="B299" s="28">
        <v>7</v>
      </c>
      <c r="C299" s="28" t="s">
        <v>1789</v>
      </c>
      <c r="D299" s="28" t="s">
        <v>1789</v>
      </c>
      <c r="E299" s="108">
        <v>45415</v>
      </c>
      <c r="F299" s="109">
        <v>0.49722222222222223</v>
      </c>
      <c r="G299" s="28" t="s">
        <v>2269</v>
      </c>
      <c r="H299" s="124" t="s">
        <v>1904</v>
      </c>
      <c r="I299" s="124"/>
      <c r="J299" s="28" t="s">
        <v>2443</v>
      </c>
      <c r="K299" s="28">
        <v>200000</v>
      </c>
      <c r="L299" s="28">
        <v>1800000</v>
      </c>
      <c r="M299" s="28"/>
      <c r="N299" s="28"/>
      <c r="O299" s="28"/>
      <c r="P299" s="28"/>
      <c r="Q299" s="28"/>
      <c r="R299" s="28"/>
    </row>
    <row r="300" spans="2:18" x14ac:dyDescent="0.25">
      <c r="B300" s="28">
        <v>8</v>
      </c>
      <c r="C300" s="28" t="s">
        <v>1789</v>
      </c>
      <c r="D300" s="28" t="s">
        <v>1789</v>
      </c>
      <c r="E300" s="108">
        <v>45415</v>
      </c>
      <c r="F300" s="109">
        <v>0.56944444444444442</v>
      </c>
      <c r="G300" s="28" t="s">
        <v>2270</v>
      </c>
      <c r="H300" s="124" t="s">
        <v>1904</v>
      </c>
      <c r="I300" s="124"/>
      <c r="J300" s="28" t="s">
        <v>2443</v>
      </c>
      <c r="K300" s="28"/>
      <c r="L300" s="28"/>
      <c r="M300" s="28"/>
      <c r="N300" s="28"/>
      <c r="O300" s="28"/>
      <c r="P300" s="28"/>
      <c r="Q300" s="28"/>
      <c r="R300" s="28"/>
    </row>
    <row r="301" spans="2:18" x14ac:dyDescent="0.25">
      <c r="B301" s="28">
        <v>9</v>
      </c>
      <c r="C301" s="28" t="s">
        <v>1789</v>
      </c>
      <c r="D301" s="28" t="s">
        <v>1789</v>
      </c>
      <c r="E301" s="108">
        <v>45415</v>
      </c>
      <c r="F301" s="109">
        <v>0.81944444444444442</v>
      </c>
      <c r="G301" s="28" t="s">
        <v>2271</v>
      </c>
      <c r="H301" s="124" t="s">
        <v>1904</v>
      </c>
      <c r="I301" s="124"/>
      <c r="J301" s="28" t="s">
        <v>2443</v>
      </c>
      <c r="K301" s="28">
        <v>5000</v>
      </c>
      <c r="L301" s="28">
        <v>95000</v>
      </c>
      <c r="M301" s="28"/>
      <c r="N301" s="28"/>
      <c r="O301" s="28"/>
      <c r="P301" s="28"/>
      <c r="Q301" s="28"/>
      <c r="R301" s="28"/>
    </row>
    <row r="302" spans="2:18" x14ac:dyDescent="0.25">
      <c r="B302" s="28">
        <v>10</v>
      </c>
      <c r="C302" s="28" t="s">
        <v>1789</v>
      </c>
      <c r="D302" s="28" t="s">
        <v>1789</v>
      </c>
      <c r="E302" s="108">
        <v>45416</v>
      </c>
      <c r="F302" s="109">
        <v>0.61527777777777781</v>
      </c>
      <c r="G302" s="28" t="s">
        <v>2272</v>
      </c>
      <c r="H302" s="124" t="s">
        <v>1904</v>
      </c>
      <c r="I302" s="124"/>
      <c r="J302" s="28" t="s">
        <v>2443</v>
      </c>
      <c r="K302" s="28">
        <v>100000</v>
      </c>
      <c r="L302" s="28">
        <v>400000</v>
      </c>
      <c r="M302" s="28"/>
      <c r="N302" s="28"/>
      <c r="O302" s="28"/>
      <c r="P302" s="28"/>
      <c r="Q302" s="28"/>
      <c r="R302" s="28"/>
    </row>
    <row r="303" spans="2:18" x14ac:dyDescent="0.25">
      <c r="B303" s="28">
        <v>11</v>
      </c>
      <c r="C303" s="28" t="s">
        <v>1789</v>
      </c>
      <c r="D303" s="28" t="s">
        <v>1789</v>
      </c>
      <c r="E303" s="108">
        <v>45416</v>
      </c>
      <c r="F303" s="109">
        <v>0.70138888888888884</v>
      </c>
      <c r="G303" s="28" t="s">
        <v>2097</v>
      </c>
      <c r="H303" s="124" t="s">
        <v>1904</v>
      </c>
      <c r="I303" s="124"/>
      <c r="J303" s="28" t="s">
        <v>2443</v>
      </c>
      <c r="K303" s="28">
        <v>20000</v>
      </c>
      <c r="L303" s="28">
        <v>480000</v>
      </c>
      <c r="M303" s="28"/>
      <c r="N303" s="28"/>
      <c r="O303" s="28"/>
      <c r="P303" s="28"/>
      <c r="Q303" s="28"/>
      <c r="R303" s="28"/>
    </row>
    <row r="304" spans="2:18" x14ac:dyDescent="0.25">
      <c r="B304" s="28">
        <v>12</v>
      </c>
      <c r="C304" s="28" t="s">
        <v>1789</v>
      </c>
      <c r="D304" s="28" t="s">
        <v>1789</v>
      </c>
      <c r="E304" s="108">
        <v>45416</v>
      </c>
      <c r="F304" s="109">
        <v>0.70833333333333337</v>
      </c>
      <c r="G304" s="28" t="s">
        <v>2273</v>
      </c>
      <c r="H304" s="124" t="s">
        <v>1904</v>
      </c>
      <c r="I304" s="124"/>
      <c r="J304" s="28" t="s">
        <v>2443</v>
      </c>
      <c r="K304" s="28">
        <v>20000</v>
      </c>
      <c r="L304" s="28">
        <v>480000</v>
      </c>
      <c r="M304" s="28"/>
      <c r="N304" s="28"/>
      <c r="O304" s="28"/>
      <c r="P304" s="28"/>
      <c r="Q304" s="28"/>
      <c r="R304" s="28"/>
    </row>
    <row r="305" spans="2:18" x14ac:dyDescent="0.25">
      <c r="B305" s="28">
        <v>13</v>
      </c>
      <c r="C305" s="28" t="s">
        <v>1789</v>
      </c>
      <c r="D305" s="28" t="s">
        <v>1789</v>
      </c>
      <c r="E305" s="108">
        <v>45416</v>
      </c>
      <c r="F305" s="109">
        <v>0.72569444444444442</v>
      </c>
      <c r="G305" s="28" t="s">
        <v>2274</v>
      </c>
      <c r="H305" s="124" t="s">
        <v>1904</v>
      </c>
      <c r="I305" s="124"/>
      <c r="J305" s="28" t="s">
        <v>2443</v>
      </c>
      <c r="K305" s="28">
        <v>50000</v>
      </c>
      <c r="L305" s="28">
        <v>950000</v>
      </c>
      <c r="M305" s="28"/>
      <c r="N305" s="28"/>
      <c r="O305" s="28"/>
      <c r="P305" s="28"/>
      <c r="Q305" s="28"/>
      <c r="R305" s="28"/>
    </row>
    <row r="306" spans="2:18" x14ac:dyDescent="0.25">
      <c r="B306" s="28">
        <v>14</v>
      </c>
      <c r="C306" s="28" t="s">
        <v>1789</v>
      </c>
      <c r="D306" s="28" t="s">
        <v>1789</v>
      </c>
      <c r="E306" s="108">
        <v>45416</v>
      </c>
      <c r="F306" s="109">
        <v>0.88124999999999998</v>
      </c>
      <c r="G306" s="28" t="s">
        <v>2275</v>
      </c>
      <c r="H306" s="124" t="s">
        <v>1904</v>
      </c>
      <c r="I306" s="124"/>
      <c r="J306" s="28" t="s">
        <v>2443</v>
      </c>
      <c r="K306" s="28">
        <v>10000</v>
      </c>
      <c r="L306" s="28">
        <v>290000</v>
      </c>
      <c r="M306" s="28"/>
      <c r="N306" s="28"/>
      <c r="O306" s="28"/>
      <c r="P306" s="28"/>
      <c r="Q306" s="28"/>
      <c r="R306" s="28"/>
    </row>
    <row r="307" spans="2:18" x14ac:dyDescent="0.25">
      <c r="B307" s="28">
        <v>15</v>
      </c>
      <c r="C307" s="28" t="s">
        <v>1789</v>
      </c>
      <c r="D307" s="28" t="s">
        <v>1789</v>
      </c>
      <c r="E307" s="108">
        <v>45417</v>
      </c>
      <c r="F307" s="109">
        <v>0.74861111111111112</v>
      </c>
      <c r="G307" s="28" t="s">
        <v>2276</v>
      </c>
      <c r="H307" s="124" t="s">
        <v>1904</v>
      </c>
      <c r="I307" s="124"/>
      <c r="J307" s="28" t="s">
        <v>2443</v>
      </c>
      <c r="K307" s="28">
        <v>5000</v>
      </c>
      <c r="L307" s="28">
        <v>495000</v>
      </c>
      <c r="M307" s="28"/>
      <c r="N307" s="28"/>
      <c r="O307" s="28"/>
      <c r="P307" s="28"/>
      <c r="Q307" s="28"/>
      <c r="R307" s="28"/>
    </row>
    <row r="308" spans="2:18" x14ac:dyDescent="0.25">
      <c r="B308" s="28">
        <v>16</v>
      </c>
      <c r="C308" s="28" t="s">
        <v>1789</v>
      </c>
      <c r="D308" s="28" t="s">
        <v>1789</v>
      </c>
      <c r="E308" s="108">
        <v>45417</v>
      </c>
      <c r="F308" s="109">
        <v>0.84305555555555556</v>
      </c>
      <c r="G308" s="28" t="s">
        <v>2277</v>
      </c>
      <c r="H308" s="124" t="s">
        <v>1904</v>
      </c>
      <c r="I308" s="124"/>
      <c r="J308" s="28" t="s">
        <v>2443</v>
      </c>
      <c r="K308" s="28">
        <v>50000</v>
      </c>
      <c r="L308" s="28">
        <v>950000</v>
      </c>
      <c r="M308" s="28"/>
      <c r="N308" s="28"/>
      <c r="O308" s="28"/>
      <c r="P308" s="28"/>
      <c r="Q308" s="28"/>
      <c r="R308" s="28"/>
    </row>
    <row r="309" spans="2:18" x14ac:dyDescent="0.25">
      <c r="B309" s="28">
        <v>17</v>
      </c>
      <c r="C309" s="28" t="s">
        <v>1789</v>
      </c>
      <c r="D309" s="28" t="s">
        <v>1789</v>
      </c>
      <c r="E309" s="108">
        <v>45418</v>
      </c>
      <c r="F309" s="109">
        <v>0.84791666666666665</v>
      </c>
      <c r="G309" s="28" t="s">
        <v>2278</v>
      </c>
      <c r="H309" s="124" t="s">
        <v>1904</v>
      </c>
      <c r="I309" s="124"/>
      <c r="J309" s="28" t="s">
        <v>2443</v>
      </c>
      <c r="K309" s="28">
        <v>100000</v>
      </c>
      <c r="L309" s="28">
        <v>900000</v>
      </c>
      <c r="M309" s="28"/>
      <c r="N309" s="28"/>
      <c r="O309" s="28"/>
      <c r="P309" s="28"/>
      <c r="Q309" s="28"/>
      <c r="R309" s="28"/>
    </row>
    <row r="310" spans="2:18" x14ac:dyDescent="0.25">
      <c r="B310" s="28">
        <v>18</v>
      </c>
      <c r="C310" s="28" t="s">
        <v>1789</v>
      </c>
      <c r="D310" s="28" t="s">
        <v>1789</v>
      </c>
      <c r="E310" s="108">
        <v>45420</v>
      </c>
      <c r="F310" s="109">
        <v>0.83194444444444449</v>
      </c>
      <c r="G310" s="28" t="s">
        <v>2279</v>
      </c>
      <c r="H310" s="124" t="s">
        <v>1904</v>
      </c>
      <c r="I310" s="124"/>
      <c r="J310" s="28" t="s">
        <v>2443</v>
      </c>
      <c r="K310" s="28">
        <v>50000</v>
      </c>
      <c r="L310" s="28">
        <v>4950000</v>
      </c>
      <c r="M310" s="28"/>
      <c r="N310" s="28"/>
      <c r="O310" s="28"/>
      <c r="P310" s="28"/>
      <c r="Q310" s="28"/>
      <c r="R310" s="28"/>
    </row>
    <row r="311" spans="2:18" x14ac:dyDescent="0.25">
      <c r="B311" s="28">
        <v>19</v>
      </c>
      <c r="C311" s="28" t="s">
        <v>1789</v>
      </c>
      <c r="D311" s="28" t="s">
        <v>1789</v>
      </c>
      <c r="E311" s="108">
        <v>45422</v>
      </c>
      <c r="F311" s="109">
        <v>0.95486111111111116</v>
      </c>
      <c r="G311" s="28" t="s">
        <v>2280</v>
      </c>
      <c r="H311" s="124" t="s">
        <v>1904</v>
      </c>
      <c r="I311" s="124"/>
      <c r="J311" s="28" t="s">
        <v>2443</v>
      </c>
      <c r="K311" s="28">
        <v>0</v>
      </c>
      <c r="L311" s="28">
        <v>0</v>
      </c>
      <c r="M311" s="28"/>
      <c r="N311" s="28"/>
      <c r="O311" s="28"/>
      <c r="P311" s="28"/>
      <c r="Q311" s="28"/>
      <c r="R311" s="28"/>
    </row>
    <row r="312" spans="2:18" x14ac:dyDescent="0.25">
      <c r="B312" s="28">
        <v>20</v>
      </c>
      <c r="C312" s="28" t="s">
        <v>1789</v>
      </c>
      <c r="D312" s="28" t="s">
        <v>1789</v>
      </c>
      <c r="E312" s="108">
        <v>45424</v>
      </c>
      <c r="F312" s="109">
        <v>0.72361111111111109</v>
      </c>
      <c r="G312" s="28" t="s">
        <v>2281</v>
      </c>
      <c r="H312" s="124" t="s">
        <v>1904</v>
      </c>
      <c r="I312" s="124"/>
      <c r="J312" s="28" t="s">
        <v>2443</v>
      </c>
      <c r="K312" s="28">
        <v>10000</v>
      </c>
      <c r="L312" s="28">
        <v>1990000</v>
      </c>
      <c r="M312" s="28"/>
      <c r="N312" s="28"/>
      <c r="O312" s="28"/>
      <c r="P312" s="28"/>
      <c r="Q312" s="28"/>
      <c r="R312" s="28"/>
    </row>
    <row r="313" spans="2:18" x14ac:dyDescent="0.25">
      <c r="B313" s="28">
        <v>21</v>
      </c>
      <c r="C313" s="28" t="s">
        <v>1789</v>
      </c>
      <c r="D313" s="28" t="s">
        <v>1789</v>
      </c>
      <c r="E313" s="108">
        <v>45425</v>
      </c>
      <c r="F313" s="109">
        <v>0.80972222222222223</v>
      </c>
      <c r="G313" s="28" t="s">
        <v>2282</v>
      </c>
      <c r="H313" s="124" t="s">
        <v>1904</v>
      </c>
      <c r="I313" s="124"/>
      <c r="J313" s="28" t="s">
        <v>2443</v>
      </c>
      <c r="K313" s="28">
        <v>0</v>
      </c>
      <c r="L313" s="28">
        <v>0</v>
      </c>
      <c r="M313" s="28"/>
      <c r="N313" s="28"/>
      <c r="O313" s="28"/>
      <c r="P313" s="28"/>
      <c r="Q313" s="28"/>
      <c r="R313" s="28"/>
    </row>
    <row r="314" spans="2:18" x14ac:dyDescent="0.25">
      <c r="B314" s="28">
        <v>22</v>
      </c>
      <c r="C314" s="28" t="s">
        <v>1789</v>
      </c>
      <c r="D314" s="28" t="s">
        <v>1789</v>
      </c>
      <c r="E314" s="108">
        <v>45426</v>
      </c>
      <c r="F314" s="109">
        <v>0.79097222222222219</v>
      </c>
      <c r="G314" s="28" t="s">
        <v>2125</v>
      </c>
      <c r="H314" s="124" t="s">
        <v>1904</v>
      </c>
      <c r="I314" s="124"/>
      <c r="J314" s="28" t="s">
        <v>2443</v>
      </c>
      <c r="K314" s="28">
        <v>20000</v>
      </c>
      <c r="L314" s="28">
        <v>480000</v>
      </c>
      <c r="M314" s="28"/>
      <c r="N314" s="28"/>
      <c r="O314" s="28"/>
      <c r="P314" s="28"/>
      <c r="Q314" s="28"/>
      <c r="R314" s="28"/>
    </row>
    <row r="315" spans="2:18" x14ac:dyDescent="0.25">
      <c r="B315" s="28">
        <v>23</v>
      </c>
      <c r="C315" s="28" t="s">
        <v>1789</v>
      </c>
      <c r="D315" s="28" t="s">
        <v>1789</v>
      </c>
      <c r="E315" s="108">
        <v>45426</v>
      </c>
      <c r="F315" s="109">
        <v>0.83402777777777781</v>
      </c>
      <c r="G315" s="28" t="s">
        <v>2283</v>
      </c>
      <c r="H315" s="124" t="s">
        <v>1904</v>
      </c>
      <c r="I315" s="124"/>
      <c r="J315" s="28" t="s">
        <v>2443</v>
      </c>
      <c r="K315" s="28">
        <v>20000</v>
      </c>
      <c r="L315" s="28">
        <v>980000</v>
      </c>
      <c r="M315" s="28"/>
      <c r="N315" s="28"/>
      <c r="O315" s="28"/>
      <c r="P315" s="28"/>
      <c r="Q315" s="28"/>
      <c r="R315" s="28"/>
    </row>
    <row r="316" spans="2:18" x14ac:dyDescent="0.25">
      <c r="B316" s="28">
        <v>24</v>
      </c>
      <c r="C316" s="28" t="s">
        <v>1789</v>
      </c>
      <c r="D316" s="28" t="s">
        <v>1789</v>
      </c>
      <c r="E316" s="108">
        <v>45427</v>
      </c>
      <c r="F316" s="109">
        <v>0.89722222222222225</v>
      </c>
      <c r="G316" s="28" t="s">
        <v>2284</v>
      </c>
      <c r="H316" s="124" t="s">
        <v>1904</v>
      </c>
      <c r="I316" s="124"/>
      <c r="J316" s="28" t="s">
        <v>2443</v>
      </c>
      <c r="K316" s="28">
        <v>10000</v>
      </c>
      <c r="L316" s="28">
        <v>90000</v>
      </c>
      <c r="M316" s="28"/>
      <c r="N316" s="28"/>
      <c r="O316" s="28"/>
      <c r="P316" s="28"/>
      <c r="Q316" s="28"/>
      <c r="R316" s="28"/>
    </row>
    <row r="317" spans="2:18" x14ac:dyDescent="0.25">
      <c r="B317" s="28">
        <v>25</v>
      </c>
      <c r="C317" s="28" t="s">
        <v>1789</v>
      </c>
      <c r="D317" s="28" t="s">
        <v>1789</v>
      </c>
      <c r="E317" s="108">
        <v>45427</v>
      </c>
      <c r="F317" s="109">
        <v>0.91666666666666663</v>
      </c>
      <c r="G317" s="28" t="s">
        <v>2285</v>
      </c>
      <c r="H317" s="124" t="s">
        <v>1904</v>
      </c>
      <c r="I317" s="124"/>
      <c r="J317" s="28" t="s">
        <v>2443</v>
      </c>
      <c r="K317" s="28">
        <v>10000</v>
      </c>
      <c r="L317" s="28">
        <v>90000</v>
      </c>
      <c r="M317" s="28"/>
      <c r="N317" s="28"/>
      <c r="O317" s="28"/>
      <c r="P317" s="28"/>
      <c r="Q317" s="28"/>
      <c r="R317" s="28"/>
    </row>
    <row r="318" spans="2:18" x14ac:dyDescent="0.25">
      <c r="B318" s="28">
        <v>26</v>
      </c>
      <c r="C318" s="28" t="s">
        <v>1789</v>
      </c>
      <c r="D318" s="28" t="s">
        <v>1789</v>
      </c>
      <c r="E318" s="108">
        <v>45428</v>
      </c>
      <c r="F318" s="109">
        <v>1.1111111111111112E-2</v>
      </c>
      <c r="G318" s="28" t="s">
        <v>2286</v>
      </c>
      <c r="H318" s="124" t="s">
        <v>1904</v>
      </c>
      <c r="I318" s="124"/>
      <c r="J318" s="28" t="s">
        <v>2443</v>
      </c>
      <c r="K318" s="28">
        <v>20000</v>
      </c>
      <c r="L318" s="28">
        <v>80000</v>
      </c>
      <c r="M318" s="28"/>
      <c r="N318" s="28"/>
      <c r="O318" s="28"/>
      <c r="P318" s="28"/>
      <c r="Q318" s="28"/>
      <c r="R318" s="28"/>
    </row>
    <row r="319" spans="2:18" x14ac:dyDescent="0.25">
      <c r="B319" s="28">
        <v>27</v>
      </c>
      <c r="C319" s="28" t="s">
        <v>1789</v>
      </c>
      <c r="D319" s="28" t="s">
        <v>1789</v>
      </c>
      <c r="E319" s="108">
        <v>45429</v>
      </c>
      <c r="F319" s="109">
        <v>0.34166666666666667</v>
      </c>
      <c r="G319" s="28" t="s">
        <v>2125</v>
      </c>
      <c r="H319" s="124" t="s">
        <v>1904</v>
      </c>
      <c r="I319" s="124"/>
      <c r="J319" s="28" t="s">
        <v>2443</v>
      </c>
      <c r="K319" s="28">
        <v>20000</v>
      </c>
      <c r="L319" s="28">
        <v>80000</v>
      </c>
      <c r="M319" s="28"/>
      <c r="N319" s="28"/>
      <c r="O319" s="28"/>
      <c r="P319" s="28"/>
      <c r="Q319" s="28"/>
      <c r="R319" s="28"/>
    </row>
    <row r="320" spans="2:18" x14ac:dyDescent="0.25">
      <c r="B320" s="28">
        <v>28</v>
      </c>
      <c r="C320" s="28" t="s">
        <v>1789</v>
      </c>
      <c r="D320" s="28" t="s">
        <v>1789</v>
      </c>
      <c r="E320" s="108">
        <v>45429</v>
      </c>
      <c r="F320" s="109">
        <v>0.77430555555555558</v>
      </c>
      <c r="G320" s="28" t="s">
        <v>2287</v>
      </c>
      <c r="H320" s="124" t="s">
        <v>1904</v>
      </c>
      <c r="I320" s="124"/>
      <c r="J320" s="28" t="s">
        <v>2443</v>
      </c>
      <c r="K320" s="28">
        <v>10000</v>
      </c>
      <c r="L320" s="28">
        <v>490000</v>
      </c>
      <c r="M320" s="28"/>
      <c r="N320" s="28"/>
      <c r="O320" s="28"/>
      <c r="P320" s="28"/>
      <c r="Q320" s="28"/>
      <c r="R320" s="28"/>
    </row>
    <row r="321" spans="2:18" x14ac:dyDescent="0.25">
      <c r="B321" s="28">
        <v>29</v>
      </c>
      <c r="C321" s="28" t="s">
        <v>1789</v>
      </c>
      <c r="D321" s="28" t="s">
        <v>1789</v>
      </c>
      <c r="E321" s="108">
        <v>45430</v>
      </c>
      <c r="F321" s="109">
        <v>0.51736111111111116</v>
      </c>
      <c r="G321" s="28" t="s">
        <v>2288</v>
      </c>
      <c r="H321" s="124" t="s">
        <v>1904</v>
      </c>
      <c r="I321" s="124"/>
      <c r="J321" s="28" t="s">
        <v>2443</v>
      </c>
      <c r="K321" s="28">
        <v>5000</v>
      </c>
      <c r="L321" s="28">
        <v>95000</v>
      </c>
      <c r="M321" s="28"/>
      <c r="N321" s="28"/>
      <c r="O321" s="28"/>
      <c r="P321" s="28"/>
      <c r="Q321" s="28"/>
      <c r="R321" s="28"/>
    </row>
    <row r="322" spans="2:18" x14ac:dyDescent="0.25">
      <c r="B322" s="28">
        <v>30</v>
      </c>
      <c r="C322" s="28" t="s">
        <v>1789</v>
      </c>
      <c r="D322" s="28" t="s">
        <v>1789</v>
      </c>
      <c r="E322" s="28" t="s">
        <v>1331</v>
      </c>
      <c r="F322" s="109">
        <v>0.55486111111111114</v>
      </c>
      <c r="G322" s="28" t="s">
        <v>2289</v>
      </c>
      <c r="H322" s="124" t="s">
        <v>1904</v>
      </c>
      <c r="I322" s="124"/>
      <c r="J322" s="28" t="s">
        <v>2443</v>
      </c>
      <c r="K322" s="28">
        <v>0</v>
      </c>
      <c r="L322" s="28">
        <v>0</v>
      </c>
      <c r="M322" s="28"/>
      <c r="N322" s="28"/>
      <c r="O322" s="28"/>
      <c r="P322" s="28"/>
      <c r="Q322" s="28"/>
      <c r="R322" s="28"/>
    </row>
    <row r="323" spans="2:18" x14ac:dyDescent="0.25">
      <c r="B323" s="28">
        <v>31</v>
      </c>
      <c r="C323" s="28" t="s">
        <v>1789</v>
      </c>
      <c r="D323" s="28" t="s">
        <v>1789</v>
      </c>
      <c r="E323" s="108">
        <v>45430</v>
      </c>
      <c r="F323" s="109">
        <v>0.72430555555555554</v>
      </c>
      <c r="G323" s="28" t="s">
        <v>2290</v>
      </c>
      <c r="H323" s="124" t="s">
        <v>1904</v>
      </c>
      <c r="I323" s="124"/>
      <c r="J323" s="28" t="s">
        <v>2443</v>
      </c>
      <c r="K323" s="28">
        <v>100000</v>
      </c>
      <c r="L323" s="28">
        <v>1900000</v>
      </c>
      <c r="M323" s="28"/>
      <c r="N323" s="28"/>
      <c r="O323" s="28"/>
      <c r="P323" s="28"/>
      <c r="Q323" s="28"/>
      <c r="R323" s="28"/>
    </row>
    <row r="324" spans="2:18" x14ac:dyDescent="0.25">
      <c r="B324" s="28">
        <v>32</v>
      </c>
      <c r="C324" s="28" t="s">
        <v>1789</v>
      </c>
      <c r="D324" s="28" t="s">
        <v>1789</v>
      </c>
      <c r="E324" s="108">
        <v>45430</v>
      </c>
      <c r="F324" s="109">
        <v>0.77986111111111112</v>
      </c>
      <c r="G324" s="28" t="s">
        <v>2291</v>
      </c>
      <c r="H324" s="124" t="s">
        <v>1904</v>
      </c>
      <c r="I324" s="124"/>
      <c r="J324" s="28" t="s">
        <v>2443</v>
      </c>
      <c r="K324" s="28">
        <v>20000</v>
      </c>
      <c r="L324" s="28">
        <v>180000</v>
      </c>
      <c r="M324" s="28"/>
      <c r="N324" s="28"/>
      <c r="O324" s="28"/>
      <c r="P324" s="28"/>
      <c r="Q324" s="28"/>
      <c r="R324" s="28"/>
    </row>
    <row r="325" spans="2:18" ht="39" x14ac:dyDescent="0.25">
      <c r="B325" s="28">
        <v>33</v>
      </c>
      <c r="C325" s="28" t="s">
        <v>1789</v>
      </c>
      <c r="D325" s="28" t="s">
        <v>1789</v>
      </c>
      <c r="E325" s="108">
        <v>45431</v>
      </c>
      <c r="F325" s="109">
        <v>3.125E-2</v>
      </c>
      <c r="G325" s="28" t="s">
        <v>2292</v>
      </c>
      <c r="H325" s="124" t="s">
        <v>1904</v>
      </c>
      <c r="I325" s="124"/>
      <c r="J325" s="28" t="s">
        <v>2443</v>
      </c>
      <c r="K325" s="28">
        <v>50000</v>
      </c>
      <c r="L325" s="28">
        <v>450000</v>
      </c>
      <c r="M325" s="28"/>
      <c r="N325" s="28"/>
      <c r="O325" s="28"/>
      <c r="P325" s="28"/>
      <c r="Q325" s="28"/>
      <c r="R325" s="28"/>
    </row>
    <row r="326" spans="2:18" x14ac:dyDescent="0.25">
      <c r="B326" s="28">
        <v>34</v>
      </c>
      <c r="C326" s="28" t="s">
        <v>1789</v>
      </c>
      <c r="D326" s="28" t="s">
        <v>1789</v>
      </c>
      <c r="E326" s="108">
        <v>45432</v>
      </c>
      <c r="F326" s="109">
        <v>0.26666666666666666</v>
      </c>
      <c r="G326" s="28" t="s">
        <v>2293</v>
      </c>
      <c r="H326" s="124" t="s">
        <v>1904</v>
      </c>
      <c r="I326" s="124"/>
      <c r="J326" s="28" t="s">
        <v>2443</v>
      </c>
      <c r="K326" s="28">
        <v>5000</v>
      </c>
      <c r="L326" s="28">
        <v>495000</v>
      </c>
      <c r="M326" s="28"/>
      <c r="N326" s="28"/>
      <c r="O326" s="28"/>
      <c r="P326" s="28"/>
      <c r="Q326" s="28"/>
      <c r="R326" s="28"/>
    </row>
    <row r="327" spans="2:18" x14ac:dyDescent="0.25">
      <c r="B327" s="28">
        <v>35</v>
      </c>
      <c r="C327" s="28" t="s">
        <v>1789</v>
      </c>
      <c r="D327" s="28" t="s">
        <v>1789</v>
      </c>
      <c r="E327" s="108">
        <v>45432</v>
      </c>
      <c r="F327" s="109">
        <v>0.47083333333333333</v>
      </c>
      <c r="G327" s="28" t="s">
        <v>2294</v>
      </c>
      <c r="H327" s="124" t="s">
        <v>1904</v>
      </c>
      <c r="I327" s="124"/>
      <c r="J327" s="28" t="s">
        <v>2443</v>
      </c>
      <c r="K327" s="28">
        <v>100000</v>
      </c>
      <c r="L327" s="28">
        <v>900000</v>
      </c>
      <c r="M327" s="28"/>
      <c r="N327" s="28"/>
      <c r="O327" s="28"/>
      <c r="P327" s="28"/>
      <c r="Q327" s="28"/>
      <c r="R327" s="28"/>
    </row>
    <row r="328" spans="2:18" x14ac:dyDescent="0.25">
      <c r="B328" s="26">
        <v>36</v>
      </c>
      <c r="C328" s="28" t="s">
        <v>1789</v>
      </c>
      <c r="D328" s="28" t="s">
        <v>1789</v>
      </c>
      <c r="E328" s="110">
        <v>45432</v>
      </c>
      <c r="F328" s="109">
        <v>0.77986111111111112</v>
      </c>
      <c r="G328" s="26" t="s">
        <v>2295</v>
      </c>
      <c r="H328" s="124" t="s">
        <v>1904</v>
      </c>
      <c r="I328" s="124"/>
      <c r="J328" s="26" t="s">
        <v>2443</v>
      </c>
      <c r="K328" s="28">
        <v>10000</v>
      </c>
      <c r="L328" s="28">
        <v>900000</v>
      </c>
      <c r="M328" s="28"/>
      <c r="N328" s="28"/>
      <c r="O328" s="28"/>
      <c r="P328" s="28"/>
      <c r="Q328" s="28"/>
      <c r="R328" s="28"/>
    </row>
    <row r="329" spans="2:18" x14ac:dyDescent="0.25">
      <c r="B329" s="28">
        <v>37</v>
      </c>
      <c r="C329" s="28" t="s">
        <v>1789</v>
      </c>
      <c r="D329" s="28" t="s">
        <v>1789</v>
      </c>
      <c r="E329" s="108">
        <v>45434</v>
      </c>
      <c r="F329" s="109">
        <v>6.3194444444444442E-2</v>
      </c>
      <c r="G329" s="28" t="s">
        <v>2296</v>
      </c>
      <c r="H329" s="124" t="s">
        <v>1904</v>
      </c>
      <c r="I329" s="124"/>
      <c r="J329" s="28" t="s">
        <v>2443</v>
      </c>
      <c r="K329" s="28">
        <v>200000</v>
      </c>
      <c r="L329" s="28">
        <v>1800000</v>
      </c>
      <c r="M329" s="28"/>
      <c r="N329" s="28"/>
      <c r="O329" s="28"/>
      <c r="P329" s="28"/>
      <c r="Q329" s="28"/>
      <c r="R329" s="28"/>
    </row>
    <row r="330" spans="2:18" x14ac:dyDescent="0.25">
      <c r="B330" s="28">
        <v>38</v>
      </c>
      <c r="C330" s="28" t="s">
        <v>1789</v>
      </c>
      <c r="D330" s="28" t="s">
        <v>1789</v>
      </c>
      <c r="E330" s="108">
        <v>45439</v>
      </c>
      <c r="F330" s="109">
        <v>1.1111111111111112E-2</v>
      </c>
      <c r="G330" s="28" t="s">
        <v>2297</v>
      </c>
      <c r="H330" s="124" t="s">
        <v>1904</v>
      </c>
      <c r="I330" s="124"/>
      <c r="J330" s="28" t="s">
        <v>2443</v>
      </c>
      <c r="K330" s="28"/>
      <c r="L330" s="28"/>
      <c r="M330" s="28"/>
      <c r="N330" s="28"/>
      <c r="O330" s="28"/>
      <c r="P330" s="28"/>
      <c r="Q330" s="28"/>
      <c r="R330" s="28"/>
    </row>
    <row r="331" spans="2:18" x14ac:dyDescent="0.25">
      <c r="B331" s="28">
        <v>39</v>
      </c>
      <c r="C331" s="28" t="s">
        <v>1789</v>
      </c>
      <c r="D331" s="28" t="s">
        <v>1789</v>
      </c>
      <c r="E331" s="108">
        <v>45441</v>
      </c>
      <c r="F331" s="109">
        <v>0.92569444444444449</v>
      </c>
      <c r="G331" s="28" t="s">
        <v>2298</v>
      </c>
      <c r="H331" s="124" t="s">
        <v>1904</v>
      </c>
      <c r="I331" s="124"/>
      <c r="J331" s="28" t="s">
        <v>2443</v>
      </c>
      <c r="K331" s="28">
        <v>50000</v>
      </c>
      <c r="L331" s="28">
        <v>4950000</v>
      </c>
      <c r="M331" s="28"/>
      <c r="N331" s="28"/>
      <c r="O331" s="28"/>
      <c r="P331" s="28"/>
      <c r="Q331" s="28"/>
      <c r="R331" s="28"/>
    </row>
    <row r="332" spans="2:18" x14ac:dyDescent="0.25">
      <c r="B332" s="28">
        <v>40</v>
      </c>
      <c r="C332" s="28" t="s">
        <v>1789</v>
      </c>
      <c r="D332" s="28" t="s">
        <v>1789</v>
      </c>
      <c r="E332" s="108">
        <v>45442</v>
      </c>
      <c r="F332" s="109">
        <v>4.027777777777778E-2</v>
      </c>
      <c r="G332" s="28" t="s">
        <v>2299</v>
      </c>
      <c r="H332" s="124" t="s">
        <v>1904</v>
      </c>
      <c r="I332" s="124"/>
      <c r="J332" s="28" t="s">
        <v>2443</v>
      </c>
      <c r="K332" s="28">
        <v>200000</v>
      </c>
      <c r="L332" s="28">
        <v>1800000</v>
      </c>
      <c r="M332" s="28"/>
      <c r="N332" s="28"/>
      <c r="O332" s="28"/>
      <c r="P332" s="28"/>
      <c r="Q332" s="28"/>
      <c r="R332" s="28"/>
    </row>
    <row r="333" spans="2:18" x14ac:dyDescent="0.25">
      <c r="B333" s="28">
        <v>41</v>
      </c>
      <c r="C333" s="28" t="s">
        <v>1789</v>
      </c>
      <c r="D333" s="28" t="s">
        <v>1789</v>
      </c>
      <c r="E333" s="108">
        <v>45442</v>
      </c>
      <c r="F333" s="109">
        <v>0.41944444444444445</v>
      </c>
      <c r="G333" s="28" t="s">
        <v>2091</v>
      </c>
      <c r="H333" s="124" t="s">
        <v>1904</v>
      </c>
      <c r="I333" s="124"/>
      <c r="J333" s="28" t="s">
        <v>2443</v>
      </c>
      <c r="K333" s="28">
        <v>400000</v>
      </c>
      <c r="L333" s="28">
        <v>1600000</v>
      </c>
      <c r="M333" s="28"/>
      <c r="N333" s="28"/>
      <c r="O333" s="28"/>
      <c r="P333" s="28"/>
      <c r="Q333" s="28"/>
      <c r="R333" s="28"/>
    </row>
    <row r="334" spans="2:18" x14ac:dyDescent="0.25">
      <c r="B334" s="28">
        <v>42</v>
      </c>
      <c r="C334" s="28" t="s">
        <v>1789</v>
      </c>
      <c r="D334" s="28" t="s">
        <v>1789</v>
      </c>
      <c r="E334" s="108">
        <v>45442</v>
      </c>
      <c r="F334" s="109">
        <v>0.5756944444444444</v>
      </c>
      <c r="G334" s="28" t="s">
        <v>2300</v>
      </c>
      <c r="H334" s="124" t="s">
        <v>1904</v>
      </c>
      <c r="I334" s="124"/>
      <c r="J334" s="28" t="s">
        <v>2443</v>
      </c>
      <c r="K334" s="28">
        <v>500000</v>
      </c>
      <c r="L334" s="28">
        <v>1500000</v>
      </c>
      <c r="M334" s="28"/>
      <c r="N334" s="28"/>
      <c r="O334" s="28"/>
      <c r="P334" s="28"/>
      <c r="Q334" s="28"/>
      <c r="R334" s="28"/>
    </row>
    <row r="335" spans="2:18" x14ac:dyDescent="0.25">
      <c r="B335" s="28">
        <v>43</v>
      </c>
      <c r="C335" s="28" t="s">
        <v>1789</v>
      </c>
      <c r="D335" s="28" t="s">
        <v>1789</v>
      </c>
      <c r="E335" s="108">
        <v>45442</v>
      </c>
      <c r="F335" s="109">
        <v>0.62569444444444444</v>
      </c>
      <c r="G335" s="28" t="s">
        <v>2300</v>
      </c>
      <c r="H335" s="124" t="s">
        <v>1904</v>
      </c>
      <c r="I335" s="124"/>
      <c r="J335" s="28" t="s">
        <v>2443</v>
      </c>
      <c r="K335" s="28">
        <v>200000</v>
      </c>
      <c r="L335" s="28">
        <v>800000</v>
      </c>
      <c r="M335" s="28"/>
      <c r="N335" s="28"/>
      <c r="O335" s="28"/>
      <c r="P335" s="28"/>
      <c r="Q335" s="28"/>
      <c r="R335" s="28"/>
    </row>
    <row r="336" spans="2:18" x14ac:dyDescent="0.25">
      <c r="B336" s="28">
        <v>44</v>
      </c>
      <c r="C336" s="28" t="s">
        <v>1789</v>
      </c>
      <c r="D336" s="28" t="s">
        <v>1789</v>
      </c>
      <c r="E336" s="108">
        <v>45442</v>
      </c>
      <c r="F336" s="109">
        <v>0.83472222222222225</v>
      </c>
      <c r="G336" s="28" t="s">
        <v>2301</v>
      </c>
      <c r="H336" s="124" t="s">
        <v>1904</v>
      </c>
      <c r="I336" s="124"/>
      <c r="J336" s="28" t="s">
        <v>2443</v>
      </c>
      <c r="K336" s="28">
        <v>200000</v>
      </c>
      <c r="L336" s="28">
        <v>1800000</v>
      </c>
      <c r="M336" s="28"/>
      <c r="N336" s="28"/>
      <c r="O336" s="28"/>
      <c r="P336" s="28"/>
      <c r="Q336" s="28"/>
      <c r="R336" s="28"/>
    </row>
    <row r="337" spans="2:18" ht="39" x14ac:dyDescent="0.25">
      <c r="B337" s="28">
        <v>45</v>
      </c>
      <c r="C337" s="28" t="s">
        <v>1789</v>
      </c>
      <c r="D337" s="28" t="s">
        <v>1789</v>
      </c>
      <c r="E337" s="108">
        <v>45442</v>
      </c>
      <c r="F337" s="109">
        <v>0.95138888888888884</v>
      </c>
      <c r="G337" s="28" t="s">
        <v>2302</v>
      </c>
      <c r="H337" s="124" t="s">
        <v>2007</v>
      </c>
      <c r="I337" s="124"/>
      <c r="J337" s="28" t="s">
        <v>2443</v>
      </c>
      <c r="K337" s="28"/>
      <c r="L337" s="28"/>
      <c r="M337" s="28"/>
      <c r="N337" s="28"/>
      <c r="O337" s="28"/>
      <c r="P337" s="28"/>
      <c r="Q337" s="28"/>
      <c r="R337" s="28"/>
    </row>
    <row r="338" spans="2:18" x14ac:dyDescent="0.25">
      <c r="B338" s="28">
        <v>46</v>
      </c>
      <c r="C338" s="28" t="s">
        <v>1789</v>
      </c>
      <c r="D338" s="28" t="s">
        <v>1789</v>
      </c>
      <c r="E338" s="108">
        <v>45443</v>
      </c>
      <c r="F338" s="109">
        <v>0.54513888888888884</v>
      </c>
      <c r="G338" s="28" t="s">
        <v>2303</v>
      </c>
      <c r="H338" s="124" t="s">
        <v>1861</v>
      </c>
      <c r="I338" s="124"/>
      <c r="J338" s="28" t="s">
        <v>2443</v>
      </c>
      <c r="K338" s="28">
        <v>50000</v>
      </c>
      <c r="L338" s="28">
        <v>1950000</v>
      </c>
      <c r="M338" s="28"/>
      <c r="N338" s="28"/>
      <c r="O338" s="28"/>
      <c r="P338" s="28"/>
      <c r="Q338" s="28"/>
      <c r="R338" s="28"/>
    </row>
    <row r="339" spans="2:18" x14ac:dyDescent="0.25">
      <c r="B339" s="28">
        <v>47</v>
      </c>
      <c r="C339" s="28" t="s">
        <v>1789</v>
      </c>
      <c r="D339" s="28" t="s">
        <v>1789</v>
      </c>
      <c r="E339" s="108">
        <v>45443</v>
      </c>
      <c r="F339" s="109">
        <v>0.60833333333333328</v>
      </c>
      <c r="G339" s="28" t="s">
        <v>2304</v>
      </c>
      <c r="H339" s="124" t="s">
        <v>1861</v>
      </c>
      <c r="I339" s="124"/>
      <c r="J339" s="28" t="s">
        <v>2443</v>
      </c>
      <c r="K339" s="28">
        <v>100000</v>
      </c>
      <c r="L339" s="28">
        <v>900000</v>
      </c>
      <c r="M339" s="28"/>
      <c r="N339" s="28"/>
      <c r="O339" s="28"/>
      <c r="P339" s="28"/>
      <c r="Q339" s="28"/>
      <c r="R339" s="28"/>
    </row>
    <row r="340" spans="2:18" x14ac:dyDescent="0.25">
      <c r="B340" s="28">
        <v>48</v>
      </c>
      <c r="C340" s="28" t="s">
        <v>1789</v>
      </c>
      <c r="D340" s="28" t="s">
        <v>1789</v>
      </c>
      <c r="E340" s="108">
        <v>45443</v>
      </c>
      <c r="F340" s="109">
        <v>0.85555555555555551</v>
      </c>
      <c r="G340" s="28" t="s">
        <v>2305</v>
      </c>
      <c r="H340" s="124" t="s">
        <v>1861</v>
      </c>
      <c r="I340" s="124"/>
      <c r="J340" s="28" t="s">
        <v>2443</v>
      </c>
      <c r="K340" s="28">
        <v>500000</v>
      </c>
      <c r="L340" s="28">
        <v>1500000</v>
      </c>
      <c r="M340" s="28"/>
      <c r="N340" s="28"/>
      <c r="O340" s="28"/>
      <c r="P340" s="28"/>
      <c r="Q340" s="28"/>
      <c r="R340" s="28"/>
    </row>
    <row r="341" spans="2:18" x14ac:dyDescent="0.25">
      <c r="B341" s="28">
        <v>1</v>
      </c>
      <c r="C341" s="28" t="s">
        <v>1789</v>
      </c>
      <c r="D341" s="28" t="s">
        <v>1789</v>
      </c>
      <c r="E341" s="108">
        <v>45444</v>
      </c>
      <c r="F341" s="109">
        <v>0.63194444444444442</v>
      </c>
      <c r="G341" s="122" t="s">
        <v>2306</v>
      </c>
      <c r="H341" s="124" t="s">
        <v>2307</v>
      </c>
      <c r="I341" s="124"/>
      <c r="J341" s="26" t="s">
        <v>347</v>
      </c>
      <c r="K341" s="28" t="s">
        <v>20</v>
      </c>
      <c r="L341" s="28" t="s">
        <v>20</v>
      </c>
      <c r="M341" s="28" t="s">
        <v>20</v>
      </c>
      <c r="N341" s="28" t="s">
        <v>20</v>
      </c>
      <c r="O341" s="28" t="s">
        <v>20</v>
      </c>
      <c r="P341" s="28" t="s">
        <v>20</v>
      </c>
      <c r="Q341" s="28" t="s">
        <v>20</v>
      </c>
      <c r="R341" s="28" t="s">
        <v>20</v>
      </c>
    </row>
    <row r="342" spans="2:18" x14ac:dyDescent="0.25">
      <c r="B342" s="28">
        <v>2</v>
      </c>
      <c r="C342" s="28" t="s">
        <v>1789</v>
      </c>
      <c r="D342" s="28" t="s">
        <v>1789</v>
      </c>
      <c r="E342" s="123">
        <v>45444</v>
      </c>
      <c r="F342" s="109">
        <v>0.69791666666666663</v>
      </c>
      <c r="G342" s="122" t="s">
        <v>2308</v>
      </c>
      <c r="H342" s="124" t="s">
        <v>406</v>
      </c>
      <c r="I342" s="124"/>
      <c r="J342" s="122" t="s">
        <v>2309</v>
      </c>
      <c r="K342" s="28">
        <v>20000</v>
      </c>
      <c r="L342" s="28">
        <v>980000</v>
      </c>
      <c r="M342" s="28" t="s">
        <v>20</v>
      </c>
      <c r="N342" s="28" t="s">
        <v>20</v>
      </c>
      <c r="O342" s="28" t="s">
        <v>20</v>
      </c>
      <c r="P342" s="28" t="s">
        <v>20</v>
      </c>
      <c r="Q342" s="28" t="s">
        <v>20</v>
      </c>
      <c r="R342" s="28" t="s">
        <v>20</v>
      </c>
    </row>
    <row r="343" spans="2:18" x14ac:dyDescent="0.25">
      <c r="B343" s="28">
        <v>3</v>
      </c>
      <c r="C343" s="28" t="s">
        <v>1789</v>
      </c>
      <c r="D343" s="28" t="s">
        <v>1789</v>
      </c>
      <c r="E343" s="123">
        <v>45444</v>
      </c>
      <c r="F343" s="109">
        <v>0.70833333333333337</v>
      </c>
      <c r="G343" s="122" t="s">
        <v>2310</v>
      </c>
      <c r="H343" s="124" t="s">
        <v>406</v>
      </c>
      <c r="I343" s="124"/>
      <c r="J343" s="122" t="s">
        <v>2311</v>
      </c>
      <c r="K343" s="28">
        <v>500000</v>
      </c>
      <c r="L343" s="28">
        <v>10000000</v>
      </c>
      <c r="M343" s="28" t="s">
        <v>20</v>
      </c>
      <c r="N343" s="28" t="s">
        <v>20</v>
      </c>
      <c r="O343" s="28" t="s">
        <v>20</v>
      </c>
      <c r="P343" s="28" t="s">
        <v>20</v>
      </c>
      <c r="Q343" s="28" t="s">
        <v>20</v>
      </c>
      <c r="R343" s="28" t="s">
        <v>20</v>
      </c>
    </row>
    <row r="344" spans="2:18" x14ac:dyDescent="0.25">
      <c r="B344" s="28">
        <v>4</v>
      </c>
      <c r="C344" s="28" t="s">
        <v>1789</v>
      </c>
      <c r="D344" s="28" t="s">
        <v>1789</v>
      </c>
      <c r="E344" s="123">
        <v>45444</v>
      </c>
      <c r="F344" s="109">
        <v>0.98333333333333328</v>
      </c>
      <c r="G344" s="122" t="s">
        <v>2312</v>
      </c>
      <c r="H344" s="124" t="s">
        <v>2313</v>
      </c>
      <c r="I344" s="124"/>
      <c r="J344" s="122" t="s">
        <v>1999</v>
      </c>
      <c r="K344" s="28">
        <v>100000</v>
      </c>
      <c r="L344" s="28">
        <v>400000</v>
      </c>
      <c r="M344" s="28" t="s">
        <v>20</v>
      </c>
      <c r="N344" s="28" t="s">
        <v>20</v>
      </c>
      <c r="O344" s="28" t="s">
        <v>20</v>
      </c>
      <c r="P344" s="28" t="s">
        <v>20</v>
      </c>
      <c r="Q344" s="28" t="s">
        <v>20</v>
      </c>
      <c r="R344" s="28" t="s">
        <v>20</v>
      </c>
    </row>
    <row r="345" spans="2:18" x14ac:dyDescent="0.25">
      <c r="B345" s="28">
        <v>5</v>
      </c>
      <c r="C345" s="28" t="s">
        <v>1789</v>
      </c>
      <c r="D345" s="28" t="s">
        <v>1789</v>
      </c>
      <c r="E345" s="123">
        <v>45445</v>
      </c>
      <c r="F345" s="109">
        <v>5.6944444444444443E-2</v>
      </c>
      <c r="G345" s="122" t="s">
        <v>2314</v>
      </c>
      <c r="H345" s="124" t="s">
        <v>1904</v>
      </c>
      <c r="I345" s="124"/>
      <c r="J345" s="122" t="s">
        <v>2004</v>
      </c>
      <c r="K345" s="28" t="s">
        <v>20</v>
      </c>
      <c r="L345" s="28">
        <v>2000000</v>
      </c>
      <c r="M345" s="28" t="s">
        <v>20</v>
      </c>
      <c r="N345" s="28" t="s">
        <v>20</v>
      </c>
      <c r="O345" s="28" t="s">
        <v>20</v>
      </c>
      <c r="P345" s="28" t="s">
        <v>20</v>
      </c>
      <c r="Q345" s="28" t="s">
        <v>20</v>
      </c>
      <c r="R345" s="28" t="s">
        <v>20</v>
      </c>
    </row>
    <row r="346" spans="2:18" x14ac:dyDescent="0.25">
      <c r="B346" s="28">
        <v>6</v>
      </c>
      <c r="C346" s="28" t="s">
        <v>1789</v>
      </c>
      <c r="D346" s="28" t="s">
        <v>1789</v>
      </c>
      <c r="E346" s="123">
        <v>45447</v>
      </c>
      <c r="F346" s="109">
        <v>0.4236111111111111</v>
      </c>
      <c r="G346" s="122" t="s">
        <v>2315</v>
      </c>
      <c r="H346" s="124" t="s">
        <v>526</v>
      </c>
      <c r="I346" s="124"/>
      <c r="J346" s="122" t="s">
        <v>2030</v>
      </c>
      <c r="K346" s="28">
        <v>500000</v>
      </c>
      <c r="L346" s="28">
        <v>9500000</v>
      </c>
      <c r="M346" s="28" t="s">
        <v>20</v>
      </c>
      <c r="N346" s="28" t="s">
        <v>20</v>
      </c>
      <c r="O346" s="28" t="s">
        <v>20</v>
      </c>
      <c r="P346" s="28" t="s">
        <v>20</v>
      </c>
      <c r="Q346" s="28" t="s">
        <v>20</v>
      </c>
      <c r="R346" s="28" t="s">
        <v>20</v>
      </c>
    </row>
    <row r="347" spans="2:18" x14ac:dyDescent="0.25">
      <c r="B347" s="28">
        <v>7</v>
      </c>
      <c r="C347" s="28" t="s">
        <v>1789</v>
      </c>
      <c r="D347" s="28" t="s">
        <v>1789</v>
      </c>
      <c r="E347" s="123">
        <v>45447</v>
      </c>
      <c r="F347" s="109">
        <v>0.55763888888888891</v>
      </c>
      <c r="G347" s="122" t="s">
        <v>2316</v>
      </c>
      <c r="H347" s="124" t="s">
        <v>1904</v>
      </c>
      <c r="I347" s="124"/>
      <c r="J347" s="122" t="s">
        <v>2317</v>
      </c>
      <c r="K347" s="28">
        <v>0</v>
      </c>
      <c r="L347" s="28">
        <v>50000</v>
      </c>
      <c r="M347" s="28" t="s">
        <v>20</v>
      </c>
      <c r="N347" s="28" t="s">
        <v>20</v>
      </c>
      <c r="O347" s="28" t="s">
        <v>20</v>
      </c>
      <c r="P347" s="28" t="s">
        <v>20</v>
      </c>
      <c r="Q347" s="28" t="s">
        <v>20</v>
      </c>
      <c r="R347" s="28" t="s">
        <v>20</v>
      </c>
    </row>
    <row r="348" spans="2:18" x14ac:dyDescent="0.25">
      <c r="B348" s="28">
        <v>8</v>
      </c>
      <c r="C348" s="28" t="s">
        <v>1789</v>
      </c>
      <c r="D348" s="28" t="s">
        <v>1789</v>
      </c>
      <c r="E348" s="123">
        <v>45447</v>
      </c>
      <c r="F348" s="109">
        <v>0.70208333333333328</v>
      </c>
      <c r="G348" s="122" t="s">
        <v>2318</v>
      </c>
      <c r="H348" s="124" t="s">
        <v>1904</v>
      </c>
      <c r="I348" s="124"/>
      <c r="J348" s="122" t="s">
        <v>2160</v>
      </c>
      <c r="K348" s="28">
        <v>0</v>
      </c>
      <c r="L348" s="28">
        <v>1500000</v>
      </c>
      <c r="M348" s="28" t="s">
        <v>20</v>
      </c>
      <c r="N348" s="28" t="s">
        <v>20</v>
      </c>
      <c r="O348" s="28" t="s">
        <v>20</v>
      </c>
      <c r="P348" s="28" t="s">
        <v>20</v>
      </c>
      <c r="Q348" s="28" t="s">
        <v>20</v>
      </c>
      <c r="R348" s="28" t="s">
        <v>20</v>
      </c>
    </row>
    <row r="349" spans="2:18" x14ac:dyDescent="0.25">
      <c r="B349" s="28">
        <v>9</v>
      </c>
      <c r="C349" s="28" t="s">
        <v>1789</v>
      </c>
      <c r="D349" s="28" t="s">
        <v>1789</v>
      </c>
      <c r="E349" s="123">
        <v>45448</v>
      </c>
      <c r="F349" s="109">
        <v>0.20069444444444445</v>
      </c>
      <c r="G349" s="122" t="s">
        <v>2319</v>
      </c>
      <c r="H349" s="124" t="s">
        <v>1904</v>
      </c>
      <c r="I349" s="124"/>
      <c r="J349" s="122" t="s">
        <v>2160</v>
      </c>
      <c r="K349" s="28">
        <v>0</v>
      </c>
      <c r="L349" s="28">
        <v>5000000</v>
      </c>
      <c r="M349" s="28" t="s">
        <v>20</v>
      </c>
      <c r="N349" s="28" t="s">
        <v>20</v>
      </c>
      <c r="O349" s="28" t="s">
        <v>20</v>
      </c>
      <c r="P349" s="28" t="s">
        <v>20</v>
      </c>
      <c r="Q349" s="28" t="s">
        <v>20</v>
      </c>
      <c r="R349" s="28" t="s">
        <v>20</v>
      </c>
    </row>
    <row r="350" spans="2:18" x14ac:dyDescent="0.25">
      <c r="B350" s="28">
        <v>10</v>
      </c>
      <c r="C350" s="28" t="s">
        <v>1789</v>
      </c>
      <c r="D350" s="28" t="s">
        <v>1789</v>
      </c>
      <c r="E350" s="123">
        <v>45448</v>
      </c>
      <c r="F350" s="109">
        <v>0.46180555555555558</v>
      </c>
      <c r="G350" s="122" t="s">
        <v>2320</v>
      </c>
      <c r="H350" s="124" t="s">
        <v>1904</v>
      </c>
      <c r="I350" s="124"/>
      <c r="J350" s="122" t="s">
        <v>1994</v>
      </c>
      <c r="K350" s="28">
        <v>0</v>
      </c>
      <c r="L350" s="28">
        <v>2000000</v>
      </c>
      <c r="M350" s="28" t="s">
        <v>20</v>
      </c>
      <c r="N350" s="28" t="s">
        <v>20</v>
      </c>
      <c r="O350" s="28" t="s">
        <v>20</v>
      </c>
      <c r="P350" s="28" t="s">
        <v>20</v>
      </c>
      <c r="Q350" s="28" t="s">
        <v>20</v>
      </c>
      <c r="R350" s="28" t="s">
        <v>20</v>
      </c>
    </row>
    <row r="351" spans="2:18" x14ac:dyDescent="0.25">
      <c r="B351" s="28">
        <v>11</v>
      </c>
      <c r="C351" s="28" t="s">
        <v>1789</v>
      </c>
      <c r="D351" s="28" t="s">
        <v>1789</v>
      </c>
      <c r="E351" s="123">
        <v>45448</v>
      </c>
      <c r="F351" s="109">
        <v>0.67222222222222228</v>
      </c>
      <c r="G351" s="122" t="s">
        <v>2321</v>
      </c>
      <c r="H351" s="124" t="s">
        <v>526</v>
      </c>
      <c r="I351" s="124"/>
      <c r="J351" s="122" t="s">
        <v>2045</v>
      </c>
      <c r="K351" s="28">
        <v>0</v>
      </c>
      <c r="L351" s="28">
        <v>0</v>
      </c>
      <c r="M351" s="28"/>
      <c r="N351" s="28"/>
      <c r="O351" s="28"/>
      <c r="P351" s="28"/>
      <c r="Q351" s="28"/>
      <c r="R351" s="28"/>
    </row>
    <row r="352" spans="2:18" x14ac:dyDescent="0.25">
      <c r="B352" s="28">
        <v>12</v>
      </c>
      <c r="C352" s="28" t="s">
        <v>1789</v>
      </c>
      <c r="D352" s="28" t="s">
        <v>1789</v>
      </c>
      <c r="E352" s="123">
        <v>45448</v>
      </c>
      <c r="F352" s="109">
        <v>0.77361111111111114</v>
      </c>
      <c r="G352" s="122" t="s">
        <v>2148</v>
      </c>
      <c r="H352" s="124" t="s">
        <v>526</v>
      </c>
      <c r="I352" s="124"/>
      <c r="J352" s="122" t="s">
        <v>2045</v>
      </c>
      <c r="K352" s="28">
        <v>50000</v>
      </c>
      <c r="L352" s="28">
        <v>150000</v>
      </c>
      <c r="M352" s="28" t="s">
        <v>20</v>
      </c>
      <c r="N352" s="28" t="s">
        <v>20</v>
      </c>
      <c r="O352" s="28" t="s">
        <v>20</v>
      </c>
      <c r="P352" s="28" t="s">
        <v>20</v>
      </c>
      <c r="Q352" s="28" t="s">
        <v>20</v>
      </c>
      <c r="R352" s="28" t="s">
        <v>20</v>
      </c>
    </row>
    <row r="353" spans="2:18" x14ac:dyDescent="0.25">
      <c r="B353" s="28">
        <v>13</v>
      </c>
      <c r="C353" s="28" t="s">
        <v>1789</v>
      </c>
      <c r="D353" s="28" t="s">
        <v>1789</v>
      </c>
      <c r="E353" s="123">
        <v>45448</v>
      </c>
      <c r="F353" s="109">
        <v>0.97013888888888888</v>
      </c>
      <c r="G353" s="122" t="s">
        <v>2322</v>
      </c>
      <c r="H353" s="124" t="s">
        <v>2307</v>
      </c>
      <c r="I353" s="124"/>
      <c r="J353" s="122" t="s">
        <v>347</v>
      </c>
      <c r="K353" s="28">
        <v>0</v>
      </c>
      <c r="L353" s="28">
        <v>0</v>
      </c>
      <c r="M353" s="28" t="s">
        <v>20</v>
      </c>
      <c r="N353" s="28" t="s">
        <v>20</v>
      </c>
      <c r="O353" s="28" t="s">
        <v>20</v>
      </c>
      <c r="P353" s="28" t="s">
        <v>20</v>
      </c>
      <c r="Q353" s="28" t="s">
        <v>20</v>
      </c>
      <c r="R353" s="28" t="s">
        <v>20</v>
      </c>
    </row>
    <row r="354" spans="2:18" x14ac:dyDescent="0.25">
      <c r="B354" s="28">
        <v>14</v>
      </c>
      <c r="C354" s="28" t="s">
        <v>1789</v>
      </c>
      <c r="D354" s="28" t="s">
        <v>1789</v>
      </c>
      <c r="E354" s="123">
        <v>45450</v>
      </c>
      <c r="F354" s="109">
        <v>0.27708333333333335</v>
      </c>
      <c r="G354" s="122" t="s">
        <v>2323</v>
      </c>
      <c r="H354" s="124" t="s">
        <v>2307</v>
      </c>
      <c r="I354" s="124"/>
      <c r="J354" s="122" t="s">
        <v>1947</v>
      </c>
      <c r="K354" s="28">
        <v>0</v>
      </c>
      <c r="L354" s="28">
        <v>0</v>
      </c>
      <c r="M354" s="28" t="s">
        <v>20</v>
      </c>
      <c r="N354" s="28" t="s">
        <v>20</v>
      </c>
      <c r="O354" s="28" t="s">
        <v>20</v>
      </c>
      <c r="P354" s="28" t="s">
        <v>20</v>
      </c>
      <c r="Q354" s="28" t="s">
        <v>20</v>
      </c>
      <c r="R354" s="28" t="s">
        <v>20</v>
      </c>
    </row>
    <row r="355" spans="2:18" x14ac:dyDescent="0.25">
      <c r="B355" s="28">
        <v>15</v>
      </c>
      <c r="C355" s="28" t="s">
        <v>1789</v>
      </c>
      <c r="D355" s="28" t="s">
        <v>1789</v>
      </c>
      <c r="E355" s="123">
        <v>45450</v>
      </c>
      <c r="F355" s="109">
        <v>0.40833333333333333</v>
      </c>
      <c r="G355" s="122" t="s">
        <v>2324</v>
      </c>
      <c r="H355" s="124" t="s">
        <v>1899</v>
      </c>
      <c r="I355" s="124"/>
      <c r="J355" s="122" t="s">
        <v>2325</v>
      </c>
      <c r="K355" s="28">
        <v>20000</v>
      </c>
      <c r="L355" s="28">
        <v>1980000</v>
      </c>
      <c r="M355" s="28" t="s">
        <v>20</v>
      </c>
      <c r="N355" s="28" t="s">
        <v>20</v>
      </c>
      <c r="O355" s="28" t="s">
        <v>20</v>
      </c>
      <c r="P355" s="28" t="s">
        <v>20</v>
      </c>
      <c r="Q355" s="28" t="s">
        <v>20</v>
      </c>
      <c r="R355" s="28" t="s">
        <v>20</v>
      </c>
    </row>
    <row r="356" spans="2:18" x14ac:dyDescent="0.25">
      <c r="B356" s="28">
        <v>16</v>
      </c>
      <c r="C356" s="28" t="s">
        <v>1789</v>
      </c>
      <c r="D356" s="28" t="s">
        <v>1789</v>
      </c>
      <c r="E356" s="123">
        <v>45450</v>
      </c>
      <c r="F356" s="109">
        <v>0.90833333333333333</v>
      </c>
      <c r="G356" s="122" t="s">
        <v>2326</v>
      </c>
      <c r="H356" s="124" t="s">
        <v>2307</v>
      </c>
      <c r="I356" s="124"/>
      <c r="J356" s="122" t="s">
        <v>2160</v>
      </c>
      <c r="K356" s="28">
        <v>0</v>
      </c>
      <c r="L356" s="28">
        <v>0</v>
      </c>
      <c r="M356" s="28"/>
      <c r="N356" s="28"/>
      <c r="O356" s="28"/>
      <c r="P356" s="28"/>
      <c r="Q356" s="28"/>
      <c r="R356" s="28"/>
    </row>
    <row r="357" spans="2:18" ht="39" x14ac:dyDescent="0.25">
      <c r="B357" s="28">
        <v>17</v>
      </c>
      <c r="C357" s="28" t="s">
        <v>1789</v>
      </c>
      <c r="D357" s="28" t="s">
        <v>1789</v>
      </c>
      <c r="E357" s="110">
        <v>45450</v>
      </c>
      <c r="F357" s="109">
        <v>0.93263888888888891</v>
      </c>
      <c r="G357" s="28" t="s">
        <v>2327</v>
      </c>
      <c r="H357" s="125" t="s">
        <v>2552</v>
      </c>
      <c r="I357" s="125"/>
      <c r="J357" s="28" t="s">
        <v>2328</v>
      </c>
      <c r="K357" s="28">
        <v>0</v>
      </c>
      <c r="L357" s="28">
        <v>0</v>
      </c>
      <c r="M357" s="28" t="s">
        <v>20</v>
      </c>
      <c r="N357" s="28" t="s">
        <v>20</v>
      </c>
      <c r="O357" s="28" t="s">
        <v>20</v>
      </c>
      <c r="P357" s="28" t="s">
        <v>20</v>
      </c>
      <c r="Q357" s="28" t="s">
        <v>20</v>
      </c>
      <c r="R357" s="28" t="s">
        <v>20</v>
      </c>
    </row>
    <row r="358" spans="2:18" x14ac:dyDescent="0.25">
      <c r="B358" s="28">
        <v>18</v>
      </c>
      <c r="C358" s="28" t="s">
        <v>1789</v>
      </c>
      <c r="D358" s="28" t="s">
        <v>1789</v>
      </c>
      <c r="E358" s="108">
        <v>45451</v>
      </c>
      <c r="F358" s="109">
        <v>0.87152777777777779</v>
      </c>
      <c r="G358" s="28" t="s">
        <v>2329</v>
      </c>
      <c r="H358" s="124" t="s">
        <v>406</v>
      </c>
      <c r="I358" s="124"/>
      <c r="J358" s="28" t="s">
        <v>1947</v>
      </c>
      <c r="K358" s="28">
        <v>200000</v>
      </c>
      <c r="L358" s="28">
        <v>100000</v>
      </c>
      <c r="M358" s="28" t="s">
        <v>20</v>
      </c>
      <c r="N358" s="28" t="s">
        <v>20</v>
      </c>
      <c r="O358" s="28" t="s">
        <v>20</v>
      </c>
      <c r="P358" s="28" t="s">
        <v>20</v>
      </c>
      <c r="Q358" s="28" t="s">
        <v>20</v>
      </c>
      <c r="R358" s="28" t="s">
        <v>20</v>
      </c>
    </row>
    <row r="359" spans="2:18" x14ac:dyDescent="0.25">
      <c r="B359" s="28">
        <v>19</v>
      </c>
      <c r="C359" s="28" t="s">
        <v>1789</v>
      </c>
      <c r="D359" s="28" t="s">
        <v>1789</v>
      </c>
      <c r="E359" s="108">
        <v>45451</v>
      </c>
      <c r="F359" s="109">
        <v>0.93125000000000002</v>
      </c>
      <c r="G359" s="122" t="s">
        <v>2330</v>
      </c>
      <c r="H359" s="124" t="s">
        <v>2307</v>
      </c>
      <c r="I359" s="124"/>
      <c r="J359" s="28" t="s">
        <v>2017</v>
      </c>
      <c r="K359" s="28">
        <v>0</v>
      </c>
      <c r="L359" s="28">
        <v>0</v>
      </c>
      <c r="M359" s="28" t="s">
        <v>20</v>
      </c>
      <c r="N359" s="28" t="s">
        <v>20</v>
      </c>
      <c r="O359" s="28" t="s">
        <v>20</v>
      </c>
      <c r="P359" s="28" t="s">
        <v>20</v>
      </c>
      <c r="Q359" s="28" t="s">
        <v>20</v>
      </c>
      <c r="R359" s="28" t="s">
        <v>20</v>
      </c>
    </row>
    <row r="360" spans="2:18" x14ac:dyDescent="0.25">
      <c r="B360" s="28">
        <v>20</v>
      </c>
      <c r="C360" s="28" t="s">
        <v>1789</v>
      </c>
      <c r="D360" s="28" t="s">
        <v>1789</v>
      </c>
      <c r="E360" s="108">
        <v>45451</v>
      </c>
      <c r="F360" s="109">
        <v>0.99583333333333335</v>
      </c>
      <c r="G360" s="26" t="s">
        <v>2331</v>
      </c>
      <c r="H360" s="124" t="s">
        <v>1904</v>
      </c>
      <c r="I360" s="124"/>
      <c r="J360" s="28" t="s">
        <v>2165</v>
      </c>
      <c r="K360" s="28">
        <v>400000</v>
      </c>
      <c r="L360" s="28">
        <v>600000</v>
      </c>
      <c r="M360" s="28" t="s">
        <v>20</v>
      </c>
      <c r="N360" s="28" t="s">
        <v>20</v>
      </c>
      <c r="O360" s="28" t="s">
        <v>20</v>
      </c>
      <c r="P360" s="28" t="s">
        <v>20</v>
      </c>
      <c r="Q360" s="28" t="s">
        <v>20</v>
      </c>
      <c r="R360" s="28" t="s">
        <v>20</v>
      </c>
    </row>
    <row r="361" spans="2:18" x14ac:dyDescent="0.25">
      <c r="B361" s="28">
        <v>21</v>
      </c>
      <c r="C361" s="28" t="s">
        <v>1789</v>
      </c>
      <c r="D361" s="28" t="s">
        <v>1789</v>
      </c>
      <c r="E361" s="108">
        <v>45452</v>
      </c>
      <c r="F361" s="109">
        <v>0.10625</v>
      </c>
      <c r="G361" s="26" t="s">
        <v>2332</v>
      </c>
      <c r="H361" s="124" t="s">
        <v>385</v>
      </c>
      <c r="I361" s="124"/>
      <c r="J361" s="28" t="s">
        <v>347</v>
      </c>
      <c r="K361" s="28">
        <v>500000</v>
      </c>
      <c r="L361" s="28">
        <v>1500000</v>
      </c>
      <c r="M361" s="28" t="s">
        <v>20</v>
      </c>
      <c r="N361" s="28" t="s">
        <v>20</v>
      </c>
      <c r="O361" s="28" t="s">
        <v>20</v>
      </c>
      <c r="P361" s="28" t="s">
        <v>20</v>
      </c>
      <c r="Q361" s="28" t="s">
        <v>20</v>
      </c>
      <c r="R361" s="28" t="s">
        <v>20</v>
      </c>
    </row>
    <row r="362" spans="2:18" x14ac:dyDescent="0.25">
      <c r="B362" s="28">
        <v>22</v>
      </c>
      <c r="C362" s="28" t="s">
        <v>1789</v>
      </c>
      <c r="D362" s="28" t="s">
        <v>1789</v>
      </c>
      <c r="E362" s="108">
        <v>45452</v>
      </c>
      <c r="F362" s="109">
        <v>0.33888888888888891</v>
      </c>
      <c r="G362" s="26" t="s">
        <v>2333</v>
      </c>
      <c r="H362" s="124" t="s">
        <v>385</v>
      </c>
      <c r="I362" s="124"/>
      <c r="J362" s="26" t="s">
        <v>347</v>
      </c>
      <c r="K362" s="28">
        <v>300000</v>
      </c>
      <c r="L362" s="28">
        <v>2000000</v>
      </c>
      <c r="M362" s="28" t="s">
        <v>20</v>
      </c>
      <c r="N362" s="28" t="s">
        <v>20</v>
      </c>
      <c r="O362" s="28" t="s">
        <v>20</v>
      </c>
      <c r="P362" s="28" t="s">
        <v>20</v>
      </c>
      <c r="Q362" s="28" t="s">
        <v>20</v>
      </c>
      <c r="R362" s="28" t="s">
        <v>20</v>
      </c>
    </row>
    <row r="363" spans="2:18" x14ac:dyDescent="0.25">
      <c r="B363" s="28">
        <v>23</v>
      </c>
      <c r="C363" s="28" t="s">
        <v>1789</v>
      </c>
      <c r="D363" s="28" t="s">
        <v>1789</v>
      </c>
      <c r="E363" s="108">
        <v>45452</v>
      </c>
      <c r="F363" s="109">
        <v>0.75624999999999998</v>
      </c>
      <c r="G363" s="26" t="s">
        <v>2335</v>
      </c>
      <c r="H363" s="124" t="s">
        <v>2307</v>
      </c>
      <c r="I363" s="124"/>
      <c r="J363" s="28" t="s">
        <v>347</v>
      </c>
      <c r="K363" s="28">
        <v>0</v>
      </c>
      <c r="L363" s="28">
        <v>0</v>
      </c>
      <c r="M363" s="28" t="s">
        <v>20</v>
      </c>
      <c r="N363" s="28" t="s">
        <v>20</v>
      </c>
      <c r="O363" s="28" t="s">
        <v>20</v>
      </c>
      <c r="P363" s="28" t="s">
        <v>20</v>
      </c>
      <c r="Q363" s="28" t="s">
        <v>20</v>
      </c>
      <c r="R363" s="28" t="s">
        <v>20</v>
      </c>
    </row>
    <row r="364" spans="2:18" x14ac:dyDescent="0.25">
      <c r="B364" s="28">
        <v>24</v>
      </c>
      <c r="C364" s="28" t="s">
        <v>1789</v>
      </c>
      <c r="D364" s="28" t="s">
        <v>1789</v>
      </c>
      <c r="E364" s="108">
        <v>45452</v>
      </c>
      <c r="F364" s="109">
        <v>0.97222222222222221</v>
      </c>
      <c r="G364" s="26" t="s">
        <v>2336</v>
      </c>
      <c r="H364" s="124" t="s">
        <v>2307</v>
      </c>
      <c r="I364" s="124"/>
      <c r="J364" s="28" t="s">
        <v>2045</v>
      </c>
      <c r="K364" s="28">
        <v>0</v>
      </c>
      <c r="L364" s="28">
        <v>0</v>
      </c>
      <c r="M364" s="28" t="s">
        <v>20</v>
      </c>
      <c r="N364" s="28" t="s">
        <v>20</v>
      </c>
      <c r="O364" s="28" t="s">
        <v>20</v>
      </c>
      <c r="P364" s="28" t="s">
        <v>20</v>
      </c>
      <c r="Q364" s="28" t="s">
        <v>20</v>
      </c>
      <c r="R364" s="28" t="s">
        <v>20</v>
      </c>
    </row>
    <row r="365" spans="2:18" x14ac:dyDescent="0.25">
      <c r="B365" s="28">
        <v>25</v>
      </c>
      <c r="C365" s="28" t="s">
        <v>1789</v>
      </c>
      <c r="D365" s="28" t="s">
        <v>1789</v>
      </c>
      <c r="E365" s="123">
        <v>45453</v>
      </c>
      <c r="F365" s="109">
        <v>0.89097222222222228</v>
      </c>
      <c r="G365" s="26" t="s">
        <v>2337</v>
      </c>
      <c r="H365" s="124" t="s">
        <v>385</v>
      </c>
      <c r="I365" s="124"/>
      <c r="J365" s="28" t="s">
        <v>2045</v>
      </c>
      <c r="K365" s="28">
        <v>0</v>
      </c>
      <c r="L365" s="28">
        <v>0</v>
      </c>
      <c r="M365" s="28" t="s">
        <v>20</v>
      </c>
      <c r="N365" s="28" t="s">
        <v>20</v>
      </c>
      <c r="O365" s="28" t="s">
        <v>20</v>
      </c>
      <c r="P365" s="28" t="s">
        <v>20</v>
      </c>
      <c r="Q365" s="28" t="s">
        <v>20</v>
      </c>
      <c r="R365" s="28" t="s">
        <v>20</v>
      </c>
    </row>
    <row r="366" spans="2:18" x14ac:dyDescent="0.25">
      <c r="B366" s="28">
        <v>26</v>
      </c>
      <c r="C366" s="28" t="s">
        <v>1789</v>
      </c>
      <c r="D366" s="28" t="s">
        <v>1789</v>
      </c>
      <c r="E366" s="123">
        <v>45454</v>
      </c>
      <c r="F366" s="109">
        <v>0.44166666666666665</v>
      </c>
      <c r="G366" s="26" t="s">
        <v>2339</v>
      </c>
      <c r="H366" s="124" t="s">
        <v>406</v>
      </c>
      <c r="I366" s="124"/>
      <c r="J366" s="28" t="s">
        <v>2047</v>
      </c>
      <c r="K366" s="28">
        <v>200000</v>
      </c>
      <c r="L366" s="28">
        <v>600000</v>
      </c>
      <c r="M366" s="28" t="s">
        <v>20</v>
      </c>
      <c r="N366" s="28" t="s">
        <v>20</v>
      </c>
      <c r="O366" s="28" t="s">
        <v>20</v>
      </c>
      <c r="P366" s="28" t="s">
        <v>20</v>
      </c>
      <c r="Q366" s="28" t="s">
        <v>20</v>
      </c>
      <c r="R366" s="28" t="s">
        <v>20</v>
      </c>
    </row>
    <row r="367" spans="2:18" x14ac:dyDescent="0.25">
      <c r="B367" s="28">
        <v>27</v>
      </c>
      <c r="C367" s="28" t="s">
        <v>1789</v>
      </c>
      <c r="D367" s="28" t="s">
        <v>1789</v>
      </c>
      <c r="E367" s="123">
        <v>45454</v>
      </c>
      <c r="F367" s="109">
        <v>0.48125000000000001</v>
      </c>
      <c r="G367" s="26" t="s">
        <v>2340</v>
      </c>
      <c r="H367" s="124" t="s">
        <v>1904</v>
      </c>
      <c r="I367" s="124"/>
      <c r="J367" s="28" t="s">
        <v>2341</v>
      </c>
      <c r="K367" s="28">
        <v>50000</v>
      </c>
      <c r="L367" s="28">
        <v>450000</v>
      </c>
      <c r="M367" s="28" t="s">
        <v>20</v>
      </c>
      <c r="N367" s="28" t="s">
        <v>20</v>
      </c>
      <c r="O367" s="28" t="s">
        <v>20</v>
      </c>
      <c r="P367" s="28" t="s">
        <v>20</v>
      </c>
      <c r="Q367" s="28" t="s">
        <v>20</v>
      </c>
      <c r="R367" s="28" t="s">
        <v>20</v>
      </c>
    </row>
    <row r="368" spans="2:18" x14ac:dyDescent="0.25">
      <c r="B368" s="28">
        <v>28</v>
      </c>
      <c r="C368" s="28" t="s">
        <v>1789</v>
      </c>
      <c r="D368" s="28" t="s">
        <v>1789</v>
      </c>
      <c r="E368" s="123">
        <v>45454</v>
      </c>
      <c r="F368" s="109">
        <v>0.52777777777777779</v>
      </c>
      <c r="G368" s="26" t="s">
        <v>2342</v>
      </c>
      <c r="H368" s="124" t="s">
        <v>1904</v>
      </c>
      <c r="I368" s="124"/>
      <c r="J368" s="28" t="s">
        <v>2343</v>
      </c>
      <c r="K368" s="28">
        <v>20000</v>
      </c>
      <c r="L368" s="28">
        <v>480000</v>
      </c>
      <c r="M368" s="28" t="s">
        <v>20</v>
      </c>
      <c r="N368" s="28" t="s">
        <v>20</v>
      </c>
      <c r="O368" s="28" t="s">
        <v>20</v>
      </c>
      <c r="P368" s="28" t="s">
        <v>20</v>
      </c>
      <c r="Q368" s="28" t="s">
        <v>20</v>
      </c>
      <c r="R368" s="28" t="s">
        <v>20</v>
      </c>
    </row>
    <row r="369" spans="2:18" x14ac:dyDescent="0.25">
      <c r="B369" s="28">
        <v>29</v>
      </c>
      <c r="C369" s="28" t="s">
        <v>1789</v>
      </c>
      <c r="D369" s="28" t="s">
        <v>1789</v>
      </c>
      <c r="E369" s="123">
        <v>45454</v>
      </c>
      <c r="F369" s="109">
        <v>0.56944444444444442</v>
      </c>
      <c r="G369" s="26" t="s">
        <v>2344</v>
      </c>
      <c r="H369" s="124" t="s">
        <v>357</v>
      </c>
      <c r="I369" s="124"/>
      <c r="J369" s="28" t="s">
        <v>2047</v>
      </c>
      <c r="K369" s="28">
        <v>500000</v>
      </c>
      <c r="L369" s="28">
        <v>1500000</v>
      </c>
      <c r="M369" s="28" t="s">
        <v>20</v>
      </c>
      <c r="N369" s="28" t="s">
        <v>20</v>
      </c>
      <c r="O369" s="28" t="s">
        <v>20</v>
      </c>
      <c r="P369" s="28" t="s">
        <v>20</v>
      </c>
      <c r="Q369" s="28" t="s">
        <v>20</v>
      </c>
      <c r="R369" s="28" t="s">
        <v>20</v>
      </c>
    </row>
    <row r="370" spans="2:18" x14ac:dyDescent="0.25">
      <c r="B370" s="28">
        <v>30</v>
      </c>
      <c r="C370" s="28" t="s">
        <v>1789</v>
      </c>
      <c r="D370" s="28" t="s">
        <v>1789</v>
      </c>
      <c r="E370" s="123">
        <v>45454</v>
      </c>
      <c r="F370" s="109">
        <v>0.5708333333333333</v>
      </c>
      <c r="G370" s="26" t="s">
        <v>2345</v>
      </c>
      <c r="H370" s="124" t="s">
        <v>385</v>
      </c>
      <c r="I370" s="124"/>
      <c r="J370" s="28" t="s">
        <v>2011</v>
      </c>
      <c r="K370" s="28">
        <v>250000</v>
      </c>
      <c r="L370" s="28">
        <v>50000</v>
      </c>
      <c r="M370" s="28" t="s">
        <v>20</v>
      </c>
      <c r="N370" s="28" t="s">
        <v>20</v>
      </c>
      <c r="O370" s="28" t="s">
        <v>20</v>
      </c>
      <c r="P370" s="28" t="s">
        <v>20</v>
      </c>
      <c r="Q370" s="28" t="s">
        <v>20</v>
      </c>
      <c r="R370" s="28" t="s">
        <v>20</v>
      </c>
    </row>
    <row r="371" spans="2:18" x14ac:dyDescent="0.25">
      <c r="B371" s="28">
        <v>31</v>
      </c>
      <c r="C371" s="28" t="s">
        <v>1789</v>
      </c>
      <c r="D371" s="28" t="s">
        <v>1789</v>
      </c>
      <c r="E371" s="123">
        <v>45454</v>
      </c>
      <c r="F371" s="109">
        <v>0.59722222222222221</v>
      </c>
      <c r="G371" s="26" t="s">
        <v>2346</v>
      </c>
      <c r="H371" s="124" t="s">
        <v>2347</v>
      </c>
      <c r="I371" s="124"/>
      <c r="J371" s="28" t="s">
        <v>2165</v>
      </c>
      <c r="K371" s="28">
        <v>300000</v>
      </c>
      <c r="L371" s="28">
        <v>1700000</v>
      </c>
      <c r="M371" s="28" t="s">
        <v>20</v>
      </c>
      <c r="N371" s="28" t="s">
        <v>20</v>
      </c>
      <c r="O371" s="28" t="s">
        <v>20</v>
      </c>
      <c r="P371" s="28" t="s">
        <v>20</v>
      </c>
      <c r="Q371" s="28" t="s">
        <v>20</v>
      </c>
      <c r="R371" s="28" t="s">
        <v>20</v>
      </c>
    </row>
    <row r="372" spans="2:18" x14ac:dyDescent="0.25">
      <c r="B372" s="28">
        <v>32</v>
      </c>
      <c r="C372" s="28" t="s">
        <v>1789</v>
      </c>
      <c r="D372" s="28" t="s">
        <v>1789</v>
      </c>
      <c r="E372" s="123">
        <v>45455</v>
      </c>
      <c r="F372" s="109">
        <v>3.3333333333333333E-2</v>
      </c>
      <c r="G372" s="26" t="s">
        <v>2348</v>
      </c>
      <c r="H372" s="124" t="s">
        <v>2334</v>
      </c>
      <c r="I372" s="124"/>
      <c r="J372" s="28" t="s">
        <v>2349</v>
      </c>
      <c r="K372" s="28">
        <v>50000</v>
      </c>
      <c r="L372" s="28">
        <v>450000</v>
      </c>
      <c r="M372" s="28"/>
      <c r="N372" s="28"/>
      <c r="O372" s="28"/>
      <c r="P372" s="28"/>
      <c r="Q372" s="28"/>
      <c r="R372" s="28"/>
    </row>
    <row r="373" spans="2:18" x14ac:dyDescent="0.25">
      <c r="B373" s="28">
        <v>33</v>
      </c>
      <c r="C373" s="28" t="s">
        <v>1789</v>
      </c>
      <c r="D373" s="28" t="s">
        <v>1789</v>
      </c>
      <c r="E373" s="123">
        <v>45455</v>
      </c>
      <c r="F373" s="109">
        <v>0.54791666666666672</v>
      </c>
      <c r="G373" s="26" t="s">
        <v>2350</v>
      </c>
      <c r="H373" s="124" t="s">
        <v>1904</v>
      </c>
      <c r="I373" s="124"/>
      <c r="J373" s="26" t="s">
        <v>2351</v>
      </c>
      <c r="K373" s="28">
        <v>0</v>
      </c>
      <c r="L373" s="28">
        <v>0</v>
      </c>
      <c r="M373" s="28"/>
      <c r="N373" s="28"/>
      <c r="O373" s="28"/>
      <c r="P373" s="28"/>
      <c r="Q373" s="28"/>
      <c r="R373" s="28"/>
    </row>
    <row r="374" spans="2:18" x14ac:dyDescent="0.25">
      <c r="B374" s="28">
        <v>34</v>
      </c>
      <c r="C374" s="28" t="s">
        <v>1789</v>
      </c>
      <c r="D374" s="28" t="s">
        <v>1789</v>
      </c>
      <c r="E374" s="123">
        <v>45455</v>
      </c>
      <c r="F374" s="109">
        <v>0.58819444444444446</v>
      </c>
      <c r="G374" s="26" t="s">
        <v>2352</v>
      </c>
      <c r="H374" s="124" t="s">
        <v>2334</v>
      </c>
      <c r="I374" s="124"/>
      <c r="J374" s="28" t="s">
        <v>2325</v>
      </c>
      <c r="K374" s="28">
        <v>600000</v>
      </c>
      <c r="L374" s="28">
        <v>2400000</v>
      </c>
      <c r="M374" s="28" t="s">
        <v>20</v>
      </c>
      <c r="N374" s="28" t="s">
        <v>20</v>
      </c>
      <c r="O374" s="28" t="s">
        <v>20</v>
      </c>
      <c r="P374" s="28" t="s">
        <v>20</v>
      </c>
      <c r="Q374" s="28" t="s">
        <v>20</v>
      </c>
      <c r="R374" s="28" t="s">
        <v>20</v>
      </c>
    </row>
    <row r="375" spans="2:18" ht="39" x14ac:dyDescent="0.25">
      <c r="B375" s="28">
        <v>35</v>
      </c>
      <c r="C375" s="28" t="s">
        <v>1789</v>
      </c>
      <c r="D375" s="28" t="s">
        <v>1789</v>
      </c>
      <c r="E375" s="123">
        <v>45455</v>
      </c>
      <c r="F375" s="109">
        <v>0.64513888888888893</v>
      </c>
      <c r="G375" s="26" t="s">
        <v>2353</v>
      </c>
      <c r="H375" s="124" t="s">
        <v>2354</v>
      </c>
      <c r="I375" s="124"/>
      <c r="J375" s="28" t="s">
        <v>2165</v>
      </c>
      <c r="K375" s="28">
        <v>0</v>
      </c>
      <c r="L375" s="28">
        <v>0</v>
      </c>
      <c r="M375" s="28" t="s">
        <v>20</v>
      </c>
      <c r="N375" s="28" t="s">
        <v>20</v>
      </c>
      <c r="O375" s="28" t="s">
        <v>20</v>
      </c>
      <c r="P375" s="28" t="s">
        <v>20</v>
      </c>
      <c r="Q375" s="28" t="s">
        <v>20</v>
      </c>
      <c r="R375" s="28" t="s">
        <v>20</v>
      </c>
    </row>
    <row r="376" spans="2:18" x14ac:dyDescent="0.25">
      <c r="B376" s="28">
        <v>36</v>
      </c>
      <c r="C376" s="28" t="s">
        <v>1789</v>
      </c>
      <c r="D376" s="28" t="s">
        <v>1789</v>
      </c>
      <c r="E376" s="123">
        <v>45455</v>
      </c>
      <c r="F376" s="109">
        <v>0.64722222222222225</v>
      </c>
      <c r="G376" s="26" t="s">
        <v>2355</v>
      </c>
      <c r="H376" s="124" t="s">
        <v>406</v>
      </c>
      <c r="I376" s="124"/>
      <c r="J376" s="28" t="s">
        <v>1992</v>
      </c>
      <c r="K376" s="28">
        <v>400000</v>
      </c>
      <c r="L376" s="28">
        <v>1600000</v>
      </c>
      <c r="M376" s="28" t="s">
        <v>20</v>
      </c>
      <c r="N376" s="28" t="s">
        <v>20</v>
      </c>
      <c r="O376" s="28" t="s">
        <v>20</v>
      </c>
      <c r="P376" s="28" t="s">
        <v>20</v>
      </c>
      <c r="Q376" s="28" t="s">
        <v>20</v>
      </c>
      <c r="R376" s="28" t="s">
        <v>20</v>
      </c>
    </row>
    <row r="377" spans="2:18" x14ac:dyDescent="0.25">
      <c r="B377" s="28">
        <v>37</v>
      </c>
      <c r="C377" s="28" t="s">
        <v>1789</v>
      </c>
      <c r="D377" s="28" t="s">
        <v>1789</v>
      </c>
      <c r="E377" s="123">
        <v>45455</v>
      </c>
      <c r="F377" s="109">
        <v>0.79513888888888884</v>
      </c>
      <c r="G377" s="26" t="s">
        <v>2356</v>
      </c>
      <c r="H377" s="124" t="s">
        <v>1899</v>
      </c>
      <c r="I377" s="124"/>
      <c r="J377" s="28" t="s">
        <v>2357</v>
      </c>
      <c r="K377" s="28">
        <v>10000</v>
      </c>
      <c r="L377" s="28">
        <v>1990000</v>
      </c>
      <c r="M377" s="28" t="s">
        <v>20</v>
      </c>
      <c r="N377" s="28" t="s">
        <v>20</v>
      </c>
      <c r="O377" s="28" t="s">
        <v>20</v>
      </c>
      <c r="P377" s="28" t="s">
        <v>20</v>
      </c>
      <c r="Q377" s="28" t="s">
        <v>20</v>
      </c>
      <c r="R377" s="28" t="s">
        <v>20</v>
      </c>
    </row>
    <row r="378" spans="2:18" x14ac:dyDescent="0.25">
      <c r="B378" s="28">
        <v>38</v>
      </c>
      <c r="C378" s="28" t="s">
        <v>1789</v>
      </c>
      <c r="D378" s="28" t="s">
        <v>1789</v>
      </c>
      <c r="E378" s="123">
        <v>45455</v>
      </c>
      <c r="F378" s="109">
        <v>0.90833333333333333</v>
      </c>
      <c r="G378" s="26" t="s">
        <v>2358</v>
      </c>
      <c r="H378" s="124" t="s">
        <v>385</v>
      </c>
      <c r="I378" s="124"/>
      <c r="J378" s="28" t="s">
        <v>2045</v>
      </c>
      <c r="K378" s="28">
        <v>20000</v>
      </c>
      <c r="L378" s="28">
        <v>480000</v>
      </c>
      <c r="M378" s="28" t="s">
        <v>20</v>
      </c>
      <c r="N378" s="28" t="s">
        <v>20</v>
      </c>
      <c r="O378" s="28" t="s">
        <v>20</v>
      </c>
      <c r="P378" s="28" t="s">
        <v>20</v>
      </c>
      <c r="Q378" s="28" t="s">
        <v>20</v>
      </c>
      <c r="R378" s="28" t="s">
        <v>20</v>
      </c>
    </row>
    <row r="379" spans="2:18" x14ac:dyDescent="0.25">
      <c r="B379" s="28">
        <v>39</v>
      </c>
      <c r="C379" s="28" t="s">
        <v>1789</v>
      </c>
      <c r="D379" s="28" t="s">
        <v>1789</v>
      </c>
      <c r="E379" s="123">
        <v>45456</v>
      </c>
      <c r="F379" s="109">
        <v>0.61250000000000004</v>
      </c>
      <c r="G379" s="26" t="s">
        <v>2359</v>
      </c>
      <c r="H379" s="124" t="s">
        <v>2338</v>
      </c>
      <c r="I379" s="124"/>
      <c r="J379" s="28" t="s">
        <v>2360</v>
      </c>
      <c r="K379" s="28">
        <v>10000</v>
      </c>
      <c r="L379" s="28">
        <v>490000</v>
      </c>
      <c r="M379" s="28" t="s">
        <v>20</v>
      </c>
      <c r="N379" s="28" t="s">
        <v>20</v>
      </c>
      <c r="O379" s="28" t="s">
        <v>20</v>
      </c>
      <c r="P379" s="28" t="s">
        <v>20</v>
      </c>
      <c r="Q379" s="28" t="s">
        <v>20</v>
      </c>
      <c r="R379" s="28" t="s">
        <v>20</v>
      </c>
    </row>
    <row r="380" spans="2:18" x14ac:dyDescent="0.25">
      <c r="B380" s="28">
        <v>40</v>
      </c>
      <c r="C380" s="28" t="s">
        <v>1789</v>
      </c>
      <c r="D380" s="28" t="s">
        <v>1789</v>
      </c>
      <c r="E380" s="123">
        <v>45457</v>
      </c>
      <c r="F380" s="109">
        <v>0.59722222222222221</v>
      </c>
      <c r="G380" s="26" t="s">
        <v>2361</v>
      </c>
      <c r="H380" s="124" t="s">
        <v>2162</v>
      </c>
      <c r="I380" s="124"/>
      <c r="J380" s="28" t="s">
        <v>2165</v>
      </c>
      <c r="K380" s="28">
        <v>10000</v>
      </c>
      <c r="L380" s="28">
        <v>990000</v>
      </c>
      <c r="M380" s="28" t="s">
        <v>20</v>
      </c>
      <c r="N380" s="28" t="s">
        <v>20</v>
      </c>
      <c r="O380" s="28" t="s">
        <v>20</v>
      </c>
      <c r="P380" s="28" t="s">
        <v>20</v>
      </c>
      <c r="Q380" s="28" t="s">
        <v>20</v>
      </c>
      <c r="R380" s="28" t="s">
        <v>20</v>
      </c>
    </row>
    <row r="381" spans="2:18" ht="39" x14ac:dyDescent="0.25">
      <c r="B381" s="28">
        <v>41</v>
      </c>
      <c r="C381" s="28" t="s">
        <v>1789</v>
      </c>
      <c r="D381" s="28" t="s">
        <v>1789</v>
      </c>
      <c r="E381" s="123">
        <v>45457</v>
      </c>
      <c r="F381" s="109">
        <v>0.69097222222222221</v>
      </c>
      <c r="G381" s="26" t="s">
        <v>2362</v>
      </c>
      <c r="H381" s="124" t="s">
        <v>2363</v>
      </c>
      <c r="I381" s="124"/>
      <c r="J381" s="28" t="s">
        <v>2325</v>
      </c>
      <c r="K381" s="28">
        <v>40000</v>
      </c>
      <c r="L381" s="28">
        <v>360000</v>
      </c>
      <c r="M381" s="28" t="s">
        <v>20</v>
      </c>
      <c r="N381" s="28" t="s">
        <v>20</v>
      </c>
      <c r="O381" s="28" t="s">
        <v>20</v>
      </c>
      <c r="P381" s="28" t="s">
        <v>20</v>
      </c>
      <c r="Q381" s="28" t="s">
        <v>20</v>
      </c>
      <c r="R381" s="28" t="s">
        <v>20</v>
      </c>
    </row>
    <row r="382" spans="2:18" x14ac:dyDescent="0.25">
      <c r="B382" s="28">
        <v>42</v>
      </c>
      <c r="C382" s="28" t="s">
        <v>1789</v>
      </c>
      <c r="D382" s="28" t="s">
        <v>1789</v>
      </c>
      <c r="E382" s="123">
        <v>45457</v>
      </c>
      <c r="F382" s="109">
        <v>0.73263888888888884</v>
      </c>
      <c r="G382" s="26" t="s">
        <v>2364</v>
      </c>
      <c r="H382" s="124" t="s">
        <v>2162</v>
      </c>
      <c r="I382" s="124"/>
      <c r="J382" s="28" t="s">
        <v>2165</v>
      </c>
      <c r="K382" s="28">
        <v>100000</v>
      </c>
      <c r="L382" s="28">
        <v>1900000</v>
      </c>
      <c r="M382" s="28" t="s">
        <v>20</v>
      </c>
      <c r="N382" s="28" t="s">
        <v>20</v>
      </c>
      <c r="O382" s="28" t="s">
        <v>20</v>
      </c>
      <c r="P382" s="28" t="s">
        <v>20</v>
      </c>
      <c r="Q382" s="28" t="s">
        <v>20</v>
      </c>
      <c r="R382" s="28" t="s">
        <v>20</v>
      </c>
    </row>
    <row r="383" spans="2:18" x14ac:dyDescent="0.25">
      <c r="B383" s="28">
        <v>43</v>
      </c>
      <c r="C383" s="28" t="s">
        <v>1789</v>
      </c>
      <c r="D383" s="28" t="s">
        <v>1789</v>
      </c>
      <c r="E383" s="123">
        <v>45457</v>
      </c>
      <c r="F383" s="109">
        <v>0.85416666666666663</v>
      </c>
      <c r="G383" s="26" t="s">
        <v>2365</v>
      </c>
      <c r="H383" s="124" t="s">
        <v>2162</v>
      </c>
      <c r="I383" s="124"/>
      <c r="J383" s="28" t="s">
        <v>2171</v>
      </c>
      <c r="K383" s="28">
        <v>0</v>
      </c>
      <c r="L383" s="28">
        <v>0</v>
      </c>
      <c r="M383" s="28"/>
      <c r="N383" s="28"/>
      <c r="O383" s="28"/>
      <c r="P383" s="28"/>
      <c r="Q383" s="28"/>
      <c r="R383" s="28"/>
    </row>
    <row r="384" spans="2:18" ht="39" x14ac:dyDescent="0.25">
      <c r="B384" s="28">
        <v>44</v>
      </c>
      <c r="C384" s="28" t="s">
        <v>1789</v>
      </c>
      <c r="D384" s="28" t="s">
        <v>1789</v>
      </c>
      <c r="E384" s="123">
        <v>45457</v>
      </c>
      <c r="F384" s="109">
        <v>0.87847222222222221</v>
      </c>
      <c r="G384" s="26" t="s">
        <v>2366</v>
      </c>
      <c r="H384" s="124" t="s">
        <v>2367</v>
      </c>
      <c r="I384" s="124"/>
      <c r="J384" s="28" t="s">
        <v>2360</v>
      </c>
      <c r="K384" s="28">
        <v>0</v>
      </c>
      <c r="L384" s="28">
        <v>0</v>
      </c>
      <c r="M384" s="28" t="s">
        <v>20</v>
      </c>
      <c r="N384" s="28" t="s">
        <v>20</v>
      </c>
      <c r="O384" s="28" t="s">
        <v>20</v>
      </c>
      <c r="P384" s="28" t="s">
        <v>20</v>
      </c>
      <c r="Q384" s="28" t="s">
        <v>20</v>
      </c>
      <c r="R384" s="28" t="s">
        <v>20</v>
      </c>
    </row>
    <row r="385" spans="2:18" x14ac:dyDescent="0.25">
      <c r="B385" s="28">
        <v>45</v>
      </c>
      <c r="C385" s="28" t="s">
        <v>1789</v>
      </c>
      <c r="D385" s="28" t="s">
        <v>1789</v>
      </c>
      <c r="E385" s="123">
        <v>45458</v>
      </c>
      <c r="F385" s="109">
        <v>0.37013888888888891</v>
      </c>
      <c r="G385" s="26" t="s">
        <v>2368</v>
      </c>
      <c r="H385" s="124" t="s">
        <v>2162</v>
      </c>
      <c r="I385" s="124"/>
      <c r="J385" s="28" t="s">
        <v>2165</v>
      </c>
      <c r="K385" s="28">
        <v>10000</v>
      </c>
      <c r="L385" s="28">
        <v>40000</v>
      </c>
      <c r="M385" s="28" t="s">
        <v>20</v>
      </c>
      <c r="N385" s="28" t="s">
        <v>20</v>
      </c>
      <c r="O385" s="28" t="s">
        <v>20</v>
      </c>
      <c r="P385" s="28" t="s">
        <v>20</v>
      </c>
      <c r="Q385" s="28" t="s">
        <v>20</v>
      </c>
      <c r="R385" s="28" t="s">
        <v>20</v>
      </c>
    </row>
    <row r="386" spans="2:18" x14ac:dyDescent="0.25">
      <c r="B386" s="28">
        <v>46</v>
      </c>
      <c r="C386" s="28" t="s">
        <v>1789</v>
      </c>
      <c r="D386" s="28" t="s">
        <v>1789</v>
      </c>
      <c r="E386" s="123">
        <v>45458</v>
      </c>
      <c r="F386" s="109">
        <v>0.49305555555555558</v>
      </c>
      <c r="G386" s="26" t="s">
        <v>2369</v>
      </c>
      <c r="H386" s="124" t="s">
        <v>2334</v>
      </c>
      <c r="I386" s="124"/>
      <c r="J386" s="28" t="s">
        <v>2369</v>
      </c>
      <c r="K386" s="28">
        <v>200000</v>
      </c>
      <c r="L386" s="28">
        <v>4800000</v>
      </c>
      <c r="M386" s="28" t="s">
        <v>20</v>
      </c>
      <c r="N386" s="28" t="s">
        <v>20</v>
      </c>
      <c r="O386" s="28" t="s">
        <v>20</v>
      </c>
      <c r="P386" s="28" t="s">
        <v>20</v>
      </c>
      <c r="Q386" s="28" t="s">
        <v>20</v>
      </c>
      <c r="R386" s="28" t="s">
        <v>20</v>
      </c>
    </row>
    <row r="387" spans="2:18" x14ac:dyDescent="0.25">
      <c r="B387" s="28">
        <v>47</v>
      </c>
      <c r="C387" s="28" t="s">
        <v>1789</v>
      </c>
      <c r="D387" s="28" t="s">
        <v>1789</v>
      </c>
      <c r="E387" s="123">
        <v>45458</v>
      </c>
      <c r="F387" s="109">
        <v>0.56458333333333333</v>
      </c>
      <c r="G387" s="26" t="s">
        <v>2370</v>
      </c>
      <c r="H387" s="124" t="s">
        <v>2162</v>
      </c>
      <c r="I387" s="124"/>
      <c r="J387" s="28" t="s">
        <v>2371</v>
      </c>
      <c r="K387" s="28">
        <v>10000</v>
      </c>
      <c r="L387" s="28">
        <v>40000</v>
      </c>
      <c r="M387" s="28" t="s">
        <v>20</v>
      </c>
      <c r="N387" s="28" t="s">
        <v>20</v>
      </c>
      <c r="O387" s="28" t="s">
        <v>20</v>
      </c>
      <c r="P387" s="28" t="s">
        <v>20</v>
      </c>
      <c r="Q387" s="28" t="s">
        <v>20</v>
      </c>
      <c r="R387" s="28" t="s">
        <v>20</v>
      </c>
    </row>
    <row r="388" spans="2:18" x14ac:dyDescent="0.25">
      <c r="B388" s="28">
        <v>48</v>
      </c>
      <c r="C388" s="28" t="s">
        <v>1789</v>
      </c>
      <c r="D388" s="28" t="s">
        <v>1789</v>
      </c>
      <c r="E388" s="123">
        <v>45458</v>
      </c>
      <c r="F388" s="109">
        <v>0.5708333333333333</v>
      </c>
      <c r="G388" s="26" t="s">
        <v>2372</v>
      </c>
      <c r="H388" s="124" t="s">
        <v>2162</v>
      </c>
      <c r="I388" s="124"/>
      <c r="J388" s="28" t="s">
        <v>2373</v>
      </c>
      <c r="K388" s="28">
        <v>20000</v>
      </c>
      <c r="L388" s="28">
        <v>80000</v>
      </c>
      <c r="M388" s="28" t="s">
        <v>20</v>
      </c>
      <c r="N388" s="28" t="s">
        <v>20</v>
      </c>
      <c r="O388" s="28" t="s">
        <v>20</v>
      </c>
      <c r="P388" s="28" t="s">
        <v>20</v>
      </c>
      <c r="Q388" s="28" t="s">
        <v>20</v>
      </c>
      <c r="R388" s="28" t="s">
        <v>20</v>
      </c>
    </row>
    <row r="389" spans="2:18" x14ac:dyDescent="0.25">
      <c r="B389" s="28">
        <v>49</v>
      </c>
      <c r="C389" s="28" t="s">
        <v>1789</v>
      </c>
      <c r="D389" s="28" t="s">
        <v>1789</v>
      </c>
      <c r="E389" s="123">
        <v>45458</v>
      </c>
      <c r="F389" s="109">
        <v>0.59305555555555556</v>
      </c>
      <c r="G389" s="26" t="s">
        <v>2372</v>
      </c>
      <c r="H389" s="124" t="s">
        <v>2162</v>
      </c>
      <c r="I389" s="124"/>
      <c r="J389" s="28" t="s">
        <v>2374</v>
      </c>
      <c r="K389" s="28">
        <v>5000</v>
      </c>
      <c r="L389" s="28">
        <v>15000</v>
      </c>
      <c r="M389" s="28" t="s">
        <v>20</v>
      </c>
      <c r="N389" s="28" t="s">
        <v>20</v>
      </c>
      <c r="O389" s="28" t="s">
        <v>20</v>
      </c>
      <c r="P389" s="28" t="s">
        <v>20</v>
      </c>
      <c r="Q389" s="28" t="s">
        <v>20</v>
      </c>
      <c r="R389" s="28" t="s">
        <v>20</v>
      </c>
    </row>
    <row r="390" spans="2:18" x14ac:dyDescent="0.25">
      <c r="B390" s="28">
        <v>50</v>
      </c>
      <c r="C390" s="28" t="s">
        <v>1789</v>
      </c>
      <c r="D390" s="28" t="s">
        <v>1789</v>
      </c>
      <c r="E390" s="123">
        <v>45458</v>
      </c>
      <c r="F390" s="109">
        <v>0.88958333333333328</v>
      </c>
      <c r="G390" s="26" t="s">
        <v>2375</v>
      </c>
      <c r="H390" s="124" t="s">
        <v>2334</v>
      </c>
      <c r="I390" s="124"/>
      <c r="J390" s="28" t="s">
        <v>2376</v>
      </c>
      <c r="K390" s="28">
        <v>10000</v>
      </c>
      <c r="L390" s="28">
        <v>90000</v>
      </c>
      <c r="M390" s="28" t="s">
        <v>20</v>
      </c>
      <c r="N390" s="28" t="s">
        <v>20</v>
      </c>
      <c r="O390" s="28" t="s">
        <v>20</v>
      </c>
      <c r="P390" s="28" t="s">
        <v>20</v>
      </c>
      <c r="Q390" s="28" t="s">
        <v>20</v>
      </c>
      <c r="R390" s="28" t="s">
        <v>20</v>
      </c>
    </row>
    <row r="391" spans="2:18" ht="39" x14ac:dyDescent="0.25">
      <c r="B391" s="28">
        <v>51</v>
      </c>
      <c r="C391" s="28" t="s">
        <v>1789</v>
      </c>
      <c r="D391" s="28" t="s">
        <v>1789</v>
      </c>
      <c r="E391" s="123">
        <v>45458</v>
      </c>
      <c r="F391" s="109">
        <v>0.95208333333333328</v>
      </c>
      <c r="G391" s="26" t="s">
        <v>2372</v>
      </c>
      <c r="H391" s="124" t="s">
        <v>2377</v>
      </c>
      <c r="I391" s="124"/>
      <c r="J391" s="28" t="s">
        <v>2378</v>
      </c>
      <c r="K391" s="28">
        <v>0</v>
      </c>
      <c r="L391" s="28">
        <v>0</v>
      </c>
      <c r="M391" s="28" t="s">
        <v>20</v>
      </c>
      <c r="N391" s="28" t="s">
        <v>20</v>
      </c>
      <c r="O391" s="28" t="s">
        <v>20</v>
      </c>
      <c r="P391" s="28" t="s">
        <v>20</v>
      </c>
      <c r="Q391" s="28" t="s">
        <v>20</v>
      </c>
      <c r="R391" s="28" t="s">
        <v>20</v>
      </c>
    </row>
    <row r="392" spans="2:18" ht="39" x14ac:dyDescent="0.25">
      <c r="B392" s="28">
        <v>52</v>
      </c>
      <c r="C392" s="28" t="s">
        <v>1789</v>
      </c>
      <c r="D392" s="28" t="s">
        <v>1789</v>
      </c>
      <c r="E392" s="123">
        <v>45459</v>
      </c>
      <c r="F392" s="109">
        <v>0.31597222222222221</v>
      </c>
      <c r="G392" s="26" t="s">
        <v>2379</v>
      </c>
      <c r="H392" s="124" t="s">
        <v>2380</v>
      </c>
      <c r="I392" s="124"/>
      <c r="J392" s="28" t="s">
        <v>2381</v>
      </c>
      <c r="K392" s="28">
        <v>0</v>
      </c>
      <c r="L392" s="28">
        <v>0</v>
      </c>
      <c r="M392" s="28" t="s">
        <v>20</v>
      </c>
      <c r="N392" s="28" t="s">
        <v>20</v>
      </c>
      <c r="O392" s="28" t="s">
        <v>20</v>
      </c>
      <c r="P392" s="28" t="s">
        <v>20</v>
      </c>
      <c r="Q392" s="28" t="s">
        <v>20</v>
      </c>
      <c r="R392" s="28" t="s">
        <v>20</v>
      </c>
    </row>
    <row r="393" spans="2:18" ht="39" x14ac:dyDescent="0.25">
      <c r="B393" s="28">
        <v>53</v>
      </c>
      <c r="C393" s="28" t="s">
        <v>1789</v>
      </c>
      <c r="D393" s="28" t="s">
        <v>1789</v>
      </c>
      <c r="E393" s="123">
        <v>45459</v>
      </c>
      <c r="F393" s="109">
        <v>0.49791666666666667</v>
      </c>
      <c r="G393" s="26" t="s">
        <v>2382</v>
      </c>
      <c r="H393" s="124" t="s">
        <v>2380</v>
      </c>
      <c r="I393" s="124"/>
      <c r="J393" s="28" t="s">
        <v>2165</v>
      </c>
      <c r="K393" s="28">
        <v>0</v>
      </c>
      <c r="L393" s="28">
        <v>0</v>
      </c>
      <c r="M393" s="28"/>
      <c r="N393" s="28"/>
      <c r="O393" s="28"/>
      <c r="P393" s="28"/>
      <c r="Q393" s="28"/>
      <c r="R393" s="28"/>
    </row>
    <row r="394" spans="2:18" x14ac:dyDescent="0.25">
      <c r="B394" s="28">
        <v>54</v>
      </c>
      <c r="C394" s="28" t="s">
        <v>1789</v>
      </c>
      <c r="D394" s="28" t="s">
        <v>1789</v>
      </c>
      <c r="E394" s="123">
        <v>45459</v>
      </c>
      <c r="F394" s="28"/>
      <c r="G394" s="26" t="s">
        <v>2383</v>
      </c>
      <c r="H394" s="124" t="s">
        <v>2169</v>
      </c>
      <c r="I394" s="124"/>
      <c r="J394" s="28"/>
      <c r="K394" s="28"/>
      <c r="L394" s="28"/>
      <c r="M394" s="28" t="s">
        <v>20</v>
      </c>
      <c r="N394" s="28" t="s">
        <v>20</v>
      </c>
      <c r="O394" s="28" t="s">
        <v>20</v>
      </c>
      <c r="P394" s="28" t="s">
        <v>20</v>
      </c>
      <c r="Q394" s="28" t="s">
        <v>20</v>
      </c>
      <c r="R394" s="28" t="s">
        <v>20</v>
      </c>
    </row>
    <row r="395" spans="2:18" x14ac:dyDescent="0.25">
      <c r="B395" s="28">
        <v>55</v>
      </c>
      <c r="C395" s="28" t="s">
        <v>1789</v>
      </c>
      <c r="D395" s="28" t="s">
        <v>1789</v>
      </c>
      <c r="E395" s="123">
        <v>45459</v>
      </c>
      <c r="F395" s="109">
        <v>0.66180555555555554</v>
      </c>
      <c r="G395" s="26" t="s">
        <v>2384</v>
      </c>
      <c r="H395" s="124" t="s">
        <v>406</v>
      </c>
      <c r="I395" s="124"/>
      <c r="J395" s="28" t="s">
        <v>2385</v>
      </c>
      <c r="K395" s="28">
        <v>400000</v>
      </c>
      <c r="L395" s="28">
        <v>100000</v>
      </c>
      <c r="M395" s="28" t="s">
        <v>20</v>
      </c>
      <c r="N395" s="28" t="s">
        <v>20</v>
      </c>
      <c r="O395" s="28" t="s">
        <v>20</v>
      </c>
      <c r="P395" s="28" t="s">
        <v>20</v>
      </c>
      <c r="Q395" s="28" t="s">
        <v>20</v>
      </c>
      <c r="R395" s="28" t="s">
        <v>20</v>
      </c>
    </row>
    <row r="396" spans="2:18" x14ac:dyDescent="0.25">
      <c r="B396" s="28">
        <v>56</v>
      </c>
      <c r="C396" s="28" t="s">
        <v>1789</v>
      </c>
      <c r="D396" s="28" t="s">
        <v>1789</v>
      </c>
      <c r="E396" s="123">
        <v>45459</v>
      </c>
      <c r="F396" s="109">
        <v>0.80555555555555558</v>
      </c>
      <c r="G396" s="26" t="s">
        <v>2386</v>
      </c>
      <c r="H396" s="124" t="s">
        <v>385</v>
      </c>
      <c r="I396" s="124"/>
      <c r="J396" s="28" t="s">
        <v>2387</v>
      </c>
      <c r="K396" s="28">
        <v>0</v>
      </c>
      <c r="L396" s="28">
        <v>0</v>
      </c>
      <c r="M396" s="28" t="s">
        <v>20</v>
      </c>
      <c r="N396" s="28" t="s">
        <v>20</v>
      </c>
      <c r="O396" s="28" t="s">
        <v>20</v>
      </c>
      <c r="P396" s="28" t="s">
        <v>20</v>
      </c>
      <c r="Q396" s="28" t="s">
        <v>20</v>
      </c>
      <c r="R396" s="28" t="s">
        <v>20</v>
      </c>
    </row>
    <row r="397" spans="2:18" x14ac:dyDescent="0.25">
      <c r="B397" s="28">
        <v>57</v>
      </c>
      <c r="C397" s="28" t="s">
        <v>1789</v>
      </c>
      <c r="D397" s="28" t="s">
        <v>1789</v>
      </c>
      <c r="E397" s="123">
        <v>45459</v>
      </c>
      <c r="F397" s="109">
        <v>0.98750000000000004</v>
      </c>
      <c r="G397" s="26" t="s">
        <v>2388</v>
      </c>
      <c r="H397" s="124" t="s">
        <v>1904</v>
      </c>
      <c r="I397" s="124"/>
      <c r="J397" s="28" t="s">
        <v>2389</v>
      </c>
      <c r="K397" s="28">
        <v>30000</v>
      </c>
      <c r="L397" s="28">
        <v>970000</v>
      </c>
      <c r="M397" s="28" t="s">
        <v>20</v>
      </c>
      <c r="N397" s="28" t="s">
        <v>20</v>
      </c>
      <c r="O397" s="28" t="s">
        <v>20</v>
      </c>
      <c r="P397" s="28" t="s">
        <v>20</v>
      </c>
      <c r="Q397" s="28" t="s">
        <v>20</v>
      </c>
      <c r="R397" s="28" t="s">
        <v>20</v>
      </c>
    </row>
    <row r="398" spans="2:18" x14ac:dyDescent="0.25">
      <c r="B398" s="28">
        <v>58</v>
      </c>
      <c r="C398" s="28" t="s">
        <v>1789</v>
      </c>
      <c r="D398" s="28" t="s">
        <v>1789</v>
      </c>
      <c r="E398" s="123">
        <v>45460</v>
      </c>
      <c r="F398" s="109">
        <v>0.26666666666666666</v>
      </c>
      <c r="G398" s="26" t="s">
        <v>2330</v>
      </c>
      <c r="H398" s="124" t="s">
        <v>385</v>
      </c>
      <c r="I398" s="124"/>
      <c r="J398" s="28" t="s">
        <v>2551</v>
      </c>
      <c r="K398" s="28">
        <v>90000</v>
      </c>
      <c r="L398" s="28">
        <v>10000</v>
      </c>
      <c r="M398" s="28" t="s">
        <v>20</v>
      </c>
      <c r="N398" s="28" t="s">
        <v>20</v>
      </c>
      <c r="O398" s="28" t="s">
        <v>20</v>
      </c>
      <c r="P398" s="28" t="s">
        <v>20</v>
      </c>
      <c r="Q398" s="28" t="s">
        <v>20</v>
      </c>
      <c r="R398" s="28" t="s">
        <v>20</v>
      </c>
    </row>
    <row r="399" spans="2:18" x14ac:dyDescent="0.25">
      <c r="B399" s="28">
        <v>59</v>
      </c>
      <c r="C399" s="28" t="s">
        <v>1789</v>
      </c>
      <c r="D399" s="28" t="s">
        <v>1789</v>
      </c>
      <c r="E399" s="123">
        <v>45460</v>
      </c>
      <c r="F399" s="109">
        <v>0.28611111111111109</v>
      </c>
      <c r="G399" s="26" t="s">
        <v>2390</v>
      </c>
      <c r="H399" s="124" t="s">
        <v>2162</v>
      </c>
      <c r="I399" s="124"/>
      <c r="J399" s="28" t="s">
        <v>2180</v>
      </c>
      <c r="K399" s="28">
        <v>5000</v>
      </c>
      <c r="L399" s="28">
        <v>45000</v>
      </c>
      <c r="M399" s="28" t="s">
        <v>20</v>
      </c>
      <c r="N399" s="28" t="s">
        <v>20</v>
      </c>
      <c r="O399" s="28" t="s">
        <v>20</v>
      </c>
      <c r="P399" s="28" t="s">
        <v>20</v>
      </c>
      <c r="Q399" s="28" t="s">
        <v>20</v>
      </c>
      <c r="R399" s="28" t="s">
        <v>20</v>
      </c>
    </row>
    <row r="400" spans="2:18" x14ac:dyDescent="0.25">
      <c r="B400" s="28">
        <v>60</v>
      </c>
      <c r="C400" s="28" t="s">
        <v>1789</v>
      </c>
      <c r="D400" s="28" t="s">
        <v>1789</v>
      </c>
      <c r="E400" s="123">
        <v>45460</v>
      </c>
      <c r="F400" s="109">
        <v>0.49652777777777779</v>
      </c>
      <c r="G400" s="26" t="s">
        <v>2084</v>
      </c>
      <c r="H400" s="124" t="s">
        <v>2162</v>
      </c>
      <c r="I400" s="124"/>
      <c r="J400" s="28" t="s">
        <v>2165</v>
      </c>
      <c r="K400" s="28">
        <v>10000</v>
      </c>
      <c r="L400" s="28">
        <v>40000</v>
      </c>
      <c r="M400" s="28" t="s">
        <v>20</v>
      </c>
      <c r="N400" s="28" t="s">
        <v>20</v>
      </c>
      <c r="O400" s="28" t="s">
        <v>20</v>
      </c>
      <c r="P400" s="28" t="s">
        <v>20</v>
      </c>
      <c r="Q400" s="28" t="s">
        <v>20</v>
      </c>
      <c r="R400" s="28" t="s">
        <v>20</v>
      </c>
    </row>
    <row r="401" spans="2:18" x14ac:dyDescent="0.25">
      <c r="B401" s="28">
        <v>61</v>
      </c>
      <c r="C401" s="28" t="s">
        <v>1789</v>
      </c>
      <c r="D401" s="28" t="s">
        <v>1789</v>
      </c>
      <c r="E401" s="123">
        <v>45460</v>
      </c>
      <c r="F401" s="109">
        <v>0.72916666666666663</v>
      </c>
      <c r="G401" s="26" t="s">
        <v>2391</v>
      </c>
      <c r="H401" s="124" t="s">
        <v>2162</v>
      </c>
      <c r="I401" s="124"/>
      <c r="J401" s="28" t="s">
        <v>2373</v>
      </c>
      <c r="K401" s="28">
        <v>10000</v>
      </c>
      <c r="L401" s="28">
        <v>490000</v>
      </c>
      <c r="M401" s="28" t="s">
        <v>20</v>
      </c>
      <c r="N401" s="28" t="s">
        <v>20</v>
      </c>
      <c r="O401" s="28" t="s">
        <v>20</v>
      </c>
      <c r="P401" s="28" t="s">
        <v>20</v>
      </c>
      <c r="Q401" s="28" t="s">
        <v>20</v>
      </c>
      <c r="R401" s="28" t="s">
        <v>20</v>
      </c>
    </row>
    <row r="402" spans="2:18" x14ac:dyDescent="0.25">
      <c r="B402" s="28">
        <v>62</v>
      </c>
      <c r="C402" s="28" t="s">
        <v>1789</v>
      </c>
      <c r="D402" s="28" t="s">
        <v>1789</v>
      </c>
      <c r="E402" s="123">
        <v>45460</v>
      </c>
      <c r="F402" s="109">
        <v>0.8305555555555556</v>
      </c>
      <c r="G402" s="26" t="s">
        <v>2392</v>
      </c>
      <c r="H402" s="124" t="s">
        <v>406</v>
      </c>
      <c r="I402" s="124"/>
      <c r="J402" s="28" t="s">
        <v>2393</v>
      </c>
      <c r="K402" s="28">
        <v>200000</v>
      </c>
      <c r="L402" s="28">
        <v>9800000</v>
      </c>
      <c r="M402" s="28" t="s">
        <v>20</v>
      </c>
      <c r="N402" s="28" t="s">
        <v>20</v>
      </c>
      <c r="O402" s="28" t="s">
        <v>20</v>
      </c>
      <c r="P402" s="28" t="s">
        <v>20</v>
      </c>
      <c r="Q402" s="28" t="s">
        <v>20</v>
      </c>
      <c r="R402" s="28" t="s">
        <v>20</v>
      </c>
    </row>
    <row r="403" spans="2:18" x14ac:dyDescent="0.25">
      <c r="B403" s="28">
        <v>63</v>
      </c>
      <c r="C403" s="28" t="s">
        <v>1789</v>
      </c>
      <c r="D403" s="28" t="s">
        <v>1789</v>
      </c>
      <c r="E403" s="123">
        <v>45460</v>
      </c>
      <c r="F403" s="109">
        <v>0.92986111111111114</v>
      </c>
      <c r="G403" s="26" t="s">
        <v>2392</v>
      </c>
      <c r="H403" s="124" t="s">
        <v>2162</v>
      </c>
      <c r="I403" s="124"/>
      <c r="J403" s="28" t="s">
        <v>2394</v>
      </c>
      <c r="K403" s="28">
        <v>10000</v>
      </c>
      <c r="L403" s="28">
        <v>490000</v>
      </c>
      <c r="M403" s="28" t="s">
        <v>20</v>
      </c>
      <c r="N403" s="28" t="s">
        <v>20</v>
      </c>
      <c r="O403" s="28" t="s">
        <v>20</v>
      </c>
      <c r="P403" s="28" t="s">
        <v>20</v>
      </c>
      <c r="Q403" s="28" t="s">
        <v>20</v>
      </c>
      <c r="R403" s="28" t="s">
        <v>20</v>
      </c>
    </row>
    <row r="404" spans="2:18" x14ac:dyDescent="0.25">
      <c r="B404" s="28">
        <v>64</v>
      </c>
      <c r="C404" s="28" t="s">
        <v>1789</v>
      </c>
      <c r="D404" s="28" t="s">
        <v>1789</v>
      </c>
      <c r="E404" s="123">
        <v>45460</v>
      </c>
      <c r="F404" s="109">
        <v>0.95208333333333328</v>
      </c>
      <c r="G404" s="26" t="s">
        <v>2395</v>
      </c>
      <c r="H404" s="124" t="s">
        <v>385</v>
      </c>
      <c r="I404" s="124"/>
      <c r="J404" s="28" t="s">
        <v>480</v>
      </c>
      <c r="K404" s="28">
        <v>10000</v>
      </c>
      <c r="L404" s="28">
        <v>40000</v>
      </c>
      <c r="M404" s="28" t="s">
        <v>20</v>
      </c>
      <c r="N404" s="28" t="s">
        <v>20</v>
      </c>
      <c r="O404" s="28" t="s">
        <v>20</v>
      </c>
      <c r="P404" s="28" t="s">
        <v>20</v>
      </c>
      <c r="Q404" s="28" t="s">
        <v>20</v>
      </c>
      <c r="R404" s="28" t="s">
        <v>20</v>
      </c>
    </row>
    <row r="405" spans="2:18" x14ac:dyDescent="0.25">
      <c r="B405" s="28">
        <v>65</v>
      </c>
      <c r="C405" s="28" t="s">
        <v>1789</v>
      </c>
      <c r="D405" s="28" t="s">
        <v>1789</v>
      </c>
      <c r="E405" s="123">
        <v>45460</v>
      </c>
      <c r="F405" s="109">
        <v>0.96944444444444444</v>
      </c>
      <c r="G405" s="26" t="s">
        <v>2396</v>
      </c>
      <c r="H405" s="124" t="s">
        <v>385</v>
      </c>
      <c r="I405" s="124"/>
      <c r="J405" s="28" t="s">
        <v>2007</v>
      </c>
      <c r="K405" s="28">
        <v>0</v>
      </c>
      <c r="L405" s="28">
        <v>0</v>
      </c>
      <c r="M405" s="28" t="s">
        <v>20</v>
      </c>
      <c r="N405" s="28" t="s">
        <v>20</v>
      </c>
      <c r="O405" s="28" t="s">
        <v>20</v>
      </c>
      <c r="P405" s="28" t="s">
        <v>20</v>
      </c>
      <c r="Q405" s="28" t="s">
        <v>20</v>
      </c>
      <c r="R405" s="28" t="s">
        <v>20</v>
      </c>
    </row>
    <row r="406" spans="2:18" x14ac:dyDescent="0.25">
      <c r="B406" s="28">
        <v>66</v>
      </c>
      <c r="C406" s="28" t="s">
        <v>1789</v>
      </c>
      <c r="D406" s="28" t="s">
        <v>1789</v>
      </c>
      <c r="E406" s="123">
        <v>45460</v>
      </c>
      <c r="F406" s="109">
        <v>0.97638888888888886</v>
      </c>
      <c r="G406" s="26" t="s">
        <v>2397</v>
      </c>
      <c r="H406" s="124" t="s">
        <v>385</v>
      </c>
      <c r="I406" s="124"/>
      <c r="J406" s="28" t="s">
        <v>2007</v>
      </c>
      <c r="K406" s="28">
        <v>0</v>
      </c>
      <c r="L406" s="28">
        <v>0</v>
      </c>
      <c r="M406" s="28" t="s">
        <v>20</v>
      </c>
      <c r="N406" s="28" t="s">
        <v>20</v>
      </c>
      <c r="O406" s="28" t="s">
        <v>20</v>
      </c>
      <c r="P406" s="28" t="s">
        <v>20</v>
      </c>
      <c r="Q406" s="28" t="s">
        <v>20</v>
      </c>
      <c r="R406" s="28" t="s">
        <v>20</v>
      </c>
    </row>
    <row r="407" spans="2:18" x14ac:dyDescent="0.25">
      <c r="B407" s="28">
        <v>67</v>
      </c>
      <c r="C407" s="28" t="s">
        <v>1789</v>
      </c>
      <c r="D407" s="28" t="s">
        <v>1789</v>
      </c>
      <c r="E407" s="123">
        <v>45460</v>
      </c>
      <c r="F407" s="109">
        <v>0.98541666666666672</v>
      </c>
      <c r="G407" s="26" t="s">
        <v>2398</v>
      </c>
      <c r="H407" s="124" t="s">
        <v>385</v>
      </c>
      <c r="I407" s="124"/>
      <c r="J407" s="28" t="s">
        <v>480</v>
      </c>
      <c r="K407" s="28">
        <v>5000</v>
      </c>
      <c r="L407" s="28">
        <v>45000</v>
      </c>
      <c r="M407" s="28" t="s">
        <v>20</v>
      </c>
      <c r="N407" s="28" t="s">
        <v>20</v>
      </c>
      <c r="O407" s="28" t="s">
        <v>20</v>
      </c>
      <c r="P407" s="28" t="s">
        <v>20</v>
      </c>
      <c r="Q407" s="28" t="s">
        <v>20</v>
      </c>
      <c r="R407" s="28" t="s">
        <v>20</v>
      </c>
    </row>
    <row r="408" spans="2:18" x14ac:dyDescent="0.25">
      <c r="B408" s="28">
        <v>68</v>
      </c>
      <c r="C408" s="28" t="s">
        <v>1789</v>
      </c>
      <c r="D408" s="28" t="s">
        <v>1789</v>
      </c>
      <c r="E408" s="123">
        <v>45461</v>
      </c>
      <c r="F408" s="109">
        <v>0.13263888888888889</v>
      </c>
      <c r="G408" s="26" t="s">
        <v>2399</v>
      </c>
      <c r="H408" s="124" t="s">
        <v>385</v>
      </c>
      <c r="I408" s="124"/>
      <c r="J408" s="28" t="s">
        <v>2043</v>
      </c>
      <c r="K408" s="28">
        <v>80000</v>
      </c>
      <c r="L408" s="28">
        <v>1920000</v>
      </c>
      <c r="M408" s="28" t="s">
        <v>20</v>
      </c>
      <c r="N408" s="28" t="s">
        <v>20</v>
      </c>
      <c r="O408" s="28" t="s">
        <v>20</v>
      </c>
      <c r="P408" s="28" t="s">
        <v>20</v>
      </c>
      <c r="Q408" s="28" t="s">
        <v>20</v>
      </c>
      <c r="R408" s="28" t="s">
        <v>20</v>
      </c>
    </row>
    <row r="409" spans="2:18" x14ac:dyDescent="0.25">
      <c r="B409" s="28">
        <v>69</v>
      </c>
      <c r="C409" s="28" t="s">
        <v>1789</v>
      </c>
      <c r="D409" s="28" t="s">
        <v>1789</v>
      </c>
      <c r="E409" s="123">
        <v>45461</v>
      </c>
      <c r="F409" s="109">
        <v>0.4548611111111111</v>
      </c>
      <c r="G409" s="26" t="s">
        <v>2400</v>
      </c>
      <c r="H409" s="124" t="s">
        <v>2162</v>
      </c>
      <c r="I409" s="124"/>
      <c r="J409" s="28" t="s">
        <v>1994</v>
      </c>
      <c r="K409" s="28">
        <v>5000</v>
      </c>
      <c r="L409" s="28">
        <v>45000</v>
      </c>
      <c r="M409" s="28" t="s">
        <v>20</v>
      </c>
      <c r="N409" s="28" t="s">
        <v>20</v>
      </c>
      <c r="O409" s="28" t="s">
        <v>20</v>
      </c>
      <c r="P409" s="28" t="s">
        <v>20</v>
      </c>
      <c r="Q409" s="28" t="s">
        <v>20</v>
      </c>
      <c r="R409" s="28" t="s">
        <v>20</v>
      </c>
    </row>
    <row r="410" spans="2:18" x14ac:dyDescent="0.25">
      <c r="B410" s="28">
        <v>70</v>
      </c>
      <c r="C410" s="28" t="s">
        <v>1789</v>
      </c>
      <c r="D410" s="28" t="s">
        <v>1789</v>
      </c>
      <c r="E410" s="123">
        <v>45461</v>
      </c>
      <c r="F410" s="109">
        <v>0.46458333333333335</v>
      </c>
      <c r="G410" s="26" t="s">
        <v>2401</v>
      </c>
      <c r="H410" s="124" t="s">
        <v>1904</v>
      </c>
      <c r="I410" s="124"/>
      <c r="J410" s="28" t="s">
        <v>1992</v>
      </c>
      <c r="K410" s="28">
        <v>200000</v>
      </c>
      <c r="L410" s="28">
        <v>800000</v>
      </c>
      <c r="M410" s="28" t="s">
        <v>20</v>
      </c>
      <c r="N410" s="28" t="s">
        <v>20</v>
      </c>
      <c r="O410" s="28" t="s">
        <v>20</v>
      </c>
      <c r="P410" s="28" t="s">
        <v>20</v>
      </c>
      <c r="Q410" s="28" t="s">
        <v>20</v>
      </c>
      <c r="R410" s="28" t="s">
        <v>20</v>
      </c>
    </row>
    <row r="411" spans="2:18" x14ac:dyDescent="0.25">
      <c r="B411" s="28">
        <v>71</v>
      </c>
      <c r="C411" s="28" t="s">
        <v>1789</v>
      </c>
      <c r="D411" s="28" t="s">
        <v>1789</v>
      </c>
      <c r="E411" s="123">
        <v>45461</v>
      </c>
      <c r="F411" s="109">
        <v>0.67361111111111116</v>
      </c>
      <c r="G411" s="26" t="s">
        <v>2402</v>
      </c>
      <c r="H411" s="124" t="s">
        <v>20</v>
      </c>
      <c r="I411" s="124"/>
      <c r="J411" s="28" t="s">
        <v>20</v>
      </c>
      <c r="K411" s="28" t="s">
        <v>20</v>
      </c>
      <c r="L411" s="28" t="s">
        <v>20</v>
      </c>
      <c r="M411" s="28" t="s">
        <v>20</v>
      </c>
      <c r="N411" s="28" t="s">
        <v>20</v>
      </c>
      <c r="O411" s="28" t="s">
        <v>20</v>
      </c>
      <c r="P411" s="28" t="s">
        <v>20</v>
      </c>
      <c r="Q411" s="28" t="s">
        <v>20</v>
      </c>
      <c r="R411" s="28" t="s">
        <v>20</v>
      </c>
    </row>
    <row r="412" spans="2:18" ht="39" x14ac:dyDescent="0.25">
      <c r="B412" s="28">
        <v>72</v>
      </c>
      <c r="C412" s="28" t="s">
        <v>1789</v>
      </c>
      <c r="D412" s="28" t="s">
        <v>1789</v>
      </c>
      <c r="E412" s="123">
        <v>45461</v>
      </c>
      <c r="F412" s="109">
        <v>0.81527777777777777</v>
      </c>
      <c r="G412" s="26" t="s">
        <v>2403</v>
      </c>
      <c r="H412" s="124" t="s">
        <v>1904</v>
      </c>
      <c r="I412" s="124"/>
      <c r="J412" s="28" t="s">
        <v>1994</v>
      </c>
      <c r="K412" s="28">
        <v>5000</v>
      </c>
      <c r="L412" s="28">
        <v>45000</v>
      </c>
      <c r="M412" s="28" t="s">
        <v>20</v>
      </c>
      <c r="N412" s="28" t="s">
        <v>20</v>
      </c>
      <c r="O412" s="28" t="s">
        <v>20</v>
      </c>
      <c r="P412" s="28" t="s">
        <v>20</v>
      </c>
      <c r="Q412" s="28" t="s">
        <v>20</v>
      </c>
      <c r="R412" s="28" t="s">
        <v>20</v>
      </c>
    </row>
    <row r="413" spans="2:18" ht="39" x14ac:dyDescent="0.25">
      <c r="B413" s="28">
        <v>73</v>
      </c>
      <c r="C413" s="28" t="s">
        <v>1789</v>
      </c>
      <c r="D413" s="28" t="s">
        <v>1789</v>
      </c>
      <c r="E413" s="123">
        <v>45462</v>
      </c>
      <c r="F413" s="109">
        <v>0.27569444444444446</v>
      </c>
      <c r="G413" s="26" t="s">
        <v>2404</v>
      </c>
      <c r="H413" s="124" t="s">
        <v>385</v>
      </c>
      <c r="I413" s="124"/>
      <c r="J413" s="28" t="s">
        <v>480</v>
      </c>
      <c r="K413" s="28">
        <v>5000</v>
      </c>
      <c r="L413" s="28">
        <v>45000</v>
      </c>
      <c r="M413" s="28" t="s">
        <v>20</v>
      </c>
      <c r="N413" s="28" t="s">
        <v>20</v>
      </c>
      <c r="O413" s="28" t="s">
        <v>20</v>
      </c>
      <c r="P413" s="28" t="s">
        <v>20</v>
      </c>
      <c r="Q413" s="28" t="s">
        <v>20</v>
      </c>
      <c r="R413" s="28" t="s">
        <v>20</v>
      </c>
    </row>
    <row r="414" spans="2:18" x14ac:dyDescent="0.25">
      <c r="B414" s="28">
        <v>74</v>
      </c>
      <c r="C414" s="28" t="s">
        <v>1789</v>
      </c>
      <c r="D414" s="28" t="s">
        <v>1789</v>
      </c>
      <c r="E414" s="123">
        <v>45462</v>
      </c>
      <c r="F414" s="109">
        <v>0.4201388888888889</v>
      </c>
      <c r="G414" s="26" t="s">
        <v>2405</v>
      </c>
      <c r="H414" s="124" t="s">
        <v>2406</v>
      </c>
      <c r="I414" s="124"/>
      <c r="J414" s="28" t="s">
        <v>2007</v>
      </c>
      <c r="K414" s="28" t="s">
        <v>20</v>
      </c>
      <c r="L414" s="28" t="s">
        <v>20</v>
      </c>
      <c r="M414" s="28" t="s">
        <v>20</v>
      </c>
      <c r="N414" s="28" t="s">
        <v>20</v>
      </c>
      <c r="O414" s="28" t="s">
        <v>20</v>
      </c>
      <c r="P414" s="28" t="s">
        <v>20</v>
      </c>
      <c r="Q414" s="28" t="s">
        <v>20</v>
      </c>
      <c r="R414" s="28" t="s">
        <v>20</v>
      </c>
    </row>
    <row r="415" spans="2:18" x14ac:dyDescent="0.25">
      <c r="B415" s="28">
        <v>75</v>
      </c>
      <c r="C415" s="28" t="s">
        <v>1789</v>
      </c>
      <c r="D415" s="28" t="s">
        <v>1789</v>
      </c>
      <c r="E415" s="123">
        <v>45462</v>
      </c>
      <c r="F415" s="109">
        <v>0.49375000000000002</v>
      </c>
      <c r="G415" s="26" t="s">
        <v>2407</v>
      </c>
      <c r="H415" s="124" t="s">
        <v>385</v>
      </c>
      <c r="I415" s="124"/>
      <c r="J415" s="26" t="s">
        <v>2047</v>
      </c>
      <c r="K415" s="28">
        <v>50000</v>
      </c>
      <c r="L415" s="28">
        <v>450000</v>
      </c>
      <c r="M415" s="28" t="s">
        <v>20</v>
      </c>
      <c r="N415" s="28" t="s">
        <v>20</v>
      </c>
      <c r="O415" s="28" t="s">
        <v>20</v>
      </c>
      <c r="P415" s="28" t="s">
        <v>20</v>
      </c>
      <c r="Q415" s="28" t="s">
        <v>20</v>
      </c>
      <c r="R415" s="28" t="s">
        <v>20</v>
      </c>
    </row>
    <row r="416" spans="2:18" x14ac:dyDescent="0.25">
      <c r="B416" s="28">
        <v>76</v>
      </c>
      <c r="C416" s="28" t="s">
        <v>1789</v>
      </c>
      <c r="D416" s="28" t="s">
        <v>1789</v>
      </c>
      <c r="E416" s="123">
        <v>45462</v>
      </c>
      <c r="F416" s="109">
        <v>0.77083333333333337</v>
      </c>
      <c r="G416" s="26" t="s">
        <v>2408</v>
      </c>
      <c r="H416" s="124" t="s">
        <v>20</v>
      </c>
      <c r="I416" s="124"/>
      <c r="J416" s="28" t="s">
        <v>2007</v>
      </c>
      <c r="K416" s="28" t="s">
        <v>20</v>
      </c>
      <c r="L416" s="28" t="s">
        <v>20</v>
      </c>
      <c r="M416" s="28" t="s">
        <v>20</v>
      </c>
      <c r="N416" s="28" t="s">
        <v>20</v>
      </c>
      <c r="O416" s="28" t="s">
        <v>20</v>
      </c>
      <c r="P416" s="28" t="s">
        <v>20</v>
      </c>
      <c r="Q416" s="28" t="s">
        <v>20</v>
      </c>
      <c r="R416" s="28" t="s">
        <v>20</v>
      </c>
    </row>
    <row r="417" spans="2:18" x14ac:dyDescent="0.25">
      <c r="B417" s="28">
        <v>77</v>
      </c>
      <c r="C417" s="28" t="s">
        <v>1789</v>
      </c>
      <c r="D417" s="28" t="s">
        <v>1789</v>
      </c>
      <c r="E417" s="123">
        <v>45469</v>
      </c>
      <c r="F417" s="109">
        <v>0.19097222222222221</v>
      </c>
      <c r="G417" s="26" t="s">
        <v>2409</v>
      </c>
      <c r="H417" s="124" t="s">
        <v>385</v>
      </c>
      <c r="I417" s="124"/>
      <c r="J417" s="28" t="s">
        <v>1947</v>
      </c>
      <c r="K417" s="28">
        <v>800000</v>
      </c>
      <c r="L417" s="28">
        <v>9200000</v>
      </c>
      <c r="M417" s="28" t="s">
        <v>20</v>
      </c>
      <c r="N417" s="28" t="s">
        <v>20</v>
      </c>
      <c r="O417" s="28" t="s">
        <v>20</v>
      </c>
      <c r="P417" s="28" t="s">
        <v>20</v>
      </c>
      <c r="Q417" s="28" t="s">
        <v>20</v>
      </c>
      <c r="R417" s="28" t="s">
        <v>20</v>
      </c>
    </row>
    <row r="418" spans="2:18" x14ac:dyDescent="0.25">
      <c r="B418" s="28">
        <v>78</v>
      </c>
      <c r="C418" s="28" t="s">
        <v>1789</v>
      </c>
      <c r="D418" s="28" t="s">
        <v>1789</v>
      </c>
      <c r="E418" s="123">
        <v>45463</v>
      </c>
      <c r="F418" s="109">
        <v>0.86944444444444446</v>
      </c>
      <c r="G418" s="26" t="s">
        <v>2410</v>
      </c>
      <c r="H418" s="124" t="s">
        <v>2200</v>
      </c>
      <c r="I418" s="124"/>
      <c r="J418" s="26" t="s">
        <v>2411</v>
      </c>
      <c r="K418" s="28">
        <v>0</v>
      </c>
      <c r="L418" s="28">
        <v>0</v>
      </c>
      <c r="M418" s="28" t="s">
        <v>20</v>
      </c>
      <c r="N418" s="28" t="s">
        <v>20</v>
      </c>
      <c r="O418" s="28" t="s">
        <v>20</v>
      </c>
      <c r="P418" s="28" t="s">
        <v>20</v>
      </c>
      <c r="Q418" s="28" t="s">
        <v>20</v>
      </c>
      <c r="R418" s="28" t="s">
        <v>20</v>
      </c>
    </row>
    <row r="419" spans="2:18" x14ac:dyDescent="0.25">
      <c r="B419" s="28">
        <v>79</v>
      </c>
      <c r="C419" s="28" t="s">
        <v>1789</v>
      </c>
      <c r="D419" s="28" t="s">
        <v>1789</v>
      </c>
      <c r="E419" s="123">
        <v>45464</v>
      </c>
      <c r="F419" s="109">
        <v>0.47083333333333333</v>
      </c>
      <c r="G419" s="26" t="s">
        <v>2412</v>
      </c>
      <c r="H419" s="124" t="s">
        <v>2162</v>
      </c>
      <c r="I419" s="124"/>
      <c r="J419" s="28" t="s">
        <v>2160</v>
      </c>
      <c r="K419" s="28">
        <v>10000</v>
      </c>
      <c r="L419" s="28">
        <v>90000</v>
      </c>
      <c r="M419" s="28" t="s">
        <v>20</v>
      </c>
      <c r="N419" s="28" t="s">
        <v>20</v>
      </c>
      <c r="O419" s="28" t="s">
        <v>20</v>
      </c>
      <c r="P419" s="28" t="s">
        <v>20</v>
      </c>
      <c r="Q419" s="28" t="s">
        <v>20</v>
      </c>
      <c r="R419" s="28" t="s">
        <v>20</v>
      </c>
    </row>
    <row r="420" spans="2:18" ht="39" x14ac:dyDescent="0.25">
      <c r="B420" s="28">
        <v>80</v>
      </c>
      <c r="C420" s="28" t="s">
        <v>1789</v>
      </c>
      <c r="D420" s="28" t="s">
        <v>1789</v>
      </c>
      <c r="E420" s="123">
        <v>45466</v>
      </c>
      <c r="F420" s="109">
        <v>0.24236111111111111</v>
      </c>
      <c r="G420" s="26" t="s">
        <v>2413</v>
      </c>
      <c r="H420" s="124" t="s">
        <v>2414</v>
      </c>
      <c r="I420" s="124"/>
      <c r="J420" s="28" t="s">
        <v>2193</v>
      </c>
      <c r="K420" s="28">
        <v>20000</v>
      </c>
      <c r="L420" s="28">
        <v>980000</v>
      </c>
      <c r="M420" s="28" t="s">
        <v>20</v>
      </c>
      <c r="N420" s="28" t="s">
        <v>20</v>
      </c>
      <c r="O420" s="28" t="s">
        <v>20</v>
      </c>
      <c r="P420" s="28" t="s">
        <v>20</v>
      </c>
      <c r="Q420" s="28" t="s">
        <v>20</v>
      </c>
      <c r="R420" s="28" t="s">
        <v>20</v>
      </c>
    </row>
    <row r="421" spans="2:18" x14ac:dyDescent="0.25">
      <c r="B421" s="28">
        <v>81</v>
      </c>
      <c r="C421" s="28" t="s">
        <v>1789</v>
      </c>
      <c r="D421" s="28" t="s">
        <v>1789</v>
      </c>
      <c r="E421" s="123">
        <v>45466</v>
      </c>
      <c r="F421" s="109">
        <v>0.52361111111111114</v>
      </c>
      <c r="G421" s="26" t="s">
        <v>2415</v>
      </c>
      <c r="H421" s="124" t="s">
        <v>406</v>
      </c>
      <c r="I421" s="124"/>
      <c r="J421" s="28" t="s">
        <v>2180</v>
      </c>
      <c r="K421" s="28">
        <v>50000</v>
      </c>
      <c r="L421" s="28">
        <v>950000</v>
      </c>
      <c r="M421" s="28" t="s">
        <v>20</v>
      </c>
      <c r="N421" s="28" t="s">
        <v>20</v>
      </c>
      <c r="O421" s="28" t="s">
        <v>20</v>
      </c>
      <c r="P421" s="28" t="s">
        <v>20</v>
      </c>
      <c r="Q421" s="28" t="s">
        <v>20</v>
      </c>
      <c r="R421" s="28" t="s">
        <v>20</v>
      </c>
    </row>
    <row r="422" spans="2:18" x14ac:dyDescent="0.25">
      <c r="B422" s="28">
        <v>82</v>
      </c>
      <c r="C422" s="28" t="s">
        <v>1789</v>
      </c>
      <c r="D422" s="28" t="s">
        <v>1789</v>
      </c>
      <c r="E422" s="123">
        <v>45467</v>
      </c>
      <c r="F422" s="109">
        <v>0.34027777777777779</v>
      </c>
      <c r="G422" s="26" t="s">
        <v>2416</v>
      </c>
      <c r="H422" s="124" t="s">
        <v>385</v>
      </c>
      <c r="I422" s="124"/>
      <c r="J422" s="28" t="s">
        <v>2007</v>
      </c>
      <c r="K422" s="28">
        <v>0</v>
      </c>
      <c r="L422" s="28">
        <v>0</v>
      </c>
      <c r="M422" s="28" t="s">
        <v>20</v>
      </c>
      <c r="N422" s="28" t="s">
        <v>20</v>
      </c>
      <c r="O422" s="28" t="s">
        <v>20</v>
      </c>
      <c r="P422" s="28" t="s">
        <v>20</v>
      </c>
      <c r="Q422" s="28" t="s">
        <v>20</v>
      </c>
      <c r="R422" s="28" t="s">
        <v>20</v>
      </c>
    </row>
    <row r="423" spans="2:18" x14ac:dyDescent="0.25">
      <c r="B423" s="28">
        <v>83</v>
      </c>
      <c r="C423" s="28" t="s">
        <v>1789</v>
      </c>
      <c r="D423" s="28" t="s">
        <v>1789</v>
      </c>
      <c r="E423" s="123">
        <v>45467</v>
      </c>
      <c r="F423" s="109">
        <v>0.50624999999999998</v>
      </c>
      <c r="G423" s="26" t="s">
        <v>2417</v>
      </c>
      <c r="H423" s="124" t="s">
        <v>406</v>
      </c>
      <c r="I423" s="124"/>
      <c r="J423" s="28" t="s">
        <v>2002</v>
      </c>
      <c r="K423" s="28">
        <v>4800000</v>
      </c>
      <c r="L423" s="28">
        <v>20000</v>
      </c>
      <c r="M423" s="28" t="s">
        <v>20</v>
      </c>
      <c r="N423" s="28" t="s">
        <v>20</v>
      </c>
      <c r="O423" s="28" t="s">
        <v>20</v>
      </c>
      <c r="P423" s="28" t="s">
        <v>20</v>
      </c>
      <c r="Q423" s="28" t="s">
        <v>20</v>
      </c>
      <c r="R423" s="28" t="s">
        <v>20</v>
      </c>
    </row>
    <row r="424" spans="2:18" x14ac:dyDescent="0.25">
      <c r="B424" s="28">
        <v>84</v>
      </c>
      <c r="C424" s="28" t="s">
        <v>1789</v>
      </c>
      <c r="D424" s="28" t="s">
        <v>1789</v>
      </c>
      <c r="E424" s="123">
        <v>45468</v>
      </c>
      <c r="F424" s="109">
        <v>0.90138888888888891</v>
      </c>
      <c r="G424" s="26" t="s">
        <v>2418</v>
      </c>
      <c r="H424" s="124" t="s">
        <v>385</v>
      </c>
      <c r="I424" s="124"/>
      <c r="J424" s="28" t="s">
        <v>2419</v>
      </c>
      <c r="K424" s="28">
        <v>50000</v>
      </c>
      <c r="L424" s="28">
        <v>45000</v>
      </c>
      <c r="M424" s="28" t="s">
        <v>20</v>
      </c>
      <c r="N424" s="28" t="s">
        <v>20</v>
      </c>
      <c r="O424" s="28" t="s">
        <v>20</v>
      </c>
      <c r="P424" s="28" t="s">
        <v>20</v>
      </c>
      <c r="Q424" s="28" t="s">
        <v>20</v>
      </c>
      <c r="R424" s="28" t="s">
        <v>20</v>
      </c>
    </row>
    <row r="425" spans="2:18" ht="39" x14ac:dyDescent="0.25">
      <c r="B425" s="28">
        <v>85</v>
      </c>
      <c r="C425" s="28" t="s">
        <v>1789</v>
      </c>
      <c r="D425" s="28" t="s">
        <v>1789</v>
      </c>
      <c r="E425" s="123">
        <v>45471</v>
      </c>
      <c r="F425" s="109">
        <v>3.4027777777777775E-2</v>
      </c>
      <c r="G425" s="26" t="s">
        <v>2420</v>
      </c>
      <c r="H425" s="124" t="s">
        <v>2007</v>
      </c>
      <c r="I425" s="124"/>
      <c r="J425" s="28" t="s">
        <v>2421</v>
      </c>
      <c r="K425" s="28">
        <v>5000</v>
      </c>
      <c r="L425" s="28">
        <v>45000</v>
      </c>
      <c r="M425" s="28" t="s">
        <v>20</v>
      </c>
      <c r="N425" s="28" t="s">
        <v>20</v>
      </c>
      <c r="O425" s="28" t="s">
        <v>20</v>
      </c>
      <c r="P425" s="28" t="s">
        <v>20</v>
      </c>
      <c r="Q425" s="28" t="s">
        <v>20</v>
      </c>
      <c r="R425" s="28" t="s">
        <v>20</v>
      </c>
    </row>
    <row r="426" spans="2:18" x14ac:dyDescent="0.25">
      <c r="B426" s="28">
        <v>86</v>
      </c>
      <c r="C426" s="28" t="s">
        <v>1789</v>
      </c>
      <c r="D426" s="28" t="s">
        <v>1789</v>
      </c>
      <c r="E426" s="123">
        <v>45472</v>
      </c>
      <c r="F426" s="109">
        <v>0.4284722222222222</v>
      </c>
      <c r="G426" s="26" t="s">
        <v>2422</v>
      </c>
      <c r="H426" s="124" t="s">
        <v>2423</v>
      </c>
      <c r="I426" s="124"/>
      <c r="J426" s="28" t="s">
        <v>2165</v>
      </c>
      <c r="K426" s="28">
        <v>5000</v>
      </c>
      <c r="L426" s="28">
        <v>495000</v>
      </c>
      <c r="M426" s="28" t="s">
        <v>20</v>
      </c>
      <c r="N426" s="28" t="s">
        <v>20</v>
      </c>
      <c r="O426" s="28" t="s">
        <v>20</v>
      </c>
      <c r="P426" s="28" t="s">
        <v>20</v>
      </c>
      <c r="Q426" s="28" t="s">
        <v>20</v>
      </c>
      <c r="R426" s="28" t="s">
        <v>20</v>
      </c>
    </row>
    <row r="427" spans="2:18" ht="39" x14ac:dyDescent="0.25">
      <c r="B427" s="26">
        <v>87</v>
      </c>
      <c r="C427" s="28" t="s">
        <v>1789</v>
      </c>
      <c r="D427" s="28" t="s">
        <v>1789</v>
      </c>
      <c r="E427" s="110">
        <v>45472</v>
      </c>
      <c r="F427" s="109">
        <v>0.85972222222222228</v>
      </c>
      <c r="G427" s="26" t="s">
        <v>2424</v>
      </c>
      <c r="H427" s="124" t="s">
        <v>2200</v>
      </c>
      <c r="I427" s="124"/>
      <c r="J427" s="26" t="s">
        <v>2425</v>
      </c>
      <c r="K427" s="28">
        <v>10000</v>
      </c>
      <c r="L427" s="28">
        <v>2590000</v>
      </c>
      <c r="M427" s="28" t="s">
        <v>20</v>
      </c>
      <c r="N427" s="28" t="s">
        <v>20</v>
      </c>
      <c r="O427" s="28" t="s">
        <v>20</v>
      </c>
      <c r="P427" s="28" t="s">
        <v>20</v>
      </c>
      <c r="Q427" s="28" t="s">
        <v>20</v>
      </c>
      <c r="R427" s="28" t="s">
        <v>20</v>
      </c>
    </row>
    <row r="428" spans="2:18" ht="39" x14ac:dyDescent="0.25">
      <c r="B428" s="28">
        <v>88</v>
      </c>
      <c r="C428" s="28" t="s">
        <v>1789</v>
      </c>
      <c r="D428" s="28" t="s">
        <v>1789</v>
      </c>
      <c r="E428" s="123">
        <v>45473</v>
      </c>
      <c r="F428" s="109">
        <v>0.97499999999999998</v>
      </c>
      <c r="G428" s="26" t="s">
        <v>2426</v>
      </c>
      <c r="H428" s="124" t="s">
        <v>2007</v>
      </c>
      <c r="I428" s="124"/>
      <c r="J428" s="26" t="s">
        <v>2186</v>
      </c>
      <c r="K428" s="28">
        <v>0</v>
      </c>
      <c r="L428" s="28">
        <v>0</v>
      </c>
      <c r="M428" s="28" t="s">
        <v>20</v>
      </c>
      <c r="N428" s="28" t="s">
        <v>20</v>
      </c>
      <c r="O428" s="28" t="s">
        <v>20</v>
      </c>
      <c r="P428" s="28" t="s">
        <v>20</v>
      </c>
      <c r="Q428" s="28" t="s">
        <v>20</v>
      </c>
      <c r="R428" s="28" t="s">
        <v>20</v>
      </c>
    </row>
    <row r="429" spans="2:18" x14ac:dyDescent="0.25">
      <c r="B429" s="28">
        <v>1</v>
      </c>
      <c r="C429" s="28" t="s">
        <v>1789</v>
      </c>
      <c r="D429" s="28" t="s">
        <v>1789</v>
      </c>
      <c r="E429" s="108">
        <v>45444</v>
      </c>
      <c r="F429" s="109">
        <v>0.42708333333333331</v>
      </c>
      <c r="G429" s="28" t="s">
        <v>2091</v>
      </c>
      <c r="H429" s="124" t="s">
        <v>1904</v>
      </c>
      <c r="I429" s="124"/>
      <c r="J429" s="28" t="s">
        <v>2443</v>
      </c>
      <c r="K429" s="28">
        <v>100000</v>
      </c>
      <c r="L429" s="28">
        <v>1900000</v>
      </c>
      <c r="M429" s="28" t="s">
        <v>20</v>
      </c>
      <c r="N429" s="28" t="s">
        <v>20</v>
      </c>
      <c r="O429" s="28" t="s">
        <v>20</v>
      </c>
      <c r="P429" s="28" t="s">
        <v>20</v>
      </c>
      <c r="Q429" s="28" t="s">
        <v>20</v>
      </c>
      <c r="R429" s="28" t="s">
        <v>20</v>
      </c>
    </row>
    <row r="430" spans="2:18" x14ac:dyDescent="0.25">
      <c r="B430" s="28">
        <v>2</v>
      </c>
      <c r="C430" s="28" t="s">
        <v>1789</v>
      </c>
      <c r="D430" s="28" t="s">
        <v>1789</v>
      </c>
      <c r="E430" s="108">
        <v>45444</v>
      </c>
      <c r="F430" s="109">
        <v>0.54097222222222219</v>
      </c>
      <c r="G430" s="28" t="s">
        <v>2263</v>
      </c>
      <c r="H430" s="124" t="s">
        <v>1904</v>
      </c>
      <c r="I430" s="124"/>
      <c r="J430" s="28" t="s">
        <v>2443</v>
      </c>
      <c r="K430" s="28">
        <v>200000</v>
      </c>
      <c r="L430" s="28">
        <v>300000</v>
      </c>
      <c r="M430" s="28" t="s">
        <v>20</v>
      </c>
      <c r="N430" s="28" t="s">
        <v>20</v>
      </c>
      <c r="O430" s="28" t="s">
        <v>20</v>
      </c>
      <c r="P430" s="28" t="s">
        <v>20</v>
      </c>
      <c r="Q430" s="28" t="s">
        <v>20</v>
      </c>
      <c r="R430" s="28" t="s">
        <v>20</v>
      </c>
    </row>
    <row r="431" spans="2:18" x14ac:dyDescent="0.25">
      <c r="B431" s="28">
        <v>3</v>
      </c>
      <c r="C431" s="28" t="s">
        <v>1789</v>
      </c>
      <c r="D431" s="28" t="s">
        <v>1789</v>
      </c>
      <c r="E431" s="28" t="s">
        <v>1543</v>
      </c>
      <c r="F431" s="109">
        <v>0.56597222222222221</v>
      </c>
      <c r="G431" s="28" t="s">
        <v>2427</v>
      </c>
      <c r="H431" s="124" t="s">
        <v>1904</v>
      </c>
      <c r="I431" s="124"/>
      <c r="J431" s="28" t="s">
        <v>2443</v>
      </c>
      <c r="K431" s="28">
        <v>100000</v>
      </c>
      <c r="L431" s="28">
        <v>300000</v>
      </c>
      <c r="M431" s="28" t="s">
        <v>20</v>
      </c>
      <c r="N431" s="28" t="s">
        <v>20</v>
      </c>
      <c r="O431" s="28" t="s">
        <v>20</v>
      </c>
      <c r="P431" s="28" t="s">
        <v>20</v>
      </c>
      <c r="Q431" s="28" t="s">
        <v>20</v>
      </c>
      <c r="R431" s="28" t="s">
        <v>20</v>
      </c>
    </row>
    <row r="432" spans="2:18" x14ac:dyDescent="0.25">
      <c r="B432" s="28">
        <v>4</v>
      </c>
      <c r="C432" s="28" t="s">
        <v>1789</v>
      </c>
      <c r="D432" s="28" t="s">
        <v>1789</v>
      </c>
      <c r="E432" s="108">
        <v>45444</v>
      </c>
      <c r="F432" s="109">
        <v>0.61805555555555558</v>
      </c>
      <c r="G432" s="28" t="s">
        <v>2205</v>
      </c>
      <c r="H432" s="124" t="s">
        <v>1904</v>
      </c>
      <c r="I432" s="124"/>
      <c r="J432" s="28" t="s">
        <v>2443</v>
      </c>
      <c r="K432" s="28">
        <v>100000</v>
      </c>
      <c r="L432" s="28">
        <v>900000</v>
      </c>
      <c r="M432" s="28" t="s">
        <v>20</v>
      </c>
      <c r="N432" s="28" t="s">
        <v>20</v>
      </c>
      <c r="O432" s="28" t="s">
        <v>20</v>
      </c>
      <c r="P432" s="28" t="s">
        <v>20</v>
      </c>
      <c r="Q432" s="28" t="s">
        <v>20</v>
      </c>
      <c r="R432" s="28" t="s">
        <v>20</v>
      </c>
    </row>
    <row r="433" spans="2:18" x14ac:dyDescent="0.25">
      <c r="B433" s="28">
        <v>5</v>
      </c>
      <c r="C433" s="28" t="s">
        <v>1789</v>
      </c>
      <c r="D433" s="28" t="s">
        <v>1789</v>
      </c>
      <c r="E433" s="108">
        <v>45444</v>
      </c>
      <c r="F433" s="109">
        <v>0.64097222222222228</v>
      </c>
      <c r="G433" s="28" t="s">
        <v>2428</v>
      </c>
      <c r="H433" s="124" t="s">
        <v>1904</v>
      </c>
      <c r="I433" s="124"/>
      <c r="J433" s="28" t="s">
        <v>2443</v>
      </c>
      <c r="K433" s="28">
        <v>50000</v>
      </c>
      <c r="L433" s="28">
        <v>1950000</v>
      </c>
      <c r="M433" s="28" t="s">
        <v>20</v>
      </c>
      <c r="N433" s="28" t="s">
        <v>20</v>
      </c>
      <c r="O433" s="28" t="s">
        <v>20</v>
      </c>
      <c r="P433" s="28" t="s">
        <v>20</v>
      </c>
      <c r="Q433" s="28" t="s">
        <v>20</v>
      </c>
      <c r="R433" s="28" t="s">
        <v>20</v>
      </c>
    </row>
    <row r="434" spans="2:18" x14ac:dyDescent="0.25">
      <c r="B434" s="28">
        <v>6</v>
      </c>
      <c r="C434" s="28" t="s">
        <v>1789</v>
      </c>
      <c r="D434" s="28" t="s">
        <v>1789</v>
      </c>
      <c r="E434" s="108">
        <v>45444</v>
      </c>
      <c r="F434" s="109">
        <v>0.68819444444444444</v>
      </c>
      <c r="G434" s="28" t="s">
        <v>2429</v>
      </c>
      <c r="H434" s="124" t="s">
        <v>1904</v>
      </c>
      <c r="I434" s="124"/>
      <c r="J434" s="28" t="s">
        <v>2443</v>
      </c>
      <c r="K434" s="28">
        <v>50000</v>
      </c>
      <c r="L434" s="28">
        <v>150000</v>
      </c>
      <c r="M434" s="28" t="s">
        <v>20</v>
      </c>
      <c r="N434" s="28" t="s">
        <v>20</v>
      </c>
      <c r="O434" s="28" t="s">
        <v>20</v>
      </c>
      <c r="P434" s="28" t="s">
        <v>20</v>
      </c>
      <c r="Q434" s="28" t="s">
        <v>20</v>
      </c>
      <c r="R434" s="28" t="s">
        <v>20</v>
      </c>
    </row>
    <row r="435" spans="2:18" x14ac:dyDescent="0.25">
      <c r="B435" s="28">
        <v>7</v>
      </c>
      <c r="C435" s="28" t="s">
        <v>1789</v>
      </c>
      <c r="D435" s="28" t="s">
        <v>1789</v>
      </c>
      <c r="E435" s="108">
        <v>45444</v>
      </c>
      <c r="F435" s="109">
        <v>0.74652777777777779</v>
      </c>
      <c r="G435" s="28" t="s">
        <v>2430</v>
      </c>
      <c r="H435" s="124" t="s">
        <v>1904</v>
      </c>
      <c r="I435" s="124"/>
      <c r="J435" s="28" t="s">
        <v>2443</v>
      </c>
      <c r="K435" s="28">
        <v>200000</v>
      </c>
      <c r="L435" s="28">
        <v>100000</v>
      </c>
      <c r="M435" s="28" t="s">
        <v>20</v>
      </c>
      <c r="N435" s="28" t="s">
        <v>20</v>
      </c>
      <c r="O435" s="28" t="s">
        <v>20</v>
      </c>
      <c r="P435" s="28" t="s">
        <v>20</v>
      </c>
      <c r="Q435" s="28" t="s">
        <v>20</v>
      </c>
      <c r="R435" s="28" t="s">
        <v>20</v>
      </c>
    </row>
    <row r="436" spans="2:18" x14ac:dyDescent="0.25">
      <c r="B436" s="28">
        <v>8</v>
      </c>
      <c r="C436" s="28" t="s">
        <v>1789</v>
      </c>
      <c r="D436" s="28" t="s">
        <v>1789</v>
      </c>
      <c r="E436" s="108">
        <v>45445</v>
      </c>
      <c r="F436" s="109">
        <v>0.53194444444444444</v>
      </c>
      <c r="G436" s="28" t="s">
        <v>2431</v>
      </c>
      <c r="H436" s="124" t="s">
        <v>1904</v>
      </c>
      <c r="I436" s="124"/>
      <c r="J436" s="28" t="s">
        <v>2443</v>
      </c>
      <c r="K436" s="28">
        <v>200000</v>
      </c>
      <c r="L436" s="28">
        <v>1800000</v>
      </c>
      <c r="M436" s="28" t="s">
        <v>20</v>
      </c>
      <c r="N436" s="28" t="s">
        <v>20</v>
      </c>
      <c r="O436" s="28" t="s">
        <v>20</v>
      </c>
      <c r="P436" s="28" t="s">
        <v>20</v>
      </c>
      <c r="Q436" s="28" t="s">
        <v>20</v>
      </c>
      <c r="R436" s="28" t="s">
        <v>20</v>
      </c>
    </row>
    <row r="437" spans="2:18" x14ac:dyDescent="0.25">
      <c r="B437" s="28">
        <v>9</v>
      </c>
      <c r="C437" s="28" t="s">
        <v>1789</v>
      </c>
      <c r="D437" s="28" t="s">
        <v>1789</v>
      </c>
      <c r="E437" s="108">
        <v>45446</v>
      </c>
      <c r="F437" s="109">
        <v>0.56458333333333333</v>
      </c>
      <c r="G437" s="28" t="s">
        <v>2432</v>
      </c>
      <c r="H437" s="124" t="s">
        <v>1904</v>
      </c>
      <c r="I437" s="124"/>
      <c r="J437" s="28" t="s">
        <v>2443</v>
      </c>
      <c r="K437" s="28">
        <v>500000</v>
      </c>
      <c r="L437" s="28">
        <v>1500000</v>
      </c>
      <c r="M437" s="28" t="s">
        <v>20</v>
      </c>
      <c r="N437" s="28" t="s">
        <v>20</v>
      </c>
      <c r="O437" s="28" t="s">
        <v>20</v>
      </c>
      <c r="P437" s="28" t="s">
        <v>20</v>
      </c>
      <c r="Q437" s="28" t="s">
        <v>20</v>
      </c>
      <c r="R437" s="28" t="s">
        <v>20</v>
      </c>
    </row>
    <row r="438" spans="2:18" x14ac:dyDescent="0.25">
      <c r="B438" s="28">
        <v>10</v>
      </c>
      <c r="C438" s="28" t="s">
        <v>1789</v>
      </c>
      <c r="D438" s="28" t="s">
        <v>1789</v>
      </c>
      <c r="E438" s="108">
        <v>45449</v>
      </c>
      <c r="F438" s="109">
        <v>0.52430555555555558</v>
      </c>
      <c r="G438" s="28" t="s">
        <v>2433</v>
      </c>
      <c r="H438" s="124" t="s">
        <v>1904</v>
      </c>
      <c r="I438" s="124"/>
      <c r="J438" s="28" t="s">
        <v>2443</v>
      </c>
      <c r="K438" s="28">
        <v>50000</v>
      </c>
      <c r="L438" s="28">
        <v>950000</v>
      </c>
      <c r="M438" s="28" t="s">
        <v>20</v>
      </c>
      <c r="N438" s="28" t="s">
        <v>20</v>
      </c>
      <c r="O438" s="28" t="s">
        <v>20</v>
      </c>
      <c r="P438" s="28" t="s">
        <v>20</v>
      </c>
      <c r="Q438" s="28" t="s">
        <v>20</v>
      </c>
      <c r="R438" s="28" t="s">
        <v>20</v>
      </c>
    </row>
    <row r="439" spans="2:18" x14ac:dyDescent="0.25">
      <c r="B439" s="28">
        <v>11</v>
      </c>
      <c r="C439" s="28" t="s">
        <v>1789</v>
      </c>
      <c r="D439" s="28" t="s">
        <v>1789</v>
      </c>
      <c r="E439" s="108">
        <v>45450</v>
      </c>
      <c r="F439" s="109">
        <v>0.64652777777777781</v>
      </c>
      <c r="G439" s="28" t="s">
        <v>2344</v>
      </c>
      <c r="H439" s="124" t="s">
        <v>1904</v>
      </c>
      <c r="I439" s="124"/>
      <c r="J439" s="28" t="s">
        <v>2443</v>
      </c>
      <c r="K439" s="28">
        <v>100000</v>
      </c>
      <c r="L439" s="28">
        <v>400000</v>
      </c>
      <c r="M439" s="28" t="s">
        <v>20</v>
      </c>
      <c r="N439" s="28" t="s">
        <v>20</v>
      </c>
      <c r="O439" s="28" t="s">
        <v>20</v>
      </c>
      <c r="P439" s="28" t="s">
        <v>20</v>
      </c>
      <c r="Q439" s="28" t="s">
        <v>20</v>
      </c>
      <c r="R439" s="28" t="s">
        <v>20</v>
      </c>
    </row>
    <row r="440" spans="2:18" x14ac:dyDescent="0.25">
      <c r="B440" s="28">
        <v>12</v>
      </c>
      <c r="C440" s="28" t="s">
        <v>1789</v>
      </c>
      <c r="D440" s="28" t="s">
        <v>1789</v>
      </c>
      <c r="E440" s="108">
        <v>45452</v>
      </c>
      <c r="F440" s="109">
        <v>0.45624999999999999</v>
      </c>
      <c r="G440" s="28" t="s">
        <v>2434</v>
      </c>
      <c r="H440" s="124" t="s">
        <v>1904</v>
      </c>
      <c r="I440" s="124"/>
      <c r="J440" s="28" t="s">
        <v>2443</v>
      </c>
      <c r="K440" s="28">
        <v>200000</v>
      </c>
      <c r="L440" s="28">
        <v>300000</v>
      </c>
      <c r="M440" s="28" t="s">
        <v>20</v>
      </c>
      <c r="N440" s="28" t="s">
        <v>20</v>
      </c>
      <c r="O440" s="28" t="s">
        <v>20</v>
      </c>
      <c r="P440" s="28" t="s">
        <v>20</v>
      </c>
      <c r="Q440" s="28" t="s">
        <v>20</v>
      </c>
      <c r="R440" s="28" t="s">
        <v>20</v>
      </c>
    </row>
    <row r="441" spans="2:18" x14ac:dyDescent="0.25">
      <c r="B441" s="28">
        <v>13</v>
      </c>
      <c r="C441" s="28" t="s">
        <v>1789</v>
      </c>
      <c r="D441" s="28" t="s">
        <v>1789</v>
      </c>
      <c r="E441" s="108">
        <v>45452</v>
      </c>
      <c r="F441" s="109">
        <v>0.4236111111111111</v>
      </c>
      <c r="G441" s="28" t="s">
        <v>2435</v>
      </c>
      <c r="H441" s="124" t="s">
        <v>2307</v>
      </c>
      <c r="I441" s="124"/>
      <c r="J441" s="28" t="s">
        <v>2443</v>
      </c>
      <c r="K441" s="28">
        <v>0</v>
      </c>
      <c r="L441" s="28">
        <v>0</v>
      </c>
      <c r="M441" s="28" t="s">
        <v>20</v>
      </c>
      <c r="N441" s="28" t="s">
        <v>20</v>
      </c>
      <c r="O441" s="28" t="s">
        <v>20</v>
      </c>
      <c r="P441" s="28" t="s">
        <v>20</v>
      </c>
      <c r="Q441" s="28" t="s">
        <v>20</v>
      </c>
      <c r="R441" s="28" t="s">
        <v>20</v>
      </c>
    </row>
    <row r="442" spans="2:18" x14ac:dyDescent="0.25">
      <c r="B442" s="28">
        <v>14</v>
      </c>
      <c r="C442" s="28" t="s">
        <v>1789</v>
      </c>
      <c r="D442" s="28" t="s">
        <v>1789</v>
      </c>
      <c r="E442" s="108">
        <v>45453</v>
      </c>
      <c r="F442" s="109">
        <v>0.5756944444444444</v>
      </c>
      <c r="G442" s="28" t="s">
        <v>2436</v>
      </c>
      <c r="H442" s="124" t="s">
        <v>1904</v>
      </c>
      <c r="I442" s="124"/>
      <c r="J442" s="28" t="s">
        <v>2443</v>
      </c>
      <c r="K442" s="28">
        <v>200000</v>
      </c>
      <c r="L442" s="28">
        <v>800000</v>
      </c>
      <c r="M442" s="28" t="s">
        <v>20</v>
      </c>
      <c r="N442" s="28" t="s">
        <v>20</v>
      </c>
      <c r="O442" s="28" t="s">
        <v>20</v>
      </c>
      <c r="P442" s="28" t="s">
        <v>20</v>
      </c>
      <c r="Q442" s="28" t="s">
        <v>20</v>
      </c>
      <c r="R442" s="28" t="s">
        <v>20</v>
      </c>
    </row>
    <row r="443" spans="2:18" x14ac:dyDescent="0.25">
      <c r="B443" s="28">
        <v>15</v>
      </c>
      <c r="C443" s="28" t="s">
        <v>1789</v>
      </c>
      <c r="D443" s="28" t="s">
        <v>1789</v>
      </c>
      <c r="E443" s="108">
        <v>45453</v>
      </c>
      <c r="F443" s="109">
        <v>0.67708333333333337</v>
      </c>
      <c r="G443" s="28" t="s">
        <v>2437</v>
      </c>
      <c r="H443" s="124" t="s">
        <v>1904</v>
      </c>
      <c r="I443" s="124"/>
      <c r="J443" s="28" t="s">
        <v>2443</v>
      </c>
      <c r="K443" s="28">
        <v>50000</v>
      </c>
      <c r="L443" s="28">
        <v>150000</v>
      </c>
      <c r="M443" s="28" t="s">
        <v>20</v>
      </c>
      <c r="N443" s="28" t="s">
        <v>20</v>
      </c>
      <c r="O443" s="28" t="s">
        <v>20</v>
      </c>
      <c r="P443" s="28" t="s">
        <v>20</v>
      </c>
      <c r="Q443" s="28" t="s">
        <v>20</v>
      </c>
      <c r="R443" s="28" t="s">
        <v>20</v>
      </c>
    </row>
    <row r="444" spans="2:18" x14ac:dyDescent="0.25">
      <c r="B444" s="28">
        <v>16</v>
      </c>
      <c r="C444" s="28" t="s">
        <v>1789</v>
      </c>
      <c r="D444" s="28" t="s">
        <v>1789</v>
      </c>
      <c r="E444" s="108">
        <v>45453</v>
      </c>
      <c r="F444" s="109">
        <v>0.59027777777777779</v>
      </c>
      <c r="G444" s="28" t="s">
        <v>2438</v>
      </c>
      <c r="H444" s="124" t="s">
        <v>1904</v>
      </c>
      <c r="I444" s="124"/>
      <c r="J444" s="28" t="s">
        <v>2443</v>
      </c>
      <c r="K444" s="28">
        <v>5000</v>
      </c>
      <c r="L444" s="28">
        <v>995000</v>
      </c>
      <c r="M444" s="28" t="s">
        <v>20</v>
      </c>
      <c r="N444" s="28" t="s">
        <v>20</v>
      </c>
      <c r="O444" s="28" t="s">
        <v>20</v>
      </c>
      <c r="P444" s="28" t="s">
        <v>20</v>
      </c>
      <c r="Q444" s="28" t="s">
        <v>20</v>
      </c>
      <c r="R444" s="28" t="s">
        <v>20</v>
      </c>
    </row>
    <row r="445" spans="2:18" x14ac:dyDescent="0.25">
      <c r="B445" s="28">
        <v>17</v>
      </c>
      <c r="C445" s="28" t="s">
        <v>1789</v>
      </c>
      <c r="D445" s="28" t="s">
        <v>1789</v>
      </c>
      <c r="E445" s="108">
        <v>45454</v>
      </c>
      <c r="F445" s="109">
        <v>0.14305555555555555</v>
      </c>
      <c r="G445" s="28" t="s">
        <v>2372</v>
      </c>
      <c r="H445" s="124" t="s">
        <v>1904</v>
      </c>
      <c r="I445" s="124"/>
      <c r="J445" s="28" t="s">
        <v>2443</v>
      </c>
      <c r="K445" s="28">
        <v>200000</v>
      </c>
      <c r="L445" s="28">
        <v>1800000</v>
      </c>
      <c r="M445" s="28" t="s">
        <v>20</v>
      </c>
      <c r="N445" s="28" t="s">
        <v>20</v>
      </c>
      <c r="O445" s="28" t="s">
        <v>20</v>
      </c>
      <c r="P445" s="28" t="s">
        <v>20</v>
      </c>
      <c r="Q445" s="28" t="s">
        <v>20</v>
      </c>
      <c r="R445" s="28" t="s">
        <v>20</v>
      </c>
    </row>
    <row r="446" spans="2:18" x14ac:dyDescent="0.25">
      <c r="B446" s="28">
        <v>18</v>
      </c>
      <c r="C446" s="28" t="s">
        <v>1789</v>
      </c>
      <c r="D446" s="28" t="s">
        <v>1789</v>
      </c>
      <c r="E446" s="108">
        <v>45454</v>
      </c>
      <c r="F446" s="109">
        <v>0.61111111111111116</v>
      </c>
      <c r="G446" s="28" t="s">
        <v>2430</v>
      </c>
      <c r="H446" s="124" t="s">
        <v>1904</v>
      </c>
      <c r="I446" s="124"/>
      <c r="J446" s="28" t="s">
        <v>2443</v>
      </c>
      <c r="K446" s="28">
        <v>50000</v>
      </c>
      <c r="L446" s="28">
        <v>150000</v>
      </c>
      <c r="M446" s="28" t="s">
        <v>20</v>
      </c>
      <c r="N446" s="28" t="s">
        <v>20</v>
      </c>
      <c r="O446" s="28" t="s">
        <v>20</v>
      </c>
      <c r="P446" s="28" t="s">
        <v>20</v>
      </c>
      <c r="Q446" s="28" t="s">
        <v>20</v>
      </c>
      <c r="R446" s="28" t="s">
        <v>20</v>
      </c>
    </row>
    <row r="447" spans="2:18" x14ac:dyDescent="0.25">
      <c r="B447" s="28">
        <v>19</v>
      </c>
      <c r="C447" s="28" t="s">
        <v>1789</v>
      </c>
      <c r="D447" s="28" t="s">
        <v>1789</v>
      </c>
      <c r="E447" s="108">
        <v>45454</v>
      </c>
      <c r="F447" s="109">
        <v>0.6118055555555556</v>
      </c>
      <c r="G447" s="28" t="s">
        <v>2430</v>
      </c>
      <c r="H447" s="124" t="s">
        <v>1904</v>
      </c>
      <c r="I447" s="124"/>
      <c r="J447" s="28" t="s">
        <v>2443</v>
      </c>
      <c r="K447" s="28">
        <v>100000</v>
      </c>
      <c r="L447" s="28">
        <v>200000</v>
      </c>
      <c r="M447" s="28" t="s">
        <v>20</v>
      </c>
      <c r="N447" s="28" t="s">
        <v>20</v>
      </c>
      <c r="O447" s="28" t="s">
        <v>20</v>
      </c>
      <c r="P447" s="28" t="s">
        <v>20</v>
      </c>
      <c r="Q447" s="28" t="s">
        <v>20</v>
      </c>
      <c r="R447" s="28" t="s">
        <v>20</v>
      </c>
    </row>
    <row r="448" spans="2:18" x14ac:dyDescent="0.25">
      <c r="B448" s="28">
        <v>20</v>
      </c>
      <c r="C448" s="28" t="s">
        <v>1789</v>
      </c>
      <c r="D448" s="28" t="s">
        <v>1789</v>
      </c>
      <c r="E448" s="108">
        <v>45455</v>
      </c>
      <c r="F448" s="109">
        <v>0.56041666666666667</v>
      </c>
      <c r="G448" s="28" t="s">
        <v>2439</v>
      </c>
      <c r="H448" s="124" t="s">
        <v>1904</v>
      </c>
      <c r="I448" s="124"/>
      <c r="J448" s="28" t="s">
        <v>2443</v>
      </c>
      <c r="K448" s="28">
        <v>500000</v>
      </c>
      <c r="L448" s="28">
        <v>300000</v>
      </c>
      <c r="M448" s="28" t="s">
        <v>20</v>
      </c>
      <c r="N448" s="28" t="s">
        <v>20</v>
      </c>
      <c r="O448" s="28" t="s">
        <v>20</v>
      </c>
      <c r="P448" s="28" t="s">
        <v>20</v>
      </c>
      <c r="Q448" s="28" t="s">
        <v>20</v>
      </c>
      <c r="R448" s="28" t="s">
        <v>20</v>
      </c>
    </row>
    <row r="449" spans="2:18" x14ac:dyDescent="0.25">
      <c r="B449" s="28">
        <v>21</v>
      </c>
      <c r="C449" s="28" t="s">
        <v>1789</v>
      </c>
      <c r="D449" s="28" t="s">
        <v>1789</v>
      </c>
      <c r="E449" s="108">
        <v>45455</v>
      </c>
      <c r="F449" s="109">
        <v>0.61319444444444449</v>
      </c>
      <c r="G449" s="28" t="s">
        <v>2440</v>
      </c>
      <c r="H449" s="124" t="s">
        <v>1904</v>
      </c>
      <c r="I449" s="124"/>
      <c r="J449" s="28" t="s">
        <v>2443</v>
      </c>
      <c r="K449" s="28">
        <v>300000</v>
      </c>
      <c r="L449" s="28">
        <v>1500000</v>
      </c>
      <c r="M449" s="28" t="s">
        <v>20</v>
      </c>
      <c r="N449" s="28" t="s">
        <v>20</v>
      </c>
      <c r="O449" s="28" t="s">
        <v>20</v>
      </c>
      <c r="P449" s="28" t="s">
        <v>20</v>
      </c>
      <c r="Q449" s="28" t="s">
        <v>20</v>
      </c>
      <c r="R449" s="28" t="s">
        <v>20</v>
      </c>
    </row>
    <row r="450" spans="2:18" x14ac:dyDescent="0.25">
      <c r="B450" s="28">
        <v>22</v>
      </c>
      <c r="C450" s="28" t="s">
        <v>1789</v>
      </c>
      <c r="D450" s="28" t="s">
        <v>1789</v>
      </c>
      <c r="E450" s="108">
        <v>45456</v>
      </c>
      <c r="F450" s="109">
        <v>0.57430555555555551</v>
      </c>
      <c r="G450" s="28" t="s">
        <v>2441</v>
      </c>
      <c r="H450" s="124" t="s">
        <v>1904</v>
      </c>
      <c r="I450" s="124"/>
      <c r="J450" s="28" t="s">
        <v>2442</v>
      </c>
      <c r="K450" s="28">
        <v>0</v>
      </c>
      <c r="L450" s="28">
        <v>0</v>
      </c>
      <c r="M450" s="28" t="s">
        <v>20</v>
      </c>
      <c r="N450" s="28" t="s">
        <v>20</v>
      </c>
      <c r="O450" s="28" t="s">
        <v>20</v>
      </c>
      <c r="P450" s="28" t="s">
        <v>20</v>
      </c>
      <c r="Q450" s="28" t="s">
        <v>20</v>
      </c>
      <c r="R450" s="28" t="s">
        <v>20</v>
      </c>
    </row>
    <row r="451" spans="2:18" x14ac:dyDescent="0.25">
      <c r="B451" s="28">
        <v>23</v>
      </c>
      <c r="C451" s="28" t="s">
        <v>1789</v>
      </c>
      <c r="D451" s="28" t="s">
        <v>1789</v>
      </c>
      <c r="E451" s="108">
        <v>45457</v>
      </c>
      <c r="F451" s="109">
        <v>0.8041666666666667</v>
      </c>
      <c r="G451" s="28" t="s">
        <v>2365</v>
      </c>
      <c r="H451" s="124" t="s">
        <v>2162</v>
      </c>
      <c r="I451" s="124"/>
      <c r="J451" s="28" t="s">
        <v>2443</v>
      </c>
      <c r="K451" s="28">
        <v>5000</v>
      </c>
      <c r="L451" s="28">
        <v>145000</v>
      </c>
      <c r="M451" s="28" t="s">
        <v>20</v>
      </c>
      <c r="N451" s="28" t="s">
        <v>20</v>
      </c>
      <c r="O451" s="28" t="s">
        <v>20</v>
      </c>
      <c r="P451" s="28" t="s">
        <v>20</v>
      </c>
      <c r="Q451" s="28" t="s">
        <v>20</v>
      </c>
      <c r="R451" s="28" t="s">
        <v>20</v>
      </c>
    </row>
    <row r="452" spans="2:18" x14ac:dyDescent="0.25">
      <c r="B452" s="28">
        <v>24</v>
      </c>
      <c r="C452" s="28" t="s">
        <v>1789</v>
      </c>
      <c r="D452" s="28" t="s">
        <v>1789</v>
      </c>
      <c r="E452" s="108">
        <v>45459</v>
      </c>
      <c r="F452" s="109">
        <v>0.67361111111111116</v>
      </c>
      <c r="G452" s="28" t="s">
        <v>2444</v>
      </c>
      <c r="H452" s="124" t="s">
        <v>1904</v>
      </c>
      <c r="I452" s="124"/>
      <c r="J452" s="28" t="s">
        <v>2445</v>
      </c>
      <c r="K452" s="28">
        <v>200000</v>
      </c>
      <c r="L452" s="28">
        <v>800000</v>
      </c>
      <c r="M452" s="28" t="s">
        <v>20</v>
      </c>
      <c r="N452" s="28" t="s">
        <v>20</v>
      </c>
      <c r="O452" s="28" t="s">
        <v>20</v>
      </c>
      <c r="P452" s="28" t="s">
        <v>20</v>
      </c>
      <c r="Q452" s="28" t="s">
        <v>20</v>
      </c>
      <c r="R452" s="28" t="s">
        <v>20</v>
      </c>
    </row>
    <row r="453" spans="2:18" x14ac:dyDescent="0.25">
      <c r="B453" s="28">
        <v>25</v>
      </c>
      <c r="C453" s="28" t="s">
        <v>1789</v>
      </c>
      <c r="D453" s="28" t="s">
        <v>1789</v>
      </c>
      <c r="E453" s="108">
        <v>45459</v>
      </c>
      <c r="F453" s="109">
        <v>0.81597222222222221</v>
      </c>
      <c r="G453" s="28" t="s">
        <v>2446</v>
      </c>
      <c r="H453" s="124" t="s">
        <v>2447</v>
      </c>
      <c r="I453" s="124"/>
      <c r="J453" s="28" t="s">
        <v>2448</v>
      </c>
      <c r="K453" s="28">
        <v>50000</v>
      </c>
      <c r="L453" s="28">
        <v>450000</v>
      </c>
      <c r="M453" s="28" t="s">
        <v>20</v>
      </c>
      <c r="N453" s="28" t="s">
        <v>20</v>
      </c>
      <c r="O453" s="28" t="s">
        <v>20</v>
      </c>
      <c r="P453" s="28" t="s">
        <v>20</v>
      </c>
      <c r="Q453" s="28" t="s">
        <v>20</v>
      </c>
      <c r="R453" s="28" t="s">
        <v>20</v>
      </c>
    </row>
    <row r="454" spans="2:18" x14ac:dyDescent="0.25">
      <c r="B454" s="28">
        <v>26</v>
      </c>
      <c r="C454" s="28" t="s">
        <v>1789</v>
      </c>
      <c r="D454" s="28" t="s">
        <v>1789</v>
      </c>
      <c r="E454" s="108">
        <v>45460</v>
      </c>
      <c r="F454" s="109">
        <v>0.38611111111111113</v>
      </c>
      <c r="G454" s="28" t="s">
        <v>2449</v>
      </c>
      <c r="H454" s="124" t="s">
        <v>2162</v>
      </c>
      <c r="I454" s="124"/>
      <c r="J454" s="28" t="s">
        <v>2450</v>
      </c>
      <c r="K454" s="28">
        <v>200000</v>
      </c>
      <c r="L454" s="28">
        <v>300000</v>
      </c>
      <c r="M454" s="28" t="s">
        <v>20</v>
      </c>
      <c r="N454" s="28" t="s">
        <v>20</v>
      </c>
      <c r="O454" s="28" t="s">
        <v>20</v>
      </c>
      <c r="P454" s="28" t="s">
        <v>20</v>
      </c>
      <c r="Q454" s="28" t="s">
        <v>20</v>
      </c>
      <c r="R454" s="28" t="s">
        <v>20</v>
      </c>
    </row>
    <row r="455" spans="2:18" x14ac:dyDescent="0.25">
      <c r="B455" s="28">
        <v>27</v>
      </c>
      <c r="C455" s="28" t="s">
        <v>1789</v>
      </c>
      <c r="D455" s="28" t="s">
        <v>1789</v>
      </c>
      <c r="E455" s="108">
        <v>45460</v>
      </c>
      <c r="F455" s="109">
        <v>0.41249999999999998</v>
      </c>
      <c r="G455" s="28" t="s">
        <v>2451</v>
      </c>
      <c r="H455" s="124" t="s">
        <v>2162</v>
      </c>
      <c r="I455" s="124"/>
      <c r="J455" s="28" t="s">
        <v>2443</v>
      </c>
      <c r="K455" s="28">
        <v>50000</v>
      </c>
      <c r="L455" s="28">
        <v>200000</v>
      </c>
      <c r="M455" s="28" t="s">
        <v>20</v>
      </c>
      <c r="N455" s="28" t="s">
        <v>20</v>
      </c>
      <c r="O455" s="28" t="s">
        <v>20</v>
      </c>
      <c r="P455" s="28" t="s">
        <v>20</v>
      </c>
      <c r="Q455" s="28" t="s">
        <v>20</v>
      </c>
      <c r="R455" s="28" t="s">
        <v>20</v>
      </c>
    </row>
    <row r="456" spans="2:18" x14ac:dyDescent="0.25">
      <c r="B456" s="28">
        <v>28</v>
      </c>
      <c r="C456" s="28" t="s">
        <v>1789</v>
      </c>
      <c r="D456" s="28" t="s">
        <v>1789</v>
      </c>
      <c r="E456" s="108">
        <v>45461</v>
      </c>
      <c r="F456" s="109">
        <v>0.67777777777777781</v>
      </c>
      <c r="G456" s="28" t="s">
        <v>2452</v>
      </c>
      <c r="H456" s="124" t="s">
        <v>2162</v>
      </c>
      <c r="I456" s="124"/>
      <c r="J456" s="28" t="s">
        <v>2443</v>
      </c>
      <c r="K456" s="28">
        <v>100000</v>
      </c>
      <c r="L456" s="28">
        <v>400000</v>
      </c>
      <c r="M456" s="28" t="s">
        <v>20</v>
      </c>
      <c r="N456" s="28" t="s">
        <v>20</v>
      </c>
      <c r="O456" s="28" t="s">
        <v>20</v>
      </c>
      <c r="P456" s="28" t="s">
        <v>20</v>
      </c>
      <c r="Q456" s="28" t="s">
        <v>20</v>
      </c>
      <c r="R456" s="28" t="s">
        <v>20</v>
      </c>
    </row>
    <row r="457" spans="2:18" x14ac:dyDescent="0.25">
      <c r="B457" s="28">
        <v>29</v>
      </c>
      <c r="C457" s="28" t="s">
        <v>1789</v>
      </c>
      <c r="D457" s="28" t="s">
        <v>1789</v>
      </c>
      <c r="E457" s="108">
        <v>45462</v>
      </c>
      <c r="F457" s="109">
        <v>0.56527777777777777</v>
      </c>
      <c r="G457" s="28" t="s">
        <v>2453</v>
      </c>
      <c r="H457" s="124" t="s">
        <v>2162</v>
      </c>
      <c r="I457" s="124"/>
      <c r="J457" s="28" t="s">
        <v>2442</v>
      </c>
      <c r="K457" s="28"/>
      <c r="L457" s="28"/>
      <c r="M457" s="28" t="s">
        <v>20</v>
      </c>
      <c r="N457" s="28" t="s">
        <v>20</v>
      </c>
      <c r="O457" s="28" t="s">
        <v>20</v>
      </c>
      <c r="P457" s="28" t="s">
        <v>20</v>
      </c>
      <c r="Q457" s="28" t="s">
        <v>20</v>
      </c>
      <c r="R457" s="28" t="s">
        <v>20</v>
      </c>
    </row>
    <row r="458" spans="2:18" x14ac:dyDescent="0.25">
      <c r="B458" s="28">
        <v>30</v>
      </c>
      <c r="C458" s="28" t="s">
        <v>1789</v>
      </c>
      <c r="D458" s="28" t="s">
        <v>1789</v>
      </c>
      <c r="E458" s="108">
        <v>45462</v>
      </c>
      <c r="F458" s="109">
        <v>0.59722222222222221</v>
      </c>
      <c r="G458" s="28" t="s">
        <v>2454</v>
      </c>
      <c r="H458" s="124" t="s">
        <v>2162</v>
      </c>
      <c r="I458" s="124"/>
      <c r="J458" s="28" t="s">
        <v>2443</v>
      </c>
      <c r="K458" s="28">
        <v>20000</v>
      </c>
      <c r="L458" s="28">
        <v>200000</v>
      </c>
      <c r="M458" s="28" t="s">
        <v>20</v>
      </c>
      <c r="N458" s="28" t="s">
        <v>20</v>
      </c>
      <c r="O458" s="28" t="s">
        <v>20</v>
      </c>
      <c r="P458" s="28" t="s">
        <v>20</v>
      </c>
      <c r="Q458" s="28" t="s">
        <v>20</v>
      </c>
      <c r="R458" s="28" t="s">
        <v>20</v>
      </c>
    </row>
    <row r="459" spans="2:18" x14ac:dyDescent="0.25">
      <c r="B459" s="28">
        <v>31</v>
      </c>
      <c r="C459" s="28" t="s">
        <v>1789</v>
      </c>
      <c r="D459" s="28" t="s">
        <v>1789</v>
      </c>
      <c r="E459" s="108">
        <v>45463</v>
      </c>
      <c r="F459" s="109">
        <v>0.78749999999999998</v>
      </c>
      <c r="G459" s="28" t="s">
        <v>2266</v>
      </c>
      <c r="H459" s="124" t="s">
        <v>2162</v>
      </c>
      <c r="I459" s="124"/>
      <c r="J459" s="28" t="s">
        <v>2448</v>
      </c>
      <c r="K459" s="28">
        <v>20000</v>
      </c>
      <c r="L459" s="28">
        <v>180000</v>
      </c>
      <c r="M459" s="28" t="s">
        <v>20</v>
      </c>
      <c r="N459" s="28" t="s">
        <v>20</v>
      </c>
      <c r="O459" s="28" t="s">
        <v>20</v>
      </c>
      <c r="P459" s="28" t="s">
        <v>20</v>
      </c>
      <c r="Q459" s="28" t="s">
        <v>20</v>
      </c>
      <c r="R459" s="28" t="s">
        <v>20</v>
      </c>
    </row>
    <row r="460" spans="2:18" ht="39" x14ac:dyDescent="0.25">
      <c r="B460" s="28">
        <v>1</v>
      </c>
      <c r="C460" s="28" t="s">
        <v>1789</v>
      </c>
      <c r="D460" s="28" t="s">
        <v>1789</v>
      </c>
      <c r="E460" s="26" t="s">
        <v>1596</v>
      </c>
      <c r="F460" s="109">
        <v>1.0416666666666666E-2</v>
      </c>
      <c r="G460" s="122" t="s">
        <v>2455</v>
      </c>
      <c r="H460" s="124" t="s">
        <v>385</v>
      </c>
      <c r="I460" s="124"/>
      <c r="J460" s="26" t="s">
        <v>2456</v>
      </c>
      <c r="K460" s="28">
        <v>5000</v>
      </c>
      <c r="L460" s="28">
        <v>45000</v>
      </c>
      <c r="M460" s="28" t="s">
        <v>20</v>
      </c>
      <c r="N460" s="28" t="s">
        <v>20</v>
      </c>
      <c r="O460" s="28" t="s">
        <v>20</v>
      </c>
      <c r="P460" s="28" t="s">
        <v>20</v>
      </c>
      <c r="Q460" s="28" t="s">
        <v>20</v>
      </c>
      <c r="R460" s="28" t="s">
        <v>20</v>
      </c>
    </row>
    <row r="461" spans="2:18" ht="39" x14ac:dyDescent="0.25">
      <c r="B461" s="28">
        <v>2</v>
      </c>
      <c r="C461" s="28" t="s">
        <v>1789</v>
      </c>
      <c r="D461" s="28" t="s">
        <v>1789</v>
      </c>
      <c r="E461" s="123">
        <v>45476</v>
      </c>
      <c r="F461" s="109">
        <v>0.95</v>
      </c>
      <c r="G461" s="122" t="s">
        <v>2457</v>
      </c>
      <c r="H461" s="124" t="s">
        <v>385</v>
      </c>
      <c r="I461" s="124"/>
      <c r="J461" s="122" t="s">
        <v>2458</v>
      </c>
      <c r="K461" s="28" t="s">
        <v>20</v>
      </c>
      <c r="L461" s="28" t="s">
        <v>20</v>
      </c>
      <c r="M461" s="28" t="s">
        <v>20</v>
      </c>
      <c r="N461" s="28" t="s">
        <v>20</v>
      </c>
      <c r="O461" s="28" t="s">
        <v>20</v>
      </c>
      <c r="P461" s="28" t="s">
        <v>20</v>
      </c>
      <c r="Q461" s="28" t="s">
        <v>20</v>
      </c>
      <c r="R461" s="28" t="s">
        <v>20</v>
      </c>
    </row>
    <row r="462" spans="2:18" ht="58.5" x14ac:dyDescent="0.25">
      <c r="B462" s="28">
        <v>3</v>
      </c>
      <c r="C462" s="28" t="s">
        <v>1789</v>
      </c>
      <c r="D462" s="28" t="s">
        <v>1789</v>
      </c>
      <c r="E462" s="123">
        <v>45477</v>
      </c>
      <c r="F462" s="109">
        <v>0.15138888888888888</v>
      </c>
      <c r="G462" s="122" t="s">
        <v>2459</v>
      </c>
      <c r="H462" s="124" t="s">
        <v>385</v>
      </c>
      <c r="I462" s="124"/>
      <c r="J462" s="122" t="s">
        <v>1940</v>
      </c>
      <c r="K462" s="28" t="s">
        <v>1790</v>
      </c>
      <c r="L462" s="28" t="s">
        <v>20</v>
      </c>
      <c r="M462" s="28" t="s">
        <v>20</v>
      </c>
      <c r="N462" s="28" t="s">
        <v>20</v>
      </c>
      <c r="O462" s="28" t="s">
        <v>20</v>
      </c>
      <c r="P462" s="28" t="s">
        <v>20</v>
      </c>
      <c r="Q462" s="28" t="s">
        <v>20</v>
      </c>
      <c r="R462" s="28" t="s">
        <v>20</v>
      </c>
    </row>
    <row r="463" spans="2:18" x14ac:dyDescent="0.25">
      <c r="B463" s="28">
        <v>4</v>
      </c>
      <c r="C463" s="28" t="s">
        <v>1789</v>
      </c>
      <c r="D463" s="28" t="s">
        <v>1789</v>
      </c>
      <c r="E463" s="123">
        <v>45478</v>
      </c>
      <c r="F463" s="28"/>
      <c r="G463" s="122"/>
      <c r="H463" s="124"/>
      <c r="I463" s="124"/>
      <c r="J463" s="122" t="s">
        <v>2053</v>
      </c>
      <c r="K463" s="28" t="s">
        <v>20</v>
      </c>
      <c r="L463" s="28" t="s">
        <v>20</v>
      </c>
      <c r="M463" s="28" t="s">
        <v>20</v>
      </c>
      <c r="N463" s="28" t="s">
        <v>20</v>
      </c>
      <c r="O463" s="28" t="s">
        <v>20</v>
      </c>
      <c r="P463" s="28" t="s">
        <v>20</v>
      </c>
      <c r="Q463" s="28" t="s">
        <v>20</v>
      </c>
      <c r="R463" s="28" t="s">
        <v>20</v>
      </c>
    </row>
    <row r="464" spans="2:18" ht="39" x14ac:dyDescent="0.25">
      <c r="B464" s="28">
        <v>5</v>
      </c>
      <c r="C464" s="28" t="s">
        <v>1789</v>
      </c>
      <c r="D464" s="28" t="s">
        <v>1789</v>
      </c>
      <c r="E464" s="123">
        <v>45479</v>
      </c>
      <c r="F464" s="109">
        <v>0.61319444444444449</v>
      </c>
      <c r="G464" s="122" t="s">
        <v>2460</v>
      </c>
      <c r="H464" s="124" t="s">
        <v>1880</v>
      </c>
      <c r="I464" s="124"/>
      <c r="J464" s="122" t="s">
        <v>2461</v>
      </c>
      <c r="K464" s="28">
        <v>200000</v>
      </c>
      <c r="L464" s="28">
        <v>1800000</v>
      </c>
      <c r="M464" s="28" t="s">
        <v>20</v>
      </c>
      <c r="N464" s="28" t="s">
        <v>20</v>
      </c>
      <c r="O464" s="28" t="s">
        <v>20</v>
      </c>
      <c r="P464" s="28" t="s">
        <v>20</v>
      </c>
      <c r="Q464" s="28" t="s">
        <v>20</v>
      </c>
      <c r="R464" s="28" t="s">
        <v>20</v>
      </c>
    </row>
    <row r="465" spans="2:18" ht="58.5" x14ac:dyDescent="0.25">
      <c r="B465" s="28">
        <v>6</v>
      </c>
      <c r="C465" s="28" t="s">
        <v>1789</v>
      </c>
      <c r="D465" s="28" t="s">
        <v>1789</v>
      </c>
      <c r="E465" s="123">
        <v>45481</v>
      </c>
      <c r="F465" s="109">
        <v>0.77152777777777781</v>
      </c>
      <c r="G465" s="122" t="s">
        <v>2462</v>
      </c>
      <c r="H465" s="124" t="s">
        <v>385</v>
      </c>
      <c r="I465" s="124"/>
      <c r="J465" s="122" t="s">
        <v>2463</v>
      </c>
      <c r="K465" s="28" t="s">
        <v>20</v>
      </c>
      <c r="L465" s="28" t="s">
        <v>20</v>
      </c>
      <c r="M465" s="28" t="s">
        <v>20</v>
      </c>
      <c r="N465" s="28" t="s">
        <v>20</v>
      </c>
      <c r="O465" s="28" t="s">
        <v>20</v>
      </c>
      <c r="P465" s="28" t="s">
        <v>20</v>
      </c>
      <c r="Q465" s="28" t="s">
        <v>20</v>
      </c>
      <c r="R465" s="28" t="s">
        <v>20</v>
      </c>
    </row>
    <row r="466" spans="2:18" ht="39" x14ac:dyDescent="0.25">
      <c r="B466" s="28">
        <v>7</v>
      </c>
      <c r="C466" s="28" t="s">
        <v>1789</v>
      </c>
      <c r="D466" s="28" t="s">
        <v>1789</v>
      </c>
      <c r="E466" s="123">
        <v>45487</v>
      </c>
      <c r="F466" s="109">
        <v>0.61319444444444449</v>
      </c>
      <c r="G466" s="122" t="s">
        <v>2464</v>
      </c>
      <c r="H466" s="124" t="s">
        <v>20</v>
      </c>
      <c r="I466" s="124"/>
      <c r="J466" s="122" t="s">
        <v>2463</v>
      </c>
      <c r="K466" s="28" t="s">
        <v>20</v>
      </c>
      <c r="L466" s="28" t="s">
        <v>20</v>
      </c>
      <c r="M466" s="28" t="s">
        <v>20</v>
      </c>
      <c r="N466" s="28" t="s">
        <v>20</v>
      </c>
      <c r="O466" s="28" t="s">
        <v>20</v>
      </c>
      <c r="P466" s="28" t="s">
        <v>20</v>
      </c>
      <c r="Q466" s="28" t="s">
        <v>20</v>
      </c>
      <c r="R466" s="28" t="s">
        <v>20</v>
      </c>
    </row>
    <row r="467" spans="2:18" ht="58.5" x14ac:dyDescent="0.25">
      <c r="B467" s="28">
        <v>8</v>
      </c>
      <c r="C467" s="28" t="s">
        <v>1789</v>
      </c>
      <c r="D467" s="28" t="s">
        <v>1789</v>
      </c>
      <c r="E467" s="123">
        <v>45489</v>
      </c>
      <c r="F467" s="109">
        <v>6.0416666666666667E-2</v>
      </c>
      <c r="G467" s="122" t="s">
        <v>2465</v>
      </c>
      <c r="H467" s="124" t="s">
        <v>385</v>
      </c>
      <c r="I467" s="124"/>
      <c r="J467" s="122" t="s">
        <v>2466</v>
      </c>
      <c r="K467" s="28" t="s">
        <v>20</v>
      </c>
      <c r="L467" s="28" t="s">
        <v>20</v>
      </c>
      <c r="M467" s="28" t="s">
        <v>20</v>
      </c>
      <c r="N467" s="28" t="s">
        <v>20</v>
      </c>
      <c r="O467" s="28" t="s">
        <v>20</v>
      </c>
      <c r="P467" s="28" t="s">
        <v>20</v>
      </c>
      <c r="Q467" s="28" t="s">
        <v>20</v>
      </c>
      <c r="R467" s="28" t="s">
        <v>20</v>
      </c>
    </row>
    <row r="468" spans="2:18" ht="58.5" x14ac:dyDescent="0.25">
      <c r="B468" s="28">
        <v>9</v>
      </c>
      <c r="C468" s="28" t="s">
        <v>1789</v>
      </c>
      <c r="D468" s="28" t="s">
        <v>1789</v>
      </c>
      <c r="E468" s="123">
        <v>45489</v>
      </c>
      <c r="F468" s="109">
        <v>0.89097222222222228</v>
      </c>
      <c r="G468" s="122" t="s">
        <v>2467</v>
      </c>
      <c r="H468" s="124" t="s">
        <v>385</v>
      </c>
      <c r="I468" s="124"/>
      <c r="J468" s="122" t="s">
        <v>2468</v>
      </c>
      <c r="K468" s="28" t="s">
        <v>20</v>
      </c>
      <c r="L468" s="28" t="s">
        <v>20</v>
      </c>
      <c r="M468" s="28" t="s">
        <v>20</v>
      </c>
      <c r="N468" s="28" t="s">
        <v>20</v>
      </c>
      <c r="O468" s="28" t="s">
        <v>20</v>
      </c>
      <c r="P468" s="28" t="s">
        <v>20</v>
      </c>
      <c r="Q468" s="28" t="s">
        <v>20</v>
      </c>
      <c r="R468" s="28" t="s">
        <v>20</v>
      </c>
    </row>
    <row r="469" spans="2:18" ht="97.5" x14ac:dyDescent="0.25">
      <c r="B469" s="26"/>
      <c r="C469" s="28" t="s">
        <v>1789</v>
      </c>
      <c r="D469" s="28" t="s">
        <v>1789</v>
      </c>
      <c r="E469" s="110">
        <v>45490</v>
      </c>
      <c r="F469" s="109">
        <v>0.1451388888888889</v>
      </c>
      <c r="G469" s="26" t="s">
        <v>2469</v>
      </c>
      <c r="H469" s="124" t="s">
        <v>1887</v>
      </c>
      <c r="I469" s="124"/>
      <c r="J469" s="26" t="s">
        <v>2470</v>
      </c>
      <c r="K469" s="28">
        <v>400000</v>
      </c>
      <c r="L469" s="28">
        <v>4600000</v>
      </c>
      <c r="M469" s="28" t="s">
        <v>664</v>
      </c>
      <c r="N469" s="28" t="s">
        <v>664</v>
      </c>
      <c r="O469" s="28" t="s">
        <v>664</v>
      </c>
      <c r="P469" s="28" t="s">
        <v>664</v>
      </c>
      <c r="Q469" s="28" t="s">
        <v>664</v>
      </c>
      <c r="R469" s="28" t="s">
        <v>664</v>
      </c>
    </row>
    <row r="470" spans="2:18" x14ac:dyDescent="0.25">
      <c r="B470" s="26">
        <v>10</v>
      </c>
      <c r="C470" s="28" t="s">
        <v>1789</v>
      </c>
      <c r="D470" s="28" t="s">
        <v>1789</v>
      </c>
      <c r="E470" s="110"/>
      <c r="F470" s="28"/>
      <c r="G470" s="26"/>
      <c r="H470" s="124"/>
      <c r="I470" s="124"/>
      <c r="J470" s="26"/>
      <c r="K470" s="28"/>
      <c r="L470" s="28"/>
      <c r="M470" s="28"/>
      <c r="N470" s="28"/>
      <c r="O470" s="28"/>
      <c r="P470" s="28"/>
      <c r="Q470" s="28"/>
      <c r="R470" s="28"/>
    </row>
    <row r="471" spans="2:18" ht="78" x14ac:dyDescent="0.25">
      <c r="B471" s="26">
        <v>11</v>
      </c>
      <c r="C471" s="28" t="s">
        <v>1789</v>
      </c>
      <c r="D471" s="28" t="s">
        <v>1789</v>
      </c>
      <c r="E471" s="123">
        <v>45498</v>
      </c>
      <c r="F471" s="28" t="s">
        <v>1618</v>
      </c>
      <c r="G471" s="26" t="s">
        <v>2471</v>
      </c>
      <c r="H471" s="124" t="s">
        <v>1880</v>
      </c>
      <c r="I471" s="124"/>
      <c r="J471" s="28" t="s">
        <v>2472</v>
      </c>
      <c r="K471" s="28">
        <v>20000</v>
      </c>
      <c r="L471" s="28">
        <v>180000</v>
      </c>
      <c r="M471" s="28" t="s">
        <v>664</v>
      </c>
      <c r="N471" s="28" t="s">
        <v>664</v>
      </c>
      <c r="O471" s="28" t="s">
        <v>664</v>
      </c>
      <c r="P471" s="28" t="s">
        <v>664</v>
      </c>
      <c r="Q471" s="28" t="s">
        <v>664</v>
      </c>
      <c r="R471" s="28" t="s">
        <v>664</v>
      </c>
    </row>
    <row r="472" spans="2:18" ht="117" x14ac:dyDescent="0.25">
      <c r="B472" s="26">
        <v>12</v>
      </c>
      <c r="C472" s="28" t="s">
        <v>1789</v>
      </c>
      <c r="D472" s="28" t="s">
        <v>1789</v>
      </c>
      <c r="E472" s="123">
        <v>45499</v>
      </c>
      <c r="F472" s="109">
        <v>0.28263888888888888</v>
      </c>
      <c r="G472" s="26" t="s">
        <v>2473</v>
      </c>
      <c r="H472" s="124" t="s">
        <v>20</v>
      </c>
      <c r="I472" s="124"/>
      <c r="J472" s="28" t="s">
        <v>2474</v>
      </c>
      <c r="K472" s="28" t="s">
        <v>664</v>
      </c>
      <c r="L472" s="28" t="s">
        <v>664</v>
      </c>
      <c r="M472" s="28" t="s">
        <v>664</v>
      </c>
      <c r="N472" s="28" t="s">
        <v>664</v>
      </c>
      <c r="O472" s="28" t="s">
        <v>664</v>
      </c>
      <c r="P472" s="28" t="s">
        <v>664</v>
      </c>
      <c r="Q472" s="28" t="s">
        <v>664</v>
      </c>
      <c r="R472" s="28" t="s">
        <v>664</v>
      </c>
    </row>
    <row r="473" spans="2:18" ht="58.5" x14ac:dyDescent="0.25">
      <c r="B473" s="26">
        <v>13</v>
      </c>
      <c r="C473" s="28" t="s">
        <v>1789</v>
      </c>
      <c r="D473" s="28" t="s">
        <v>1789</v>
      </c>
      <c r="E473" s="122" t="s">
        <v>1624</v>
      </c>
      <c r="F473" s="109">
        <v>0.60902777777777772</v>
      </c>
      <c r="G473" s="26" t="s">
        <v>2475</v>
      </c>
      <c r="H473" s="124" t="s">
        <v>2007</v>
      </c>
      <c r="I473" s="124"/>
      <c r="J473" s="28" t="s">
        <v>2476</v>
      </c>
      <c r="K473" s="28" t="s">
        <v>664</v>
      </c>
      <c r="L473" s="28" t="s">
        <v>664</v>
      </c>
      <c r="M473" s="28" t="s">
        <v>664</v>
      </c>
      <c r="N473" s="28" t="s">
        <v>664</v>
      </c>
      <c r="O473" s="28" t="s">
        <v>664</v>
      </c>
      <c r="P473" s="28" t="s">
        <v>664</v>
      </c>
      <c r="Q473" s="28" t="s">
        <v>664</v>
      </c>
      <c r="R473" s="28" t="s">
        <v>664</v>
      </c>
    </row>
    <row r="474" spans="2:18" ht="78" x14ac:dyDescent="0.25">
      <c r="B474" s="26">
        <v>14</v>
      </c>
      <c r="C474" s="28" t="s">
        <v>1789</v>
      </c>
      <c r="D474" s="28" t="s">
        <v>1789</v>
      </c>
      <c r="E474" s="123">
        <v>45500</v>
      </c>
      <c r="F474" s="109">
        <v>4.3749999999999997E-2</v>
      </c>
      <c r="G474" s="26" t="s">
        <v>2477</v>
      </c>
      <c r="H474" s="124" t="s">
        <v>2478</v>
      </c>
      <c r="I474" s="124"/>
      <c r="J474" s="28" t="s">
        <v>2479</v>
      </c>
      <c r="K474" s="28" t="s">
        <v>664</v>
      </c>
      <c r="L474" s="28" t="s">
        <v>664</v>
      </c>
      <c r="M474" s="28" t="s">
        <v>664</v>
      </c>
      <c r="N474" s="28" t="s">
        <v>664</v>
      </c>
      <c r="O474" s="28" t="s">
        <v>664</v>
      </c>
      <c r="P474" s="28" t="s">
        <v>664</v>
      </c>
      <c r="Q474" s="28" t="s">
        <v>664</v>
      </c>
      <c r="R474" s="28" t="s">
        <v>664</v>
      </c>
    </row>
    <row r="475" spans="2:18" ht="58.5" x14ac:dyDescent="0.25">
      <c r="B475" s="26">
        <v>15</v>
      </c>
      <c r="C475" s="28" t="s">
        <v>1789</v>
      </c>
      <c r="D475" s="28" t="s">
        <v>1789</v>
      </c>
      <c r="E475" s="123">
        <v>45501</v>
      </c>
      <c r="F475" s="109">
        <v>0.91180555555555554</v>
      </c>
      <c r="G475" s="26" t="s">
        <v>2480</v>
      </c>
      <c r="H475" s="124" t="s">
        <v>385</v>
      </c>
      <c r="I475" s="124"/>
      <c r="J475" s="28" t="s">
        <v>2481</v>
      </c>
      <c r="K475" s="28" t="s">
        <v>664</v>
      </c>
      <c r="L475" s="28" t="s">
        <v>664</v>
      </c>
      <c r="M475" s="28" t="s">
        <v>664</v>
      </c>
      <c r="N475" s="28" t="s">
        <v>664</v>
      </c>
      <c r="O475" s="28" t="s">
        <v>664</v>
      </c>
      <c r="P475" s="28" t="s">
        <v>664</v>
      </c>
      <c r="Q475" s="28" t="s">
        <v>664</v>
      </c>
      <c r="R475" s="28" t="s">
        <v>664</v>
      </c>
    </row>
    <row r="476" spans="2:18" ht="78" x14ac:dyDescent="0.25">
      <c r="B476" s="26">
        <v>16</v>
      </c>
      <c r="C476" s="28" t="s">
        <v>1789</v>
      </c>
      <c r="D476" s="28" t="s">
        <v>1789</v>
      </c>
      <c r="E476" s="123">
        <v>45502</v>
      </c>
      <c r="F476" s="109">
        <v>0.26111111111111113</v>
      </c>
      <c r="G476" s="26" t="s">
        <v>2482</v>
      </c>
      <c r="H476" s="124" t="s">
        <v>1887</v>
      </c>
      <c r="I476" s="124"/>
      <c r="J476" s="28" t="s">
        <v>2483</v>
      </c>
      <c r="K476" s="28">
        <v>10000</v>
      </c>
      <c r="L476" s="28">
        <v>2990000</v>
      </c>
      <c r="M476" s="28"/>
      <c r="N476" s="28"/>
      <c r="O476" s="28"/>
      <c r="P476" s="28"/>
      <c r="Q476" s="28"/>
      <c r="R476" s="28"/>
    </row>
    <row r="477" spans="2:18" ht="58.5" x14ac:dyDescent="0.25">
      <c r="B477" s="26">
        <v>17</v>
      </c>
      <c r="C477" s="28" t="s">
        <v>1789</v>
      </c>
      <c r="D477" s="28" t="s">
        <v>1789</v>
      </c>
      <c r="E477" s="123">
        <v>45504</v>
      </c>
      <c r="F477" s="109">
        <v>0.61805555555555558</v>
      </c>
      <c r="G477" s="26" t="s">
        <v>2484</v>
      </c>
      <c r="H477" s="124" t="s">
        <v>385</v>
      </c>
      <c r="I477" s="124"/>
      <c r="J477" s="28" t="s">
        <v>2485</v>
      </c>
      <c r="K477" s="28" t="s">
        <v>664</v>
      </c>
      <c r="L477" s="28" t="s">
        <v>664</v>
      </c>
      <c r="M477" s="28" t="s">
        <v>664</v>
      </c>
      <c r="N477" s="28" t="s">
        <v>664</v>
      </c>
      <c r="O477" s="28" t="s">
        <v>664</v>
      </c>
      <c r="P477" s="28" t="s">
        <v>664</v>
      </c>
      <c r="Q477" s="28" t="s">
        <v>664</v>
      </c>
      <c r="R477" s="28" t="s">
        <v>664</v>
      </c>
    </row>
    <row r="478" spans="2:18" ht="39" x14ac:dyDescent="0.25">
      <c r="B478" s="28">
        <v>1</v>
      </c>
      <c r="C478" s="28" t="s">
        <v>1789</v>
      </c>
      <c r="D478" s="28" t="s">
        <v>1789</v>
      </c>
      <c r="E478" s="110">
        <v>45506</v>
      </c>
      <c r="F478" s="109">
        <v>0.61527777777777781</v>
      </c>
      <c r="G478" s="122" t="s">
        <v>2486</v>
      </c>
      <c r="H478" s="124" t="s">
        <v>385</v>
      </c>
      <c r="I478" s="124"/>
      <c r="J478" s="26" t="s">
        <v>2456</v>
      </c>
      <c r="K478" s="28">
        <v>10000</v>
      </c>
      <c r="L478" s="28">
        <v>4990000</v>
      </c>
      <c r="M478" s="28" t="s">
        <v>20</v>
      </c>
      <c r="N478" s="28" t="s">
        <v>20</v>
      </c>
      <c r="O478" s="28" t="s">
        <v>20</v>
      </c>
      <c r="P478" s="28" t="s">
        <v>20</v>
      </c>
      <c r="Q478" s="28" t="s">
        <v>20</v>
      </c>
      <c r="R478" s="28" t="s">
        <v>20</v>
      </c>
    </row>
    <row r="479" spans="2:18" ht="39" x14ac:dyDescent="0.25">
      <c r="B479" s="28">
        <v>2</v>
      </c>
      <c r="C479" s="28" t="s">
        <v>1789</v>
      </c>
      <c r="D479" s="28" t="s">
        <v>1789</v>
      </c>
      <c r="E479" s="123">
        <v>45507</v>
      </c>
      <c r="F479" s="109">
        <v>0.3298611111111111</v>
      </c>
      <c r="G479" s="122" t="s">
        <v>2487</v>
      </c>
      <c r="H479" s="124" t="s">
        <v>385</v>
      </c>
      <c r="I479" s="124"/>
      <c r="J479" s="122" t="s">
        <v>2458</v>
      </c>
      <c r="K479" s="28" t="s">
        <v>20</v>
      </c>
      <c r="L479" s="28" t="s">
        <v>20</v>
      </c>
      <c r="M479" s="28" t="s">
        <v>20</v>
      </c>
      <c r="N479" s="28" t="s">
        <v>20</v>
      </c>
      <c r="O479" s="28" t="s">
        <v>20</v>
      </c>
      <c r="P479" s="28" t="s">
        <v>20</v>
      </c>
      <c r="Q479" s="28" t="s">
        <v>20</v>
      </c>
      <c r="R479" s="28" t="s">
        <v>20</v>
      </c>
    </row>
    <row r="480" spans="2:18" ht="39" x14ac:dyDescent="0.25">
      <c r="B480" s="28">
        <v>3</v>
      </c>
      <c r="C480" s="28" t="s">
        <v>1789</v>
      </c>
      <c r="D480" s="28" t="s">
        <v>1789</v>
      </c>
      <c r="E480" s="123">
        <v>45507</v>
      </c>
      <c r="F480" s="109">
        <v>0.55833333333333335</v>
      </c>
      <c r="G480" s="122" t="s">
        <v>2488</v>
      </c>
      <c r="H480" s="124" t="s">
        <v>20</v>
      </c>
      <c r="I480" s="124"/>
      <c r="J480" s="122" t="s">
        <v>1940</v>
      </c>
      <c r="K480" s="28" t="s">
        <v>20</v>
      </c>
      <c r="L480" s="28" t="s">
        <v>20</v>
      </c>
      <c r="M480" s="28" t="s">
        <v>20</v>
      </c>
      <c r="N480" s="28" t="s">
        <v>20</v>
      </c>
      <c r="O480" s="28" t="s">
        <v>20</v>
      </c>
      <c r="P480" s="28" t="s">
        <v>20</v>
      </c>
      <c r="Q480" s="28" t="s">
        <v>20</v>
      </c>
      <c r="R480" s="28" t="s">
        <v>20</v>
      </c>
    </row>
    <row r="481" spans="2:18" ht="39" x14ac:dyDescent="0.25">
      <c r="B481" s="28">
        <v>4</v>
      </c>
      <c r="C481" s="28" t="s">
        <v>1789</v>
      </c>
      <c r="D481" s="28" t="s">
        <v>1789</v>
      </c>
      <c r="E481" s="123">
        <v>45508</v>
      </c>
      <c r="F481" s="109">
        <v>0.31319444444444444</v>
      </c>
      <c r="G481" s="122" t="s">
        <v>2489</v>
      </c>
      <c r="H481" s="124" t="s">
        <v>385</v>
      </c>
      <c r="I481" s="124"/>
      <c r="J481" s="122" t="s">
        <v>2458</v>
      </c>
      <c r="K481" s="28" t="s">
        <v>20</v>
      </c>
      <c r="L481" s="28" t="s">
        <v>20</v>
      </c>
      <c r="M481" s="28" t="s">
        <v>20</v>
      </c>
      <c r="N481" s="28" t="s">
        <v>20</v>
      </c>
      <c r="O481" s="28" t="s">
        <v>20</v>
      </c>
      <c r="P481" s="28" t="s">
        <v>20</v>
      </c>
      <c r="Q481" s="28" t="s">
        <v>20</v>
      </c>
      <c r="R481" s="28" t="s">
        <v>20</v>
      </c>
    </row>
    <row r="482" spans="2:18" ht="39" x14ac:dyDescent="0.25">
      <c r="B482" s="28">
        <v>5</v>
      </c>
      <c r="C482" s="28" t="s">
        <v>1789</v>
      </c>
      <c r="D482" s="28" t="s">
        <v>1789</v>
      </c>
      <c r="E482" s="123">
        <v>45515</v>
      </c>
      <c r="F482" s="109">
        <v>0.12986111111111112</v>
      </c>
      <c r="G482" s="122" t="s">
        <v>2490</v>
      </c>
      <c r="H482" s="124" t="s">
        <v>1904</v>
      </c>
      <c r="I482" s="124"/>
      <c r="J482" s="122" t="s">
        <v>2461</v>
      </c>
      <c r="K482" s="28">
        <v>200000</v>
      </c>
      <c r="L482" s="28">
        <v>1300000</v>
      </c>
      <c r="M482" s="28" t="s">
        <v>20</v>
      </c>
      <c r="N482" s="28" t="s">
        <v>20</v>
      </c>
      <c r="O482" s="28" t="s">
        <v>20</v>
      </c>
      <c r="P482" s="28" t="s">
        <v>20</v>
      </c>
      <c r="Q482" s="28" t="s">
        <v>20</v>
      </c>
      <c r="R482" s="28" t="s">
        <v>20</v>
      </c>
    </row>
    <row r="483" spans="2:18" ht="39" x14ac:dyDescent="0.25">
      <c r="B483" s="28">
        <v>6</v>
      </c>
      <c r="C483" s="28" t="s">
        <v>1789</v>
      </c>
      <c r="D483" s="28" t="s">
        <v>1789</v>
      </c>
      <c r="E483" s="123">
        <v>45516</v>
      </c>
      <c r="F483" s="109">
        <v>0.44305555555555554</v>
      </c>
      <c r="G483" s="122" t="s">
        <v>2491</v>
      </c>
      <c r="H483" s="124" t="s">
        <v>2169</v>
      </c>
      <c r="I483" s="124"/>
      <c r="J483" s="122" t="s">
        <v>20</v>
      </c>
      <c r="K483" s="28" t="s">
        <v>20</v>
      </c>
      <c r="L483" s="28" t="s">
        <v>20</v>
      </c>
      <c r="M483" s="28" t="s">
        <v>20</v>
      </c>
      <c r="N483" s="28" t="s">
        <v>20</v>
      </c>
      <c r="O483" s="28" t="s">
        <v>20</v>
      </c>
      <c r="P483" s="28" t="s">
        <v>20</v>
      </c>
      <c r="Q483" s="28" t="s">
        <v>20</v>
      </c>
      <c r="R483" s="28" t="s">
        <v>20</v>
      </c>
    </row>
    <row r="484" spans="2:18" ht="58.5" x14ac:dyDescent="0.25">
      <c r="B484" s="28">
        <v>7</v>
      </c>
      <c r="C484" s="28" t="s">
        <v>1789</v>
      </c>
      <c r="D484" s="28" t="s">
        <v>1789</v>
      </c>
      <c r="E484" s="123">
        <v>45516</v>
      </c>
      <c r="F484" s="109">
        <v>0.90347222222222223</v>
      </c>
      <c r="G484" s="122" t="s">
        <v>2492</v>
      </c>
      <c r="H484" s="124" t="s">
        <v>385</v>
      </c>
      <c r="I484" s="124"/>
      <c r="J484" s="122" t="s">
        <v>2493</v>
      </c>
      <c r="K484" s="28" t="s">
        <v>20</v>
      </c>
      <c r="L484" s="28" t="s">
        <v>20</v>
      </c>
      <c r="M484" s="28" t="s">
        <v>20</v>
      </c>
      <c r="N484" s="28" t="s">
        <v>20</v>
      </c>
      <c r="O484" s="28" t="s">
        <v>20</v>
      </c>
      <c r="P484" s="28" t="s">
        <v>20</v>
      </c>
      <c r="Q484" s="28" t="s">
        <v>20</v>
      </c>
      <c r="R484" s="28" t="s">
        <v>20</v>
      </c>
    </row>
    <row r="485" spans="2:18" ht="58.5" x14ac:dyDescent="0.25">
      <c r="B485" s="28">
        <v>8</v>
      </c>
      <c r="C485" s="28" t="s">
        <v>1789</v>
      </c>
      <c r="D485" s="28" t="s">
        <v>1789</v>
      </c>
      <c r="E485" s="123">
        <v>45519</v>
      </c>
      <c r="F485" s="109">
        <v>0.68263888888888891</v>
      </c>
      <c r="G485" s="122" t="s">
        <v>2494</v>
      </c>
      <c r="H485" s="124" t="s">
        <v>2495</v>
      </c>
      <c r="I485" s="124"/>
      <c r="J485" s="122" t="s">
        <v>2493</v>
      </c>
      <c r="K485" s="28" t="s">
        <v>20</v>
      </c>
      <c r="L485" s="28" t="s">
        <v>20</v>
      </c>
      <c r="M485" s="28" t="s">
        <v>20</v>
      </c>
      <c r="N485" s="28" t="s">
        <v>20</v>
      </c>
      <c r="O485" s="28" t="s">
        <v>20</v>
      </c>
      <c r="P485" s="28" t="s">
        <v>20</v>
      </c>
      <c r="Q485" s="28" t="s">
        <v>20</v>
      </c>
      <c r="R485" s="28" t="s">
        <v>20</v>
      </c>
    </row>
    <row r="486" spans="2:18" ht="58.5" x14ac:dyDescent="0.25">
      <c r="B486" s="28">
        <v>9</v>
      </c>
      <c r="C486" s="28" t="s">
        <v>1789</v>
      </c>
      <c r="D486" s="28" t="s">
        <v>1789</v>
      </c>
      <c r="E486" s="123">
        <v>45523</v>
      </c>
      <c r="F486" s="109">
        <v>0.64930555555555558</v>
      </c>
      <c r="G486" s="122" t="s">
        <v>2496</v>
      </c>
      <c r="H486" s="124" t="s">
        <v>20</v>
      </c>
      <c r="I486" s="124"/>
      <c r="J486" s="122" t="s">
        <v>2468</v>
      </c>
      <c r="K486" s="28" t="s">
        <v>20</v>
      </c>
      <c r="L486" s="28" t="s">
        <v>20</v>
      </c>
      <c r="M486" s="28" t="s">
        <v>20</v>
      </c>
      <c r="N486" s="28" t="s">
        <v>20</v>
      </c>
      <c r="O486" s="28" t="s">
        <v>20</v>
      </c>
      <c r="P486" s="28" t="s">
        <v>20</v>
      </c>
      <c r="Q486" s="28" t="s">
        <v>20</v>
      </c>
      <c r="R486" s="28" t="s">
        <v>20</v>
      </c>
    </row>
    <row r="487" spans="2:18" ht="39" x14ac:dyDescent="0.25">
      <c r="B487" s="26"/>
      <c r="C487" s="28" t="s">
        <v>1789</v>
      </c>
      <c r="D487" s="28" t="s">
        <v>1789</v>
      </c>
      <c r="E487" s="110">
        <v>45525</v>
      </c>
      <c r="F487" s="109">
        <v>0.68958333333333333</v>
      </c>
      <c r="G487" s="26" t="s">
        <v>2497</v>
      </c>
      <c r="H487" s="124" t="s">
        <v>1899</v>
      </c>
      <c r="I487" s="124"/>
      <c r="J487" s="26" t="s">
        <v>2498</v>
      </c>
      <c r="K487" s="28">
        <v>5000</v>
      </c>
      <c r="L487" s="28">
        <v>495000</v>
      </c>
      <c r="M487" s="28" t="s">
        <v>664</v>
      </c>
      <c r="N487" s="28" t="s">
        <v>664</v>
      </c>
      <c r="O487" s="28" t="s">
        <v>664</v>
      </c>
      <c r="P487" s="28" t="s">
        <v>664</v>
      </c>
      <c r="Q487" s="28" t="s">
        <v>664</v>
      </c>
      <c r="R487" s="28" t="s">
        <v>664</v>
      </c>
    </row>
    <row r="488" spans="2:18" ht="117" x14ac:dyDescent="0.25">
      <c r="B488" s="26">
        <v>11</v>
      </c>
      <c r="C488" s="28" t="s">
        <v>1789</v>
      </c>
      <c r="D488" s="28" t="s">
        <v>1789</v>
      </c>
      <c r="E488" s="123">
        <v>45529</v>
      </c>
      <c r="F488" s="109">
        <v>0.83194444444444449</v>
      </c>
      <c r="G488" s="26" t="s">
        <v>2499</v>
      </c>
      <c r="H488" s="124" t="s">
        <v>1899</v>
      </c>
      <c r="I488" s="124"/>
      <c r="J488" s="28" t="s">
        <v>2500</v>
      </c>
      <c r="K488" s="28" t="s">
        <v>20</v>
      </c>
      <c r="L488" s="28" t="s">
        <v>20</v>
      </c>
      <c r="M488" s="28" t="s">
        <v>664</v>
      </c>
      <c r="N488" s="28" t="s">
        <v>664</v>
      </c>
      <c r="O488" s="28" t="s">
        <v>664</v>
      </c>
      <c r="P488" s="28" t="s">
        <v>664</v>
      </c>
      <c r="Q488" s="28" t="s">
        <v>664</v>
      </c>
      <c r="R488" s="28" t="s">
        <v>664</v>
      </c>
    </row>
    <row r="489" spans="2:18" x14ac:dyDescent="0.25">
      <c r="B489" s="28">
        <v>1</v>
      </c>
      <c r="C489" s="28" t="s">
        <v>1789</v>
      </c>
      <c r="D489" s="28" t="s">
        <v>1789</v>
      </c>
      <c r="E489" s="110">
        <v>45567</v>
      </c>
      <c r="F489" s="109">
        <v>0.90069444444444446</v>
      </c>
      <c r="G489" s="122" t="s">
        <v>2501</v>
      </c>
      <c r="H489" s="124" t="s">
        <v>2502</v>
      </c>
      <c r="I489" s="124"/>
      <c r="J489" s="26" t="s">
        <v>2004</v>
      </c>
      <c r="K489" s="28" t="s">
        <v>20</v>
      </c>
      <c r="L489" s="28">
        <v>500000</v>
      </c>
      <c r="M489" s="28" t="s">
        <v>20</v>
      </c>
      <c r="N489" s="28" t="s">
        <v>20</v>
      </c>
      <c r="O489" s="28" t="s">
        <v>20</v>
      </c>
      <c r="P489" s="28" t="s">
        <v>20</v>
      </c>
      <c r="Q489" s="28" t="s">
        <v>20</v>
      </c>
      <c r="R489" s="28" t="s">
        <v>20</v>
      </c>
    </row>
    <row r="490" spans="2:18" x14ac:dyDescent="0.25">
      <c r="B490" s="28">
        <v>2</v>
      </c>
      <c r="C490" s="28" t="s">
        <v>1789</v>
      </c>
      <c r="D490" s="28" t="s">
        <v>1789</v>
      </c>
      <c r="E490" s="123">
        <v>45570</v>
      </c>
      <c r="F490" s="109">
        <v>0.92847222222222225</v>
      </c>
      <c r="G490" s="122" t="s">
        <v>2503</v>
      </c>
      <c r="H490" s="124" t="s">
        <v>2504</v>
      </c>
      <c r="I490" s="124"/>
      <c r="J490" s="122" t="s">
        <v>2505</v>
      </c>
      <c r="K490" s="28">
        <v>250000</v>
      </c>
      <c r="L490" s="28">
        <v>50000</v>
      </c>
      <c r="M490" s="28" t="s">
        <v>20</v>
      </c>
      <c r="N490" s="28" t="s">
        <v>20</v>
      </c>
      <c r="O490" s="28" t="s">
        <v>20</v>
      </c>
      <c r="P490" s="28" t="s">
        <v>20</v>
      </c>
      <c r="Q490" s="28" t="s">
        <v>20</v>
      </c>
      <c r="R490" s="28" t="s">
        <v>20</v>
      </c>
    </row>
    <row r="491" spans="2:18" x14ac:dyDescent="0.25">
      <c r="B491" s="28">
        <v>3</v>
      </c>
      <c r="C491" s="28" t="s">
        <v>1789</v>
      </c>
      <c r="D491" s="28" t="s">
        <v>1789</v>
      </c>
      <c r="E491" s="123">
        <v>45571</v>
      </c>
      <c r="F491" s="109">
        <v>0.60138888888888886</v>
      </c>
      <c r="G491" s="122" t="s">
        <v>2506</v>
      </c>
      <c r="H491" s="124" t="s">
        <v>385</v>
      </c>
      <c r="I491" s="124"/>
      <c r="J491" s="122" t="s">
        <v>2325</v>
      </c>
      <c r="K491" s="28">
        <v>100000</v>
      </c>
      <c r="L491" s="28">
        <v>8400000</v>
      </c>
      <c r="M491" s="28" t="s">
        <v>20</v>
      </c>
      <c r="N491" s="28" t="s">
        <v>20</v>
      </c>
      <c r="O491" s="28" t="s">
        <v>20</v>
      </c>
      <c r="P491" s="28" t="s">
        <v>20</v>
      </c>
      <c r="Q491" s="28" t="s">
        <v>20</v>
      </c>
      <c r="R491" s="28" t="s">
        <v>20</v>
      </c>
    </row>
    <row r="492" spans="2:18" x14ac:dyDescent="0.25">
      <c r="B492" s="28">
        <v>4</v>
      </c>
      <c r="C492" s="28" t="s">
        <v>1789</v>
      </c>
      <c r="D492" s="28" t="s">
        <v>1789</v>
      </c>
      <c r="E492" s="123">
        <v>43746</v>
      </c>
      <c r="F492" s="109">
        <v>0.32083333333333336</v>
      </c>
      <c r="G492" s="122" t="s">
        <v>2507</v>
      </c>
      <c r="H492" s="124" t="s">
        <v>1899</v>
      </c>
      <c r="I492" s="124"/>
      <c r="J492" s="122" t="s">
        <v>518</v>
      </c>
      <c r="K492" s="28">
        <v>100000</v>
      </c>
      <c r="L492" s="28">
        <v>300000</v>
      </c>
      <c r="M492" s="28" t="s">
        <v>20</v>
      </c>
      <c r="N492" s="28" t="s">
        <v>20</v>
      </c>
      <c r="O492" s="28" t="s">
        <v>20</v>
      </c>
      <c r="P492" s="28" t="s">
        <v>20</v>
      </c>
      <c r="Q492" s="28" t="s">
        <v>20</v>
      </c>
      <c r="R492" s="28" t="s">
        <v>20</v>
      </c>
    </row>
    <row r="493" spans="2:18" x14ac:dyDescent="0.25">
      <c r="B493" s="28">
        <v>5</v>
      </c>
      <c r="C493" s="28" t="s">
        <v>1789</v>
      </c>
      <c r="D493" s="28" t="s">
        <v>1789</v>
      </c>
      <c r="E493" s="123">
        <v>45573</v>
      </c>
      <c r="F493" s="109">
        <v>0.74930555555555556</v>
      </c>
      <c r="G493" s="122" t="s">
        <v>2508</v>
      </c>
      <c r="H493" s="124" t="s">
        <v>20</v>
      </c>
      <c r="I493" s="124"/>
      <c r="J493" s="122" t="s">
        <v>2509</v>
      </c>
      <c r="K493" s="28" t="s">
        <v>20</v>
      </c>
      <c r="L493" s="28" t="s">
        <v>20</v>
      </c>
      <c r="M493" s="28" t="s">
        <v>20</v>
      </c>
      <c r="N493" s="28" t="s">
        <v>20</v>
      </c>
      <c r="O493" s="28" t="s">
        <v>20</v>
      </c>
      <c r="P493" s="28" t="s">
        <v>20</v>
      </c>
      <c r="Q493" s="28" t="s">
        <v>20</v>
      </c>
      <c r="R493" s="28" t="s">
        <v>20</v>
      </c>
    </row>
    <row r="494" spans="2:18" x14ac:dyDescent="0.25">
      <c r="B494" s="28">
        <v>6</v>
      </c>
      <c r="C494" s="28" t="s">
        <v>1789</v>
      </c>
      <c r="D494" s="28" t="s">
        <v>1789</v>
      </c>
      <c r="E494" s="123">
        <v>45574</v>
      </c>
      <c r="F494" s="109">
        <v>4.3749999999999997E-2</v>
      </c>
      <c r="G494" s="122" t="s">
        <v>2510</v>
      </c>
      <c r="H494" s="124" t="s">
        <v>385</v>
      </c>
      <c r="I494" s="124"/>
      <c r="J494" s="122" t="s">
        <v>2511</v>
      </c>
      <c r="K494" s="28">
        <v>10000</v>
      </c>
      <c r="L494" s="28">
        <v>490000</v>
      </c>
      <c r="M494" s="28" t="s">
        <v>20</v>
      </c>
      <c r="N494" s="28" t="s">
        <v>20</v>
      </c>
      <c r="O494" s="28" t="s">
        <v>20</v>
      </c>
      <c r="P494" s="28" t="s">
        <v>20</v>
      </c>
      <c r="Q494" s="28" t="s">
        <v>20</v>
      </c>
      <c r="R494" s="28" t="s">
        <v>20</v>
      </c>
    </row>
    <row r="495" spans="2:18" x14ac:dyDescent="0.25">
      <c r="B495" s="28">
        <v>7</v>
      </c>
      <c r="C495" s="28" t="s">
        <v>1789</v>
      </c>
      <c r="D495" s="28" t="s">
        <v>1789</v>
      </c>
      <c r="E495" s="123">
        <v>45575</v>
      </c>
      <c r="F495" s="109">
        <v>3.7499999999999999E-2</v>
      </c>
      <c r="G495" s="122" t="s">
        <v>2512</v>
      </c>
      <c r="H495" s="124" t="s">
        <v>406</v>
      </c>
      <c r="I495" s="124"/>
      <c r="J495" s="122" t="s">
        <v>2505</v>
      </c>
      <c r="K495" s="28">
        <v>355000</v>
      </c>
      <c r="L495" s="28">
        <v>95000</v>
      </c>
      <c r="M495" s="28" t="s">
        <v>20</v>
      </c>
      <c r="N495" s="28" t="s">
        <v>20</v>
      </c>
      <c r="O495" s="28" t="s">
        <v>20</v>
      </c>
      <c r="P495" s="28" t="s">
        <v>20</v>
      </c>
      <c r="Q495" s="28" t="s">
        <v>20</v>
      </c>
      <c r="R495" s="28" t="s">
        <v>20</v>
      </c>
    </row>
    <row r="496" spans="2:18" x14ac:dyDescent="0.25">
      <c r="B496" s="28">
        <v>8</v>
      </c>
      <c r="C496" s="28" t="s">
        <v>1789</v>
      </c>
      <c r="D496" s="28" t="s">
        <v>1789</v>
      </c>
      <c r="E496" s="123">
        <v>45577</v>
      </c>
      <c r="F496" s="109">
        <v>0.61527777777777781</v>
      </c>
      <c r="G496" s="122" t="s">
        <v>2513</v>
      </c>
      <c r="H496" s="124" t="s">
        <v>20</v>
      </c>
      <c r="I496" s="124"/>
      <c r="J496" s="122" t="s">
        <v>2509</v>
      </c>
      <c r="K496" s="28" t="s">
        <v>20</v>
      </c>
      <c r="L496" s="28" t="s">
        <v>20</v>
      </c>
      <c r="M496" s="28" t="s">
        <v>20</v>
      </c>
      <c r="N496" s="28" t="s">
        <v>20</v>
      </c>
      <c r="O496" s="28" t="s">
        <v>20</v>
      </c>
      <c r="P496" s="28" t="s">
        <v>20</v>
      </c>
      <c r="Q496" s="28" t="s">
        <v>20</v>
      </c>
      <c r="R496" s="28" t="s">
        <v>20</v>
      </c>
    </row>
    <row r="497" spans="2:18" ht="39" x14ac:dyDescent="0.25">
      <c r="B497" s="28">
        <v>9</v>
      </c>
      <c r="C497" s="28" t="s">
        <v>1789</v>
      </c>
      <c r="D497" s="28" t="s">
        <v>1789</v>
      </c>
      <c r="E497" s="123">
        <v>45578</v>
      </c>
      <c r="F497" s="109">
        <v>7.0833333333333331E-2</v>
      </c>
      <c r="G497" s="122" t="s">
        <v>2514</v>
      </c>
      <c r="H497" s="124" t="s">
        <v>385</v>
      </c>
      <c r="I497" s="124"/>
      <c r="J497" s="122" t="s">
        <v>1947</v>
      </c>
      <c r="K497" s="28" t="s">
        <v>952</v>
      </c>
      <c r="L497" s="28" t="s">
        <v>20</v>
      </c>
      <c r="M497" s="28" t="s">
        <v>20</v>
      </c>
      <c r="N497" s="28" t="s">
        <v>20</v>
      </c>
      <c r="O497" s="28" t="s">
        <v>20</v>
      </c>
      <c r="P497" s="28" t="s">
        <v>20</v>
      </c>
      <c r="Q497" s="28" t="s">
        <v>20</v>
      </c>
      <c r="R497" s="28" t="s">
        <v>20</v>
      </c>
    </row>
    <row r="498" spans="2:18" ht="39" x14ac:dyDescent="0.25">
      <c r="B498" s="28"/>
      <c r="C498" s="28" t="s">
        <v>1789</v>
      </c>
      <c r="D498" s="28" t="s">
        <v>1789</v>
      </c>
      <c r="E498" s="110">
        <v>45578</v>
      </c>
      <c r="F498" s="109">
        <v>0.14791666666666667</v>
      </c>
      <c r="G498" s="26" t="s">
        <v>2515</v>
      </c>
      <c r="H498" s="124" t="s">
        <v>385</v>
      </c>
      <c r="I498" s="124"/>
      <c r="J498" s="26" t="s">
        <v>1999</v>
      </c>
      <c r="K498" s="28">
        <v>200000</v>
      </c>
      <c r="L498" s="28">
        <v>4800000</v>
      </c>
      <c r="M498" s="28" t="s">
        <v>664</v>
      </c>
      <c r="N498" s="28" t="s">
        <v>664</v>
      </c>
      <c r="O498" s="28" t="s">
        <v>664</v>
      </c>
      <c r="P498" s="28" t="s">
        <v>664</v>
      </c>
      <c r="Q498" s="28" t="s">
        <v>664</v>
      </c>
      <c r="R498" s="28" t="s">
        <v>664</v>
      </c>
    </row>
    <row r="499" spans="2:18" ht="39" x14ac:dyDescent="0.25">
      <c r="B499" s="28">
        <v>11</v>
      </c>
      <c r="C499" s="28" t="s">
        <v>1789</v>
      </c>
      <c r="D499" s="28" t="s">
        <v>1789</v>
      </c>
      <c r="E499" s="123">
        <v>45580</v>
      </c>
      <c r="F499" s="109">
        <v>0.28472222222222221</v>
      </c>
      <c r="G499" s="26" t="s">
        <v>2516</v>
      </c>
      <c r="H499" s="124" t="s">
        <v>385</v>
      </c>
      <c r="I499" s="124"/>
      <c r="J499" s="28" t="s">
        <v>480</v>
      </c>
      <c r="K499" s="28">
        <v>5000</v>
      </c>
      <c r="L499" s="28">
        <v>45000</v>
      </c>
      <c r="M499" s="28" t="s">
        <v>664</v>
      </c>
      <c r="N499" s="28" t="s">
        <v>664</v>
      </c>
      <c r="O499" s="28" t="s">
        <v>664</v>
      </c>
      <c r="P499" s="28" t="s">
        <v>664</v>
      </c>
      <c r="Q499" s="28" t="s">
        <v>664</v>
      </c>
      <c r="R499" s="28" t="s">
        <v>664</v>
      </c>
    </row>
    <row r="500" spans="2:18" x14ac:dyDescent="0.25">
      <c r="B500" s="28">
        <v>12</v>
      </c>
      <c r="C500" s="28" t="s">
        <v>1789</v>
      </c>
      <c r="D500" s="28" t="s">
        <v>1789</v>
      </c>
      <c r="E500" s="123">
        <v>45582</v>
      </c>
      <c r="F500" s="109">
        <v>1.2500000000000001E-2</v>
      </c>
      <c r="G500" s="26" t="s">
        <v>2084</v>
      </c>
      <c r="H500" s="124" t="s">
        <v>1904</v>
      </c>
      <c r="I500" s="124"/>
      <c r="J500" s="28" t="s">
        <v>2160</v>
      </c>
      <c r="K500" s="28">
        <v>500</v>
      </c>
      <c r="L500" s="28">
        <v>49500</v>
      </c>
      <c r="M500" s="28" t="s">
        <v>664</v>
      </c>
      <c r="N500" s="28" t="s">
        <v>664</v>
      </c>
      <c r="O500" s="28" t="s">
        <v>664</v>
      </c>
      <c r="P500" s="28" t="s">
        <v>664</v>
      </c>
      <c r="Q500" s="28" t="s">
        <v>664</v>
      </c>
      <c r="R500" s="28" t="s">
        <v>664</v>
      </c>
    </row>
    <row r="501" spans="2:18" ht="39" x14ac:dyDescent="0.25">
      <c r="B501" s="28">
        <v>13</v>
      </c>
      <c r="C501" s="28" t="s">
        <v>1789</v>
      </c>
      <c r="D501" s="28" t="s">
        <v>1789</v>
      </c>
      <c r="E501" s="123">
        <v>45582</v>
      </c>
      <c r="F501" s="109">
        <v>0.37222222222222223</v>
      </c>
      <c r="G501" s="26" t="s">
        <v>2517</v>
      </c>
      <c r="H501" s="124" t="s">
        <v>385</v>
      </c>
      <c r="I501" s="124"/>
      <c r="J501" s="28" t="s">
        <v>480</v>
      </c>
      <c r="K501" s="28">
        <v>15000</v>
      </c>
      <c r="L501" s="28">
        <v>35000</v>
      </c>
      <c r="M501" s="28" t="s">
        <v>20</v>
      </c>
      <c r="N501" s="28" t="s">
        <v>20</v>
      </c>
      <c r="O501" s="28" t="s">
        <v>20</v>
      </c>
      <c r="P501" s="28" t="s">
        <v>20</v>
      </c>
      <c r="Q501" s="28" t="s">
        <v>20</v>
      </c>
      <c r="R501" s="28" t="s">
        <v>20</v>
      </c>
    </row>
    <row r="502" spans="2:18" x14ac:dyDescent="0.25">
      <c r="B502" s="28">
        <v>14</v>
      </c>
      <c r="C502" s="28" t="s">
        <v>1789</v>
      </c>
      <c r="D502" s="28" t="s">
        <v>1789</v>
      </c>
      <c r="E502" s="123">
        <v>45583</v>
      </c>
      <c r="F502" s="109">
        <v>0.90763888888888888</v>
      </c>
      <c r="G502" s="26" t="s">
        <v>2518</v>
      </c>
      <c r="H502" s="124" t="s">
        <v>385</v>
      </c>
      <c r="I502" s="124"/>
      <c r="J502" s="28" t="s">
        <v>2519</v>
      </c>
      <c r="K502" s="28">
        <v>100000</v>
      </c>
      <c r="L502" s="28">
        <v>700000</v>
      </c>
      <c r="M502" s="28" t="s">
        <v>20</v>
      </c>
      <c r="N502" s="28" t="s">
        <v>20</v>
      </c>
      <c r="O502" s="28" t="s">
        <v>20</v>
      </c>
      <c r="P502" s="28" t="s">
        <v>20</v>
      </c>
      <c r="Q502" s="28" t="s">
        <v>20</v>
      </c>
      <c r="R502" s="28" t="s">
        <v>20</v>
      </c>
    </row>
    <row r="503" spans="2:18" x14ac:dyDescent="0.25">
      <c r="B503" s="28">
        <v>15</v>
      </c>
      <c r="C503" s="28" t="s">
        <v>1789</v>
      </c>
      <c r="D503" s="28" t="s">
        <v>1789</v>
      </c>
      <c r="E503" s="123">
        <v>45586</v>
      </c>
      <c r="F503" s="109">
        <v>0.52083333333333337</v>
      </c>
      <c r="G503" s="26" t="s">
        <v>2520</v>
      </c>
      <c r="H503" s="124" t="s">
        <v>20</v>
      </c>
      <c r="I503" s="124"/>
      <c r="J503" s="28" t="s">
        <v>2521</v>
      </c>
      <c r="K503" s="28" t="s">
        <v>20</v>
      </c>
      <c r="L503" s="28" t="s">
        <v>20</v>
      </c>
      <c r="M503" s="28" t="s">
        <v>20</v>
      </c>
      <c r="N503" s="28" t="s">
        <v>20</v>
      </c>
      <c r="O503" s="28" t="s">
        <v>20</v>
      </c>
      <c r="P503" s="28" t="s">
        <v>20</v>
      </c>
      <c r="Q503" s="28" t="s">
        <v>20</v>
      </c>
      <c r="R503" s="28" t="s">
        <v>20</v>
      </c>
    </row>
    <row r="504" spans="2:18" x14ac:dyDescent="0.25">
      <c r="B504" s="28">
        <v>16</v>
      </c>
      <c r="C504" s="28" t="s">
        <v>1789</v>
      </c>
      <c r="D504" s="28" t="s">
        <v>1789</v>
      </c>
      <c r="E504" s="123">
        <v>45586</v>
      </c>
      <c r="F504" s="109">
        <v>0.76041666666666663</v>
      </c>
      <c r="G504" s="26" t="s">
        <v>2522</v>
      </c>
      <c r="H504" s="124" t="s">
        <v>385</v>
      </c>
      <c r="I504" s="124"/>
      <c r="J504" s="28" t="s">
        <v>2523</v>
      </c>
      <c r="K504" s="28">
        <v>5000</v>
      </c>
      <c r="L504" s="28">
        <v>45000</v>
      </c>
      <c r="M504" s="28" t="s">
        <v>20</v>
      </c>
      <c r="N504" s="28" t="s">
        <v>20</v>
      </c>
      <c r="O504" s="28" t="s">
        <v>20</v>
      </c>
      <c r="P504" s="28" t="s">
        <v>20</v>
      </c>
      <c r="Q504" s="28" t="s">
        <v>20</v>
      </c>
      <c r="R504" s="28" t="s">
        <v>20</v>
      </c>
    </row>
    <row r="505" spans="2:18" ht="39" x14ac:dyDescent="0.25">
      <c r="B505" s="28">
        <v>17</v>
      </c>
      <c r="C505" s="28" t="s">
        <v>1789</v>
      </c>
      <c r="D505" s="28" t="s">
        <v>1789</v>
      </c>
      <c r="E505" s="123">
        <v>45588</v>
      </c>
      <c r="F505" s="109">
        <v>0.40069444444444446</v>
      </c>
      <c r="G505" s="26" t="s">
        <v>2524</v>
      </c>
      <c r="H505" s="124" t="s">
        <v>1904</v>
      </c>
      <c r="I505" s="124"/>
      <c r="J505" s="28" t="s">
        <v>2019</v>
      </c>
      <c r="K505" s="28">
        <v>5000</v>
      </c>
      <c r="L505" s="28">
        <v>15000</v>
      </c>
      <c r="M505" s="28" t="s">
        <v>20</v>
      </c>
      <c r="N505" s="28" t="s">
        <v>20</v>
      </c>
      <c r="O505" s="28" t="s">
        <v>20</v>
      </c>
      <c r="P505" s="28" t="s">
        <v>20</v>
      </c>
      <c r="Q505" s="28" t="s">
        <v>20</v>
      </c>
      <c r="R505" s="28" t="s">
        <v>20</v>
      </c>
    </row>
    <row r="506" spans="2:18" ht="39" x14ac:dyDescent="0.25">
      <c r="B506" s="28">
        <v>18</v>
      </c>
      <c r="C506" s="28" t="s">
        <v>1789</v>
      </c>
      <c r="D506" s="28" t="s">
        <v>1789</v>
      </c>
      <c r="E506" s="123">
        <v>45589</v>
      </c>
      <c r="F506" s="109">
        <v>0.80277777777777781</v>
      </c>
      <c r="G506" s="26" t="s">
        <v>2525</v>
      </c>
      <c r="H506" s="124" t="s">
        <v>1904</v>
      </c>
      <c r="I506" s="124"/>
      <c r="J506" s="28" t="s">
        <v>2019</v>
      </c>
      <c r="K506" s="28">
        <v>5000</v>
      </c>
      <c r="L506" s="28">
        <v>15000</v>
      </c>
      <c r="M506" s="28" t="s">
        <v>20</v>
      </c>
      <c r="N506" s="28" t="s">
        <v>20</v>
      </c>
      <c r="O506" s="28" t="s">
        <v>20</v>
      </c>
      <c r="P506" s="28" t="s">
        <v>20</v>
      </c>
      <c r="Q506" s="28" t="s">
        <v>20</v>
      </c>
      <c r="R506" s="28" t="s">
        <v>20</v>
      </c>
    </row>
    <row r="507" spans="2:18" x14ac:dyDescent="0.25">
      <c r="B507" s="28">
        <v>19</v>
      </c>
      <c r="C507" s="28" t="s">
        <v>1789</v>
      </c>
      <c r="D507" s="28" t="s">
        <v>1789</v>
      </c>
      <c r="E507" s="123">
        <v>45591</v>
      </c>
      <c r="F507" s="109">
        <v>0.88055555555555554</v>
      </c>
      <c r="G507" s="26" t="s">
        <v>2526</v>
      </c>
      <c r="H507" s="124" t="s">
        <v>20</v>
      </c>
      <c r="I507" s="124"/>
      <c r="J507" s="28" t="s">
        <v>2521</v>
      </c>
      <c r="K507" s="28" t="s">
        <v>20</v>
      </c>
      <c r="L507" s="28" t="s">
        <v>20</v>
      </c>
      <c r="M507" s="28" t="s">
        <v>20</v>
      </c>
      <c r="N507" s="28" t="s">
        <v>20</v>
      </c>
      <c r="O507" s="28" t="s">
        <v>20</v>
      </c>
      <c r="P507" s="28" t="s">
        <v>20</v>
      </c>
      <c r="Q507" s="28" t="s">
        <v>20</v>
      </c>
      <c r="R507" s="28" t="s">
        <v>20</v>
      </c>
    </row>
    <row r="508" spans="2:18" ht="39" x14ac:dyDescent="0.25">
      <c r="B508" s="28">
        <v>20</v>
      </c>
      <c r="C508" s="28" t="s">
        <v>1789</v>
      </c>
      <c r="D508" s="28" t="s">
        <v>1789</v>
      </c>
      <c r="E508" s="123">
        <v>45593</v>
      </c>
      <c r="F508" s="109">
        <v>0.99583333333333335</v>
      </c>
      <c r="G508" s="26" t="s">
        <v>2527</v>
      </c>
      <c r="H508" s="124" t="s">
        <v>1904</v>
      </c>
      <c r="I508" s="124"/>
      <c r="J508" s="28" t="s">
        <v>2528</v>
      </c>
      <c r="K508" s="28">
        <v>5000</v>
      </c>
      <c r="L508" s="28">
        <v>95000</v>
      </c>
      <c r="M508" s="28" t="s">
        <v>20</v>
      </c>
      <c r="N508" s="28" t="s">
        <v>20</v>
      </c>
      <c r="O508" s="28" t="s">
        <v>20</v>
      </c>
      <c r="P508" s="28" t="s">
        <v>20</v>
      </c>
      <c r="Q508" s="28" t="s">
        <v>20</v>
      </c>
      <c r="R508" s="28" t="s">
        <v>20</v>
      </c>
    </row>
    <row r="509" spans="2:18" x14ac:dyDescent="0.25">
      <c r="B509" s="28">
        <v>21</v>
      </c>
      <c r="C509" s="28" t="s">
        <v>1789</v>
      </c>
      <c r="D509" s="28" t="s">
        <v>1789</v>
      </c>
      <c r="E509" s="123">
        <v>45595</v>
      </c>
      <c r="F509" s="109">
        <v>0.44791666666666669</v>
      </c>
      <c r="G509" s="26" t="s">
        <v>2529</v>
      </c>
      <c r="H509" s="124" t="s">
        <v>20</v>
      </c>
      <c r="I509" s="124"/>
      <c r="J509" s="28" t="s">
        <v>2521</v>
      </c>
      <c r="K509" s="28" t="s">
        <v>20</v>
      </c>
      <c r="L509" s="28" t="s">
        <v>20</v>
      </c>
      <c r="M509" s="28" t="s">
        <v>20</v>
      </c>
      <c r="N509" s="28" t="s">
        <v>20</v>
      </c>
      <c r="O509" s="28" t="s">
        <v>20</v>
      </c>
      <c r="P509" s="28" t="s">
        <v>20</v>
      </c>
      <c r="Q509" s="28" t="s">
        <v>20</v>
      </c>
      <c r="R509" s="28" t="s">
        <v>20</v>
      </c>
    </row>
    <row r="510" spans="2:18" x14ac:dyDescent="0.25">
      <c r="B510" s="28">
        <v>22</v>
      </c>
      <c r="C510" s="28" t="s">
        <v>1789</v>
      </c>
      <c r="D510" s="28" t="s">
        <v>1789</v>
      </c>
      <c r="E510" s="123">
        <v>45595</v>
      </c>
      <c r="F510" s="109">
        <v>0.76249999999999996</v>
      </c>
      <c r="G510" s="26" t="s">
        <v>2530</v>
      </c>
      <c r="H510" s="124" t="s">
        <v>1904</v>
      </c>
      <c r="I510" s="124"/>
      <c r="J510" s="28" t="s">
        <v>2047</v>
      </c>
      <c r="K510" s="28">
        <v>80000</v>
      </c>
      <c r="L510" s="28">
        <v>20000</v>
      </c>
      <c r="M510" s="28" t="s">
        <v>20</v>
      </c>
      <c r="N510" s="28" t="s">
        <v>20</v>
      </c>
      <c r="O510" s="28" t="s">
        <v>20</v>
      </c>
      <c r="P510" s="28" t="s">
        <v>20</v>
      </c>
      <c r="Q510" s="28" t="s">
        <v>20</v>
      </c>
      <c r="R510" s="28" t="s">
        <v>20</v>
      </c>
    </row>
    <row r="511" spans="2:18" x14ac:dyDescent="0.25">
      <c r="B511" s="28">
        <v>23</v>
      </c>
      <c r="C511" s="28" t="s">
        <v>1789</v>
      </c>
      <c r="D511" s="28" t="s">
        <v>1789</v>
      </c>
      <c r="E511" s="123">
        <v>45595</v>
      </c>
      <c r="F511" s="109">
        <v>0.89583333333333337</v>
      </c>
      <c r="G511" s="26" t="s">
        <v>2531</v>
      </c>
      <c r="H511" s="124" t="s">
        <v>1904</v>
      </c>
      <c r="I511" s="124"/>
      <c r="J511" s="28" t="s">
        <v>2017</v>
      </c>
      <c r="K511" s="28">
        <v>5000</v>
      </c>
      <c r="L511" s="28">
        <v>95000</v>
      </c>
      <c r="M511" s="28" t="s">
        <v>20</v>
      </c>
      <c r="N511" s="28" t="s">
        <v>20</v>
      </c>
      <c r="O511" s="28" t="s">
        <v>20</v>
      </c>
      <c r="P511" s="28" t="s">
        <v>20</v>
      </c>
      <c r="Q511" s="28" t="s">
        <v>20</v>
      </c>
      <c r="R511" s="28" t="s">
        <v>20</v>
      </c>
    </row>
    <row r="512" spans="2:18" x14ac:dyDescent="0.25">
      <c r="B512" s="28">
        <v>24</v>
      </c>
      <c r="C512" s="28" t="s">
        <v>1789</v>
      </c>
      <c r="D512" s="28" t="s">
        <v>1789</v>
      </c>
      <c r="E512" s="122" t="s">
        <v>1769</v>
      </c>
      <c r="F512" s="109">
        <v>0.91041666666666665</v>
      </c>
      <c r="G512" s="26" t="s">
        <v>2532</v>
      </c>
      <c r="H512" s="124" t="s">
        <v>1904</v>
      </c>
      <c r="I512" s="124"/>
      <c r="J512" s="28" t="s">
        <v>2533</v>
      </c>
      <c r="K512" s="28">
        <v>20000</v>
      </c>
      <c r="L512" s="28">
        <v>180000</v>
      </c>
      <c r="M512" s="28"/>
      <c r="N512" s="28"/>
      <c r="O512" s="28"/>
      <c r="P512" s="28"/>
      <c r="Q512" s="28"/>
      <c r="R512" s="28"/>
    </row>
    <row r="513" spans="2:18" x14ac:dyDescent="0.25">
      <c r="B513" s="28">
        <v>25</v>
      </c>
      <c r="C513" s="28" t="s">
        <v>1789</v>
      </c>
      <c r="D513" s="28" t="s">
        <v>1789</v>
      </c>
      <c r="E513" s="123">
        <v>45596</v>
      </c>
      <c r="F513" s="109">
        <v>8.5416666666666669E-2</v>
      </c>
      <c r="G513" s="26" t="s">
        <v>2534</v>
      </c>
      <c r="H513" s="124" t="s">
        <v>2535</v>
      </c>
      <c r="I513" s="124"/>
      <c r="J513" s="28" t="s">
        <v>2521</v>
      </c>
      <c r="K513" s="28" t="s">
        <v>20</v>
      </c>
      <c r="L513" s="28" t="s">
        <v>20</v>
      </c>
      <c r="M513" s="28" t="s">
        <v>20</v>
      </c>
      <c r="N513" s="28" t="s">
        <v>20</v>
      </c>
      <c r="O513" s="28" t="s">
        <v>20</v>
      </c>
      <c r="P513" s="28" t="s">
        <v>20</v>
      </c>
      <c r="Q513" s="28" t="s">
        <v>20</v>
      </c>
      <c r="R513" s="28" t="s">
        <v>20</v>
      </c>
    </row>
    <row r="514" spans="2:18" x14ac:dyDescent="0.25">
      <c r="B514" s="28">
        <v>26</v>
      </c>
      <c r="C514" s="28" t="s">
        <v>1789</v>
      </c>
      <c r="D514" s="28" t="s">
        <v>1789</v>
      </c>
      <c r="E514" s="123">
        <v>45596</v>
      </c>
      <c r="F514" s="109">
        <v>0.61944444444444446</v>
      </c>
      <c r="G514" s="26" t="s">
        <v>2536</v>
      </c>
      <c r="H514" s="124" t="s">
        <v>2535</v>
      </c>
      <c r="I514" s="124"/>
      <c r="J514" s="28" t="s">
        <v>2537</v>
      </c>
      <c r="K514" s="28">
        <v>990000</v>
      </c>
      <c r="L514" s="28">
        <v>4010000</v>
      </c>
      <c r="M514" s="28" t="s">
        <v>20</v>
      </c>
      <c r="N514" s="28" t="s">
        <v>20</v>
      </c>
      <c r="O514" s="28" t="s">
        <v>20</v>
      </c>
      <c r="P514" s="28" t="s">
        <v>20</v>
      </c>
      <c r="Q514" s="28" t="s">
        <v>20</v>
      </c>
      <c r="R514" s="28" t="s">
        <v>20</v>
      </c>
    </row>
    <row r="515" spans="2:18" x14ac:dyDescent="0.25">
      <c r="B515" s="28">
        <v>27</v>
      </c>
      <c r="C515" s="28" t="s">
        <v>1789</v>
      </c>
      <c r="D515" s="28" t="s">
        <v>1789</v>
      </c>
      <c r="E515" s="123">
        <v>45596</v>
      </c>
      <c r="F515" s="109">
        <v>0.68333333333333335</v>
      </c>
      <c r="G515" s="26" t="s">
        <v>2538</v>
      </c>
      <c r="H515" s="124" t="s">
        <v>385</v>
      </c>
      <c r="I515" s="124"/>
      <c r="J515" s="28" t="s">
        <v>480</v>
      </c>
      <c r="K515" s="28">
        <v>500</v>
      </c>
      <c r="L515" s="28">
        <v>9500</v>
      </c>
      <c r="M515" s="28" t="s">
        <v>20</v>
      </c>
      <c r="N515" s="28" t="s">
        <v>20</v>
      </c>
      <c r="O515" s="28" t="s">
        <v>20</v>
      </c>
      <c r="P515" s="28" t="s">
        <v>20</v>
      </c>
      <c r="Q515" s="28" t="s">
        <v>20</v>
      </c>
      <c r="R515" s="28" t="s">
        <v>20</v>
      </c>
    </row>
    <row r="516" spans="2:18" ht="39" x14ac:dyDescent="0.25">
      <c r="B516" s="28">
        <v>28</v>
      </c>
      <c r="C516" s="28" t="s">
        <v>1789</v>
      </c>
      <c r="D516" s="28" t="s">
        <v>1789</v>
      </c>
      <c r="E516" s="123">
        <v>45596</v>
      </c>
      <c r="F516" s="109">
        <v>0.8256944444444444</v>
      </c>
      <c r="G516" s="26" t="s">
        <v>2539</v>
      </c>
      <c r="H516" s="124" t="s">
        <v>1989</v>
      </c>
      <c r="I516" s="124"/>
      <c r="J516" s="28" t="s">
        <v>518</v>
      </c>
      <c r="K516" s="28">
        <v>10000</v>
      </c>
      <c r="L516" s="28">
        <v>1990000</v>
      </c>
      <c r="M516" s="28" t="s">
        <v>20</v>
      </c>
      <c r="N516" s="28" t="s">
        <v>20</v>
      </c>
      <c r="O516" s="28" t="s">
        <v>20</v>
      </c>
      <c r="P516" s="28" t="s">
        <v>20</v>
      </c>
      <c r="Q516" s="28" t="s">
        <v>20</v>
      </c>
      <c r="R516" s="28" t="s">
        <v>20</v>
      </c>
    </row>
    <row r="517" spans="2:18" x14ac:dyDescent="0.25">
      <c r="B517" s="28">
        <v>29</v>
      </c>
      <c r="C517" s="28" t="s">
        <v>1789</v>
      </c>
      <c r="D517" s="28" t="s">
        <v>1789</v>
      </c>
      <c r="E517" s="123">
        <v>45596</v>
      </c>
      <c r="F517" s="109">
        <v>0.89166666666666672</v>
      </c>
      <c r="G517" s="26" t="s">
        <v>2540</v>
      </c>
      <c r="H517" s="124" t="s">
        <v>2541</v>
      </c>
      <c r="I517" s="124"/>
      <c r="J517" s="28" t="s">
        <v>2542</v>
      </c>
      <c r="K517" s="28">
        <v>80000</v>
      </c>
      <c r="L517" s="28">
        <v>120000</v>
      </c>
      <c r="M517" s="28" t="s">
        <v>20</v>
      </c>
      <c r="N517" s="28" t="s">
        <v>20</v>
      </c>
      <c r="O517" s="28" t="s">
        <v>20</v>
      </c>
      <c r="P517" s="28" t="s">
        <v>20</v>
      </c>
      <c r="Q517" s="28" t="s">
        <v>20</v>
      </c>
      <c r="R517" s="28" t="s">
        <v>20</v>
      </c>
    </row>
    <row r="518" spans="2:18" x14ac:dyDescent="0.25">
      <c r="B518" s="28">
        <v>30</v>
      </c>
      <c r="C518" s="28" t="s">
        <v>1789</v>
      </c>
      <c r="D518" s="28" t="s">
        <v>1789</v>
      </c>
      <c r="E518" s="123">
        <v>45596</v>
      </c>
      <c r="F518" s="109">
        <v>0.91041666666666665</v>
      </c>
      <c r="G518" s="26" t="s">
        <v>2543</v>
      </c>
      <c r="H518" s="124" t="s">
        <v>2535</v>
      </c>
      <c r="I518" s="124"/>
      <c r="J518" s="28" t="s">
        <v>2035</v>
      </c>
      <c r="K518" s="28">
        <v>10000</v>
      </c>
      <c r="L518" s="28">
        <v>490000</v>
      </c>
      <c r="M518" s="28" t="s">
        <v>20</v>
      </c>
      <c r="N518" s="28" t="s">
        <v>20</v>
      </c>
      <c r="O518" s="28" t="s">
        <v>20</v>
      </c>
      <c r="P518" s="28" t="s">
        <v>20</v>
      </c>
      <c r="Q518" s="28" t="s">
        <v>20</v>
      </c>
      <c r="R518" s="28" t="s">
        <v>20</v>
      </c>
    </row>
    <row r="519" spans="2:18" x14ac:dyDescent="0.25">
      <c r="B519" s="28">
        <v>31</v>
      </c>
      <c r="C519" s="28" t="s">
        <v>1789</v>
      </c>
      <c r="D519" s="28" t="s">
        <v>1789</v>
      </c>
      <c r="E519" s="123">
        <v>45596</v>
      </c>
      <c r="F519" s="109">
        <v>0.98333333333333328</v>
      </c>
      <c r="G519" s="26" t="s">
        <v>2544</v>
      </c>
      <c r="H519" s="124" t="s">
        <v>2535</v>
      </c>
      <c r="I519" s="124"/>
      <c r="J519" s="28" t="s">
        <v>1994</v>
      </c>
      <c r="K519" s="28">
        <v>500</v>
      </c>
      <c r="L519" s="28">
        <v>499500</v>
      </c>
      <c r="M519" s="28"/>
      <c r="N519" s="28"/>
      <c r="O519" s="28"/>
      <c r="P519" s="28"/>
      <c r="Q519" s="28"/>
      <c r="R519" s="28"/>
    </row>
    <row r="520" spans="2:18" ht="58.5" x14ac:dyDescent="0.25">
      <c r="B520" s="28">
        <v>1</v>
      </c>
      <c r="C520" s="28" t="s">
        <v>1789</v>
      </c>
      <c r="D520" s="28" t="s">
        <v>1789</v>
      </c>
      <c r="E520" s="110" t="s">
        <v>4838</v>
      </c>
      <c r="F520" s="109">
        <v>0.19791666666666666</v>
      </c>
      <c r="G520" s="122" t="s">
        <v>4839</v>
      </c>
      <c r="H520" s="122" t="s">
        <v>3468</v>
      </c>
      <c r="I520" s="122"/>
      <c r="J520" s="26" t="s">
        <v>4840</v>
      </c>
      <c r="K520" s="122">
        <v>15000</v>
      </c>
      <c r="L520" s="122">
        <v>25000</v>
      </c>
      <c r="M520" s="26" t="s">
        <v>20</v>
      </c>
      <c r="N520" s="26" t="s">
        <v>20</v>
      </c>
      <c r="O520" s="26" t="s">
        <v>20</v>
      </c>
      <c r="P520" s="26" t="s">
        <v>20</v>
      </c>
      <c r="Q520" s="26" t="s">
        <v>20</v>
      </c>
      <c r="R520" s="26" t="s">
        <v>20</v>
      </c>
    </row>
    <row r="521" spans="2:18" ht="39" x14ac:dyDescent="0.25">
      <c r="B521" s="28">
        <v>2</v>
      </c>
      <c r="C521" s="28" t="s">
        <v>1789</v>
      </c>
      <c r="D521" s="28" t="s">
        <v>1789</v>
      </c>
      <c r="E521" s="123" t="s">
        <v>4838</v>
      </c>
      <c r="F521" s="109">
        <v>0.23194444444444445</v>
      </c>
      <c r="G521" s="122" t="s">
        <v>4841</v>
      </c>
      <c r="H521" s="122" t="s">
        <v>3468</v>
      </c>
      <c r="I521" s="122"/>
      <c r="J521" s="122" t="s">
        <v>2243</v>
      </c>
      <c r="K521" s="122">
        <v>120000</v>
      </c>
      <c r="L521" s="122">
        <v>30000</v>
      </c>
      <c r="M521" s="26" t="s">
        <v>20</v>
      </c>
      <c r="N521" s="26" t="s">
        <v>20</v>
      </c>
      <c r="O521" s="26" t="s">
        <v>20</v>
      </c>
      <c r="P521" s="26" t="s">
        <v>20</v>
      </c>
      <c r="Q521" s="26" t="s">
        <v>20</v>
      </c>
      <c r="R521" s="26" t="s">
        <v>20</v>
      </c>
    </row>
    <row r="522" spans="2:18" ht="39" x14ac:dyDescent="0.25">
      <c r="B522" s="28">
        <v>3</v>
      </c>
      <c r="C522" s="28" t="s">
        <v>1789</v>
      </c>
      <c r="D522" s="28" t="s">
        <v>1789</v>
      </c>
      <c r="E522" s="123" t="s">
        <v>4838</v>
      </c>
      <c r="F522" s="109">
        <v>0.45208333333333334</v>
      </c>
      <c r="G522" s="122" t="s">
        <v>4842</v>
      </c>
      <c r="H522" s="122" t="s">
        <v>20</v>
      </c>
      <c r="I522" s="122"/>
      <c r="J522" s="122" t="s">
        <v>4843</v>
      </c>
      <c r="K522" s="122" t="s">
        <v>20</v>
      </c>
      <c r="L522" s="122" t="s">
        <v>20</v>
      </c>
      <c r="M522" s="26" t="s">
        <v>20</v>
      </c>
      <c r="N522" s="26" t="s">
        <v>20</v>
      </c>
      <c r="O522" s="26" t="s">
        <v>20</v>
      </c>
      <c r="P522" s="26" t="s">
        <v>20</v>
      </c>
      <c r="Q522" s="26" t="s">
        <v>20</v>
      </c>
      <c r="R522" s="26" t="s">
        <v>20</v>
      </c>
    </row>
    <row r="523" spans="2:18" ht="58.5" x14ac:dyDescent="0.25">
      <c r="B523" s="28">
        <v>4</v>
      </c>
      <c r="C523" s="28" t="s">
        <v>1789</v>
      </c>
      <c r="D523" s="28" t="s">
        <v>1789</v>
      </c>
      <c r="E523" s="123" t="s">
        <v>4838</v>
      </c>
      <c r="F523" s="109">
        <v>0.87847222222222221</v>
      </c>
      <c r="G523" s="122" t="s">
        <v>4844</v>
      </c>
      <c r="H523" s="122" t="s">
        <v>3468</v>
      </c>
      <c r="I523" s="122"/>
      <c r="J523" s="122" t="s">
        <v>4843</v>
      </c>
      <c r="K523" s="122">
        <v>5000</v>
      </c>
      <c r="L523" s="122">
        <v>2995000</v>
      </c>
      <c r="M523" s="26" t="s">
        <v>20</v>
      </c>
      <c r="N523" s="26" t="s">
        <v>20</v>
      </c>
      <c r="O523" s="26" t="s">
        <v>20</v>
      </c>
      <c r="P523" s="26" t="s">
        <v>20</v>
      </c>
      <c r="Q523" s="26" t="s">
        <v>20</v>
      </c>
      <c r="R523" s="26" t="s">
        <v>20</v>
      </c>
    </row>
    <row r="524" spans="2:18" ht="58.5" x14ac:dyDescent="0.25">
      <c r="B524" s="28">
        <v>5</v>
      </c>
      <c r="C524" s="28" t="s">
        <v>1789</v>
      </c>
      <c r="D524" s="28" t="s">
        <v>1789</v>
      </c>
      <c r="E524" s="123" t="s">
        <v>4845</v>
      </c>
      <c r="F524" s="163">
        <v>0.25486111111111109</v>
      </c>
      <c r="G524" s="122" t="s">
        <v>4846</v>
      </c>
      <c r="H524" s="122" t="s">
        <v>4847</v>
      </c>
      <c r="I524" s="122"/>
      <c r="J524" s="122" t="s">
        <v>2080</v>
      </c>
      <c r="K524" s="122" t="s">
        <v>20</v>
      </c>
      <c r="L524" s="122">
        <v>5000000</v>
      </c>
      <c r="M524" s="26" t="s">
        <v>20</v>
      </c>
      <c r="N524" s="26" t="s">
        <v>20</v>
      </c>
      <c r="O524" s="26" t="s">
        <v>20</v>
      </c>
      <c r="P524" s="26" t="s">
        <v>2663</v>
      </c>
      <c r="Q524" s="26" t="s">
        <v>20</v>
      </c>
      <c r="R524" s="26" t="s">
        <v>20</v>
      </c>
    </row>
    <row r="525" spans="2:18" ht="39" x14ac:dyDescent="0.25">
      <c r="B525" s="28">
        <v>6</v>
      </c>
      <c r="C525" s="28" t="s">
        <v>1789</v>
      </c>
      <c r="D525" s="28" t="s">
        <v>1789</v>
      </c>
      <c r="E525" s="123" t="s">
        <v>4845</v>
      </c>
      <c r="F525" s="109">
        <v>0.34375</v>
      </c>
      <c r="G525" s="122" t="s">
        <v>4848</v>
      </c>
      <c r="H525" s="122" t="s">
        <v>3468</v>
      </c>
      <c r="I525" s="122"/>
      <c r="J525" s="122" t="s">
        <v>1859</v>
      </c>
      <c r="K525" s="122">
        <v>50000</v>
      </c>
      <c r="L525" s="122">
        <v>1950000</v>
      </c>
      <c r="M525" s="26" t="s">
        <v>20</v>
      </c>
      <c r="N525" s="26" t="s">
        <v>20</v>
      </c>
      <c r="O525" s="26" t="s">
        <v>20</v>
      </c>
      <c r="P525" s="26" t="s">
        <v>20</v>
      </c>
      <c r="Q525" s="26" t="s">
        <v>20</v>
      </c>
      <c r="R525" s="26" t="s">
        <v>20</v>
      </c>
    </row>
    <row r="526" spans="2:18" ht="58.5" x14ac:dyDescent="0.25">
      <c r="B526" s="28">
        <v>7</v>
      </c>
      <c r="C526" s="28" t="s">
        <v>1789</v>
      </c>
      <c r="D526" s="28" t="s">
        <v>1789</v>
      </c>
      <c r="E526" s="123" t="s">
        <v>4849</v>
      </c>
      <c r="F526" s="109">
        <v>0.89722222222222225</v>
      </c>
      <c r="G526" s="122" t="s">
        <v>4850</v>
      </c>
      <c r="H526" s="122" t="s">
        <v>2053</v>
      </c>
      <c r="I526" s="122"/>
      <c r="J526" s="122"/>
      <c r="K526" s="122"/>
      <c r="L526" s="122"/>
      <c r="M526" s="26" t="s">
        <v>20</v>
      </c>
      <c r="N526" s="26" t="s">
        <v>20</v>
      </c>
      <c r="O526" s="26" t="s">
        <v>20</v>
      </c>
      <c r="P526" s="26" t="s">
        <v>20</v>
      </c>
      <c r="Q526" s="26" t="s">
        <v>20</v>
      </c>
      <c r="R526" s="26" t="s">
        <v>20</v>
      </c>
    </row>
    <row r="527" spans="2:18" ht="39" x14ac:dyDescent="0.25">
      <c r="B527" s="28">
        <v>8</v>
      </c>
      <c r="C527" s="28" t="s">
        <v>1789</v>
      </c>
      <c r="D527" s="28" t="s">
        <v>1789</v>
      </c>
      <c r="E527" s="123" t="s">
        <v>4851</v>
      </c>
      <c r="F527" s="109">
        <v>0.15138888888888888</v>
      </c>
      <c r="G527" s="122" t="s">
        <v>4852</v>
      </c>
      <c r="H527" s="122"/>
      <c r="I527" s="122"/>
      <c r="J527" s="122" t="s">
        <v>2243</v>
      </c>
      <c r="K527" s="122">
        <v>300000</v>
      </c>
      <c r="L527" s="122">
        <v>2700000</v>
      </c>
      <c r="M527" s="26" t="s">
        <v>20</v>
      </c>
      <c r="N527" s="26" t="s">
        <v>20</v>
      </c>
      <c r="O527" s="26" t="s">
        <v>20</v>
      </c>
      <c r="P527" s="26" t="s">
        <v>20</v>
      </c>
      <c r="Q527" s="26" t="s">
        <v>20</v>
      </c>
      <c r="R527" s="26" t="s">
        <v>20</v>
      </c>
    </row>
    <row r="528" spans="2:18" ht="39" x14ac:dyDescent="0.25">
      <c r="B528" s="28">
        <v>9</v>
      </c>
      <c r="C528" s="28" t="s">
        <v>1789</v>
      </c>
      <c r="D528" s="28" t="s">
        <v>1789</v>
      </c>
      <c r="E528" s="123" t="s">
        <v>4851</v>
      </c>
      <c r="F528" s="109">
        <v>0.54791666666666672</v>
      </c>
      <c r="G528" s="122" t="s">
        <v>4853</v>
      </c>
      <c r="H528" s="122" t="s">
        <v>3468</v>
      </c>
      <c r="I528" s="122"/>
      <c r="J528" s="122" t="s">
        <v>1859</v>
      </c>
      <c r="K528" s="122">
        <v>50000</v>
      </c>
      <c r="L528" s="122">
        <v>1950000</v>
      </c>
      <c r="M528" s="26" t="s">
        <v>20</v>
      </c>
      <c r="N528" s="26" t="s">
        <v>20</v>
      </c>
      <c r="O528" s="26" t="s">
        <v>20</v>
      </c>
      <c r="P528" s="26" t="s">
        <v>20</v>
      </c>
      <c r="Q528" s="26" t="s">
        <v>20</v>
      </c>
      <c r="R528" s="26" t="s">
        <v>20</v>
      </c>
    </row>
    <row r="529" spans="2:18" ht="39" x14ac:dyDescent="0.25">
      <c r="B529" s="28"/>
      <c r="C529" s="28" t="s">
        <v>1789</v>
      </c>
      <c r="D529" s="28" t="s">
        <v>1789</v>
      </c>
      <c r="E529" s="122" t="s">
        <v>4900</v>
      </c>
      <c r="F529" s="163">
        <v>0.78472222222222221</v>
      </c>
      <c r="G529" s="26" t="s">
        <v>2249</v>
      </c>
      <c r="H529" s="28" t="s">
        <v>1940</v>
      </c>
      <c r="I529" s="28"/>
      <c r="J529" s="26"/>
      <c r="K529" s="122"/>
      <c r="L529" s="122"/>
      <c r="M529" s="26" t="s">
        <v>4854</v>
      </c>
      <c r="N529" s="26" t="s">
        <v>4854</v>
      </c>
      <c r="O529" s="26" t="s">
        <v>4854</v>
      </c>
      <c r="P529" s="26" t="s">
        <v>4854</v>
      </c>
      <c r="Q529" s="26" t="s">
        <v>4854</v>
      </c>
      <c r="R529" s="26" t="s">
        <v>4854</v>
      </c>
    </row>
    <row r="530" spans="2:18" ht="195" x14ac:dyDescent="0.25">
      <c r="B530" s="28">
        <v>11</v>
      </c>
      <c r="C530" s="28" t="s">
        <v>1789</v>
      </c>
      <c r="D530" s="28" t="s">
        <v>1789</v>
      </c>
      <c r="E530" s="123" t="s">
        <v>4855</v>
      </c>
      <c r="F530" s="163">
        <v>0.14444444444444443</v>
      </c>
      <c r="G530" s="26" t="s">
        <v>4856</v>
      </c>
      <c r="H530" s="28" t="s">
        <v>4857</v>
      </c>
      <c r="I530" s="28"/>
      <c r="J530" s="28" t="s">
        <v>1851</v>
      </c>
      <c r="K530" s="28" t="s">
        <v>4858</v>
      </c>
      <c r="L530" s="28"/>
      <c r="M530" s="26" t="s">
        <v>4854</v>
      </c>
      <c r="N530" s="26" t="s">
        <v>4854</v>
      </c>
      <c r="O530" s="26" t="s">
        <v>4854</v>
      </c>
      <c r="P530" s="26" t="s">
        <v>4854</v>
      </c>
      <c r="Q530" s="26" t="s">
        <v>4854</v>
      </c>
      <c r="R530" s="26" t="s">
        <v>4854</v>
      </c>
    </row>
    <row r="531" spans="2:18" ht="58.5" x14ac:dyDescent="0.25">
      <c r="B531" s="28">
        <v>12</v>
      </c>
      <c r="C531" s="28" t="s">
        <v>1789</v>
      </c>
      <c r="D531" s="28" t="s">
        <v>1789</v>
      </c>
      <c r="E531" s="123" t="s">
        <v>4855</v>
      </c>
      <c r="F531" s="163">
        <v>0.56180555555555556</v>
      </c>
      <c r="G531" s="26" t="s">
        <v>4859</v>
      </c>
      <c r="H531" s="28" t="s">
        <v>1899</v>
      </c>
      <c r="I531" s="28"/>
      <c r="J531" s="28" t="s">
        <v>4860</v>
      </c>
      <c r="K531" s="28">
        <v>100000</v>
      </c>
      <c r="L531" s="28">
        <v>100000</v>
      </c>
      <c r="M531" s="26" t="s">
        <v>4854</v>
      </c>
      <c r="N531" s="26" t="s">
        <v>4854</v>
      </c>
      <c r="O531" s="26" t="s">
        <v>4854</v>
      </c>
      <c r="P531" s="26" t="s">
        <v>4854</v>
      </c>
      <c r="Q531" s="26" t="s">
        <v>4854</v>
      </c>
      <c r="R531" s="26" t="s">
        <v>4854</v>
      </c>
    </row>
    <row r="532" spans="2:18" ht="39" x14ac:dyDescent="0.25">
      <c r="B532" s="28">
        <v>13</v>
      </c>
      <c r="C532" s="28" t="s">
        <v>1789</v>
      </c>
      <c r="D532" s="28" t="s">
        <v>1789</v>
      </c>
      <c r="E532" s="123" t="s">
        <v>4861</v>
      </c>
      <c r="F532" s="163">
        <v>0.34375</v>
      </c>
      <c r="G532" s="26" t="s">
        <v>4862</v>
      </c>
      <c r="H532" s="28" t="s">
        <v>3468</v>
      </c>
      <c r="I532" s="28"/>
      <c r="J532" s="28" t="s">
        <v>1859</v>
      </c>
      <c r="K532" s="28">
        <v>20000</v>
      </c>
      <c r="L532" s="28">
        <v>80000</v>
      </c>
      <c r="M532" s="26" t="s">
        <v>20</v>
      </c>
      <c r="N532" s="26" t="s">
        <v>20</v>
      </c>
      <c r="O532" s="26" t="s">
        <v>20</v>
      </c>
      <c r="P532" s="26" t="s">
        <v>20</v>
      </c>
      <c r="Q532" s="26" t="s">
        <v>20</v>
      </c>
      <c r="R532" s="26" t="s">
        <v>20</v>
      </c>
    </row>
    <row r="533" spans="2:18" ht="175.5" x14ac:dyDescent="0.25">
      <c r="B533" s="28">
        <v>14</v>
      </c>
      <c r="C533" s="28" t="s">
        <v>1789</v>
      </c>
      <c r="D533" s="28" t="s">
        <v>1789</v>
      </c>
      <c r="E533" s="123" t="s">
        <v>4863</v>
      </c>
      <c r="F533" s="163">
        <v>0.9555555555555556</v>
      </c>
      <c r="G533" s="26" t="s">
        <v>4864</v>
      </c>
      <c r="H533" s="28" t="s">
        <v>20</v>
      </c>
      <c r="I533" s="28"/>
      <c r="J533" s="28"/>
      <c r="K533" s="28" t="s">
        <v>4865</v>
      </c>
      <c r="L533" s="28"/>
      <c r="M533" s="26" t="s">
        <v>20</v>
      </c>
      <c r="N533" s="26" t="s">
        <v>20</v>
      </c>
      <c r="O533" s="26" t="s">
        <v>20</v>
      </c>
      <c r="P533" s="26" t="s">
        <v>20</v>
      </c>
      <c r="Q533" s="26" t="s">
        <v>20</v>
      </c>
      <c r="R533" s="26" t="s">
        <v>20</v>
      </c>
    </row>
    <row r="534" spans="2:18" ht="39" x14ac:dyDescent="0.25">
      <c r="B534" s="28">
        <v>15</v>
      </c>
      <c r="C534" s="28" t="s">
        <v>1789</v>
      </c>
      <c r="D534" s="28" t="s">
        <v>1789</v>
      </c>
      <c r="E534" s="123" t="s">
        <v>4866</v>
      </c>
      <c r="F534" s="163">
        <v>0.34305555555555556</v>
      </c>
      <c r="G534" s="26" t="s">
        <v>4867</v>
      </c>
      <c r="H534" s="28" t="s">
        <v>3468</v>
      </c>
      <c r="I534" s="28"/>
      <c r="J534" s="28" t="s">
        <v>1859</v>
      </c>
      <c r="K534" s="28">
        <v>200000</v>
      </c>
      <c r="L534" s="28">
        <v>2800000</v>
      </c>
      <c r="M534" s="26" t="s">
        <v>20</v>
      </c>
      <c r="N534" s="26" t="s">
        <v>20</v>
      </c>
      <c r="O534" s="26" t="s">
        <v>20</v>
      </c>
      <c r="P534" s="26" t="s">
        <v>20</v>
      </c>
      <c r="Q534" s="26" t="s">
        <v>20</v>
      </c>
      <c r="R534" s="26" t="s">
        <v>20</v>
      </c>
    </row>
    <row r="535" spans="2:18" ht="39" x14ac:dyDescent="0.25">
      <c r="B535" s="28">
        <v>16</v>
      </c>
      <c r="C535" s="28" t="s">
        <v>1789</v>
      </c>
      <c r="D535" s="28" t="s">
        <v>1789</v>
      </c>
      <c r="E535" s="123" t="s">
        <v>4866</v>
      </c>
      <c r="F535" s="163">
        <v>0.56805555555555554</v>
      </c>
      <c r="G535" s="26" t="s">
        <v>4868</v>
      </c>
      <c r="H535" s="28" t="s">
        <v>4869</v>
      </c>
      <c r="I535" s="28"/>
      <c r="J535" s="28" t="s">
        <v>4870</v>
      </c>
      <c r="K535" s="28" t="s">
        <v>20</v>
      </c>
      <c r="L535" s="28">
        <v>500000</v>
      </c>
      <c r="M535" s="26" t="s">
        <v>20</v>
      </c>
      <c r="N535" s="26" t="s">
        <v>20</v>
      </c>
      <c r="O535" s="26" t="s">
        <v>20</v>
      </c>
      <c r="P535" s="26" t="s">
        <v>20</v>
      </c>
      <c r="Q535" s="26" t="s">
        <v>20</v>
      </c>
      <c r="R535" s="26" t="s">
        <v>20</v>
      </c>
    </row>
    <row r="536" spans="2:18" ht="39" x14ac:dyDescent="0.25">
      <c r="B536" s="28">
        <v>17</v>
      </c>
      <c r="C536" s="28" t="s">
        <v>1789</v>
      </c>
      <c r="D536" s="28" t="s">
        <v>1789</v>
      </c>
      <c r="E536" s="123" t="s">
        <v>4871</v>
      </c>
      <c r="F536" s="163">
        <v>0.36736111111111114</v>
      </c>
      <c r="G536" s="26" t="s">
        <v>4872</v>
      </c>
      <c r="H536" s="28" t="s">
        <v>4873</v>
      </c>
      <c r="I536" s="28"/>
      <c r="J536" s="28" t="s">
        <v>2080</v>
      </c>
      <c r="K536" s="28" t="s">
        <v>20</v>
      </c>
      <c r="L536" s="28" t="s">
        <v>20</v>
      </c>
      <c r="M536" s="26" t="s">
        <v>20</v>
      </c>
      <c r="N536" s="26" t="s">
        <v>20</v>
      </c>
      <c r="O536" s="26" t="s">
        <v>20</v>
      </c>
      <c r="P536" s="26" t="s">
        <v>20</v>
      </c>
      <c r="Q536" s="26" t="s">
        <v>20</v>
      </c>
      <c r="R536" s="26" t="s">
        <v>20</v>
      </c>
    </row>
    <row r="537" spans="2:18" x14ac:dyDescent="0.25">
      <c r="B537" s="28">
        <v>18</v>
      </c>
      <c r="C537" s="28" t="s">
        <v>1789</v>
      </c>
      <c r="D537" s="28" t="s">
        <v>1789</v>
      </c>
      <c r="E537" s="123" t="s">
        <v>4871</v>
      </c>
      <c r="F537" s="163">
        <v>0.40486111111111112</v>
      </c>
      <c r="G537" s="26" t="s">
        <v>4874</v>
      </c>
      <c r="H537" s="28" t="s">
        <v>4875</v>
      </c>
      <c r="I537" s="28"/>
      <c r="J537" s="28" t="s">
        <v>1851</v>
      </c>
      <c r="K537" s="28">
        <v>50000</v>
      </c>
      <c r="L537" s="28">
        <v>1950000</v>
      </c>
      <c r="M537" s="26" t="s">
        <v>20</v>
      </c>
      <c r="N537" s="26" t="s">
        <v>20</v>
      </c>
      <c r="O537" s="26" t="s">
        <v>20</v>
      </c>
      <c r="P537" s="26" t="s">
        <v>20</v>
      </c>
      <c r="Q537" s="26" t="s">
        <v>20</v>
      </c>
      <c r="R537" s="26" t="s">
        <v>20</v>
      </c>
    </row>
    <row r="538" spans="2:18" ht="39" x14ac:dyDescent="0.25">
      <c r="B538" s="28">
        <v>19</v>
      </c>
      <c r="C538" s="28" t="s">
        <v>1789</v>
      </c>
      <c r="D538" s="28" t="s">
        <v>1789</v>
      </c>
      <c r="E538" s="123" t="s">
        <v>4876</v>
      </c>
      <c r="F538" s="163">
        <v>0.68194444444444446</v>
      </c>
      <c r="G538" s="26" t="s">
        <v>4877</v>
      </c>
      <c r="H538" s="28" t="s">
        <v>4869</v>
      </c>
      <c r="I538" s="28"/>
      <c r="J538" s="28" t="s">
        <v>2080</v>
      </c>
      <c r="K538" s="28" t="s">
        <v>20</v>
      </c>
      <c r="L538" s="28" t="s">
        <v>20</v>
      </c>
      <c r="M538" s="26" t="s">
        <v>20</v>
      </c>
      <c r="N538" s="26" t="s">
        <v>20</v>
      </c>
      <c r="O538" s="26" t="s">
        <v>20</v>
      </c>
      <c r="P538" s="26" t="s">
        <v>20</v>
      </c>
      <c r="Q538" s="26" t="s">
        <v>20</v>
      </c>
      <c r="R538" s="26" t="s">
        <v>20</v>
      </c>
    </row>
    <row r="539" spans="2:18" ht="39" x14ac:dyDescent="0.25">
      <c r="B539" s="28">
        <v>20</v>
      </c>
      <c r="C539" s="28" t="s">
        <v>1789</v>
      </c>
      <c r="D539" s="28" t="s">
        <v>1789</v>
      </c>
      <c r="E539" s="123" t="s">
        <v>4878</v>
      </c>
      <c r="F539" s="163">
        <v>0.10555555555555556</v>
      </c>
      <c r="G539" s="26" t="s">
        <v>4879</v>
      </c>
      <c r="H539" s="28" t="s">
        <v>4880</v>
      </c>
      <c r="I539" s="28"/>
      <c r="J539" s="28" t="s">
        <v>2243</v>
      </c>
      <c r="K539" s="28">
        <v>400000</v>
      </c>
      <c r="L539" s="28">
        <v>4600000</v>
      </c>
      <c r="M539" s="26" t="s">
        <v>20</v>
      </c>
      <c r="N539" s="26" t="s">
        <v>20</v>
      </c>
      <c r="O539" s="26" t="s">
        <v>20</v>
      </c>
      <c r="P539" s="26" t="s">
        <v>20</v>
      </c>
      <c r="Q539" s="26" t="s">
        <v>20</v>
      </c>
      <c r="R539" s="26" t="s">
        <v>20</v>
      </c>
    </row>
    <row r="540" spans="2:18" ht="39" x14ac:dyDescent="0.25">
      <c r="B540" s="28">
        <v>21</v>
      </c>
      <c r="C540" s="28" t="s">
        <v>1789</v>
      </c>
      <c r="D540" s="28" t="s">
        <v>1789</v>
      </c>
      <c r="E540" s="123" t="s">
        <v>4878</v>
      </c>
      <c r="F540" s="163">
        <v>0.44791666666666669</v>
      </c>
      <c r="G540" s="26" t="s">
        <v>4881</v>
      </c>
      <c r="H540" s="28" t="s">
        <v>20</v>
      </c>
      <c r="I540" s="28"/>
      <c r="J540" s="28" t="s">
        <v>4882</v>
      </c>
      <c r="K540" s="28" t="s">
        <v>20</v>
      </c>
      <c r="L540" s="28" t="s">
        <v>20</v>
      </c>
      <c r="M540" s="26" t="s">
        <v>20</v>
      </c>
      <c r="N540" s="26" t="s">
        <v>20</v>
      </c>
      <c r="O540" s="26" t="s">
        <v>20</v>
      </c>
      <c r="P540" s="26" t="s">
        <v>20</v>
      </c>
      <c r="Q540" s="26" t="s">
        <v>20</v>
      </c>
      <c r="R540" s="26" t="s">
        <v>20</v>
      </c>
    </row>
    <row r="541" spans="2:18" ht="39" x14ac:dyDescent="0.25">
      <c r="B541" s="28">
        <v>22</v>
      </c>
      <c r="C541" s="28" t="s">
        <v>1789</v>
      </c>
      <c r="D541" s="28" t="s">
        <v>1789</v>
      </c>
      <c r="E541" s="123" t="s">
        <v>4883</v>
      </c>
      <c r="F541" s="163">
        <v>0.63958333333333328</v>
      </c>
      <c r="G541" s="26" t="s">
        <v>4884</v>
      </c>
      <c r="H541" s="28" t="s">
        <v>406</v>
      </c>
      <c r="I541" s="28"/>
      <c r="J541" s="28" t="s">
        <v>2150</v>
      </c>
      <c r="K541" s="28" t="s">
        <v>4885</v>
      </c>
      <c r="L541" s="26" t="s">
        <v>4885</v>
      </c>
      <c r="M541" s="26" t="s">
        <v>20</v>
      </c>
      <c r="N541" s="26" t="s">
        <v>20</v>
      </c>
      <c r="O541" s="26" t="s">
        <v>20</v>
      </c>
      <c r="P541" s="26" t="s">
        <v>20</v>
      </c>
      <c r="Q541" s="26" t="s">
        <v>20</v>
      </c>
      <c r="R541" s="26" t="s">
        <v>20</v>
      </c>
    </row>
    <row r="542" spans="2:18" ht="39" x14ac:dyDescent="0.25">
      <c r="B542" s="28">
        <v>23</v>
      </c>
      <c r="C542" s="28" t="s">
        <v>1789</v>
      </c>
      <c r="D542" s="28" t="s">
        <v>1789</v>
      </c>
      <c r="E542" s="123" t="s">
        <v>4883</v>
      </c>
      <c r="F542" s="163">
        <v>0.80902777777777779</v>
      </c>
      <c r="G542" s="26" t="s">
        <v>4884</v>
      </c>
      <c r="H542" s="28" t="s">
        <v>406</v>
      </c>
      <c r="I542" s="28"/>
      <c r="J542" s="28" t="s">
        <v>2150</v>
      </c>
      <c r="K542" s="28" t="s">
        <v>4885</v>
      </c>
      <c r="L542" s="28" t="s">
        <v>4885</v>
      </c>
      <c r="M542" s="26" t="s">
        <v>20</v>
      </c>
      <c r="N542" s="26" t="s">
        <v>20</v>
      </c>
      <c r="O542" s="26" t="s">
        <v>20</v>
      </c>
      <c r="P542" s="26" t="s">
        <v>20</v>
      </c>
      <c r="Q542" s="26" t="s">
        <v>20</v>
      </c>
      <c r="R542" s="26" t="s">
        <v>20</v>
      </c>
    </row>
    <row r="543" spans="2:18" ht="39" x14ac:dyDescent="0.25">
      <c r="B543" s="28">
        <v>24</v>
      </c>
      <c r="C543" s="28" t="s">
        <v>1789</v>
      </c>
      <c r="D543" s="28" t="s">
        <v>1789</v>
      </c>
      <c r="E543" s="123" t="s">
        <v>4886</v>
      </c>
      <c r="F543" s="163">
        <v>1.8749999999999999E-2</v>
      </c>
      <c r="G543" s="26" t="s">
        <v>4887</v>
      </c>
      <c r="H543" s="28" t="s">
        <v>3468</v>
      </c>
      <c r="I543" s="28"/>
      <c r="J543" s="28" t="s">
        <v>1859</v>
      </c>
      <c r="K543" s="28">
        <v>500000</v>
      </c>
      <c r="L543" s="28">
        <v>1500000</v>
      </c>
      <c r="M543" s="26"/>
      <c r="N543" s="26"/>
      <c r="O543" s="26"/>
      <c r="P543" s="26"/>
      <c r="Q543" s="26"/>
      <c r="R543" s="26"/>
    </row>
    <row r="544" spans="2:18" x14ac:dyDescent="0.25">
      <c r="B544" s="28">
        <v>25</v>
      </c>
      <c r="C544" s="28" t="s">
        <v>1789</v>
      </c>
      <c r="D544" s="28" t="s">
        <v>1789</v>
      </c>
      <c r="E544" s="123" t="s">
        <v>4888</v>
      </c>
      <c r="F544" s="163">
        <v>0.34305555555555556</v>
      </c>
      <c r="G544" s="26" t="s">
        <v>4889</v>
      </c>
      <c r="H544" s="28" t="s">
        <v>406</v>
      </c>
      <c r="I544" s="28"/>
      <c r="J544" s="28" t="s">
        <v>4890</v>
      </c>
      <c r="K544" s="28">
        <v>500000</v>
      </c>
      <c r="L544" s="28">
        <v>1500000</v>
      </c>
      <c r="M544" s="26" t="s">
        <v>20</v>
      </c>
      <c r="N544" s="26" t="s">
        <v>20</v>
      </c>
      <c r="O544" s="26" t="s">
        <v>20</v>
      </c>
      <c r="P544" s="26" t="s">
        <v>20</v>
      </c>
      <c r="Q544" s="26" t="s">
        <v>20</v>
      </c>
      <c r="R544" s="26" t="s">
        <v>20</v>
      </c>
    </row>
    <row r="545" spans="2:18" ht="39" x14ac:dyDescent="0.25">
      <c r="B545" s="28">
        <v>26</v>
      </c>
      <c r="C545" s="28" t="s">
        <v>1789</v>
      </c>
      <c r="D545" s="28" t="s">
        <v>1789</v>
      </c>
      <c r="E545" s="123" t="s">
        <v>4888</v>
      </c>
      <c r="F545" s="163">
        <v>0.74513888888888891</v>
      </c>
      <c r="G545" s="26" t="s">
        <v>4891</v>
      </c>
      <c r="H545" s="28" t="s">
        <v>3468</v>
      </c>
      <c r="I545" s="28"/>
      <c r="J545" s="28" t="s">
        <v>2007</v>
      </c>
      <c r="K545" s="28" t="s">
        <v>20</v>
      </c>
      <c r="L545" s="28" t="s">
        <v>20</v>
      </c>
      <c r="M545" s="26" t="s">
        <v>20</v>
      </c>
      <c r="N545" s="26" t="s">
        <v>20</v>
      </c>
      <c r="O545" s="26" t="s">
        <v>20</v>
      </c>
      <c r="P545" s="26" t="s">
        <v>20</v>
      </c>
      <c r="Q545" s="26" t="s">
        <v>20</v>
      </c>
      <c r="R545" s="26" t="s">
        <v>20</v>
      </c>
    </row>
    <row r="546" spans="2:18" ht="58.5" x14ac:dyDescent="0.25">
      <c r="B546" s="28">
        <v>27</v>
      </c>
      <c r="C546" s="28" t="s">
        <v>1789</v>
      </c>
      <c r="D546" s="28" t="s">
        <v>1789</v>
      </c>
      <c r="E546" s="123" t="s">
        <v>4888</v>
      </c>
      <c r="F546" s="163">
        <v>0.93333333333333335</v>
      </c>
      <c r="G546" s="26" t="s">
        <v>4892</v>
      </c>
      <c r="H546" s="28" t="s">
        <v>1899</v>
      </c>
      <c r="I546" s="28"/>
      <c r="J546" s="28" t="s">
        <v>4893</v>
      </c>
      <c r="K546" s="28" t="s">
        <v>20</v>
      </c>
      <c r="L546" s="28" t="s">
        <v>20</v>
      </c>
      <c r="M546" s="26" t="s">
        <v>20</v>
      </c>
      <c r="N546" s="26" t="s">
        <v>20</v>
      </c>
      <c r="O546" s="26" t="s">
        <v>20</v>
      </c>
      <c r="P546" s="26" t="s">
        <v>20</v>
      </c>
      <c r="Q546" s="26" t="s">
        <v>20</v>
      </c>
      <c r="R546" s="26" t="s">
        <v>20</v>
      </c>
    </row>
    <row r="547" spans="2:18" ht="39" x14ac:dyDescent="0.25">
      <c r="B547" s="28">
        <v>28</v>
      </c>
      <c r="C547" s="28" t="s">
        <v>1789</v>
      </c>
      <c r="D547" s="28" t="s">
        <v>1789</v>
      </c>
      <c r="E547" s="123" t="s">
        <v>4894</v>
      </c>
      <c r="F547" s="163">
        <v>0.94305555555555554</v>
      </c>
      <c r="G547" s="26" t="s">
        <v>4895</v>
      </c>
      <c r="H547" s="28" t="s">
        <v>2053</v>
      </c>
      <c r="I547" s="28"/>
      <c r="J547" s="28"/>
      <c r="K547" s="28"/>
      <c r="L547" s="28"/>
      <c r="M547" s="26" t="s">
        <v>20</v>
      </c>
      <c r="N547" s="26" t="s">
        <v>20</v>
      </c>
      <c r="O547" s="26" t="s">
        <v>20</v>
      </c>
      <c r="P547" s="26" t="s">
        <v>20</v>
      </c>
      <c r="Q547" s="26" t="s">
        <v>20</v>
      </c>
      <c r="R547" s="26" t="s">
        <v>20</v>
      </c>
    </row>
    <row r="548" spans="2:18" ht="58.5" x14ac:dyDescent="0.25">
      <c r="B548" s="28">
        <v>29</v>
      </c>
      <c r="C548" s="28" t="s">
        <v>1789</v>
      </c>
      <c r="D548" s="28" t="s">
        <v>1789</v>
      </c>
      <c r="E548" s="123" t="s">
        <v>4896</v>
      </c>
      <c r="F548" s="163">
        <v>0.55555555555555558</v>
      </c>
      <c r="G548" s="26" t="s">
        <v>4897</v>
      </c>
      <c r="H548" s="28" t="s">
        <v>4875</v>
      </c>
      <c r="I548" s="28"/>
      <c r="J548" s="28" t="s">
        <v>1971</v>
      </c>
      <c r="K548" s="28">
        <v>400000</v>
      </c>
      <c r="L548" s="28">
        <v>1100000</v>
      </c>
      <c r="M548" s="26" t="s">
        <v>20</v>
      </c>
      <c r="N548" s="26" t="s">
        <v>20</v>
      </c>
      <c r="O548" s="26" t="s">
        <v>20</v>
      </c>
      <c r="P548" s="26" t="s">
        <v>20</v>
      </c>
      <c r="Q548" s="26" t="s">
        <v>20</v>
      </c>
      <c r="R548" s="26" t="s">
        <v>20</v>
      </c>
    </row>
    <row r="549" spans="2:18" x14ac:dyDescent="0.25">
      <c r="B549" s="28">
        <v>1</v>
      </c>
      <c r="C549" s="28" t="s">
        <v>1789</v>
      </c>
      <c r="D549" s="28" t="s">
        <v>1789</v>
      </c>
      <c r="E549" s="108" t="s">
        <v>4838</v>
      </c>
      <c r="F549" s="163">
        <v>0.59930555555555554</v>
      </c>
      <c r="G549" s="28" t="s">
        <v>4898</v>
      </c>
      <c r="H549" s="28" t="s">
        <v>406</v>
      </c>
      <c r="I549" s="28"/>
      <c r="J549" s="28" t="s">
        <v>4899</v>
      </c>
      <c r="K549" s="26">
        <v>200000</v>
      </c>
      <c r="L549" s="28">
        <v>2800000</v>
      </c>
      <c r="M549" s="28" t="s">
        <v>20</v>
      </c>
      <c r="N549" s="28" t="s">
        <v>20</v>
      </c>
      <c r="O549" s="28" t="s">
        <v>20</v>
      </c>
      <c r="P549" s="28" t="s">
        <v>20</v>
      </c>
      <c r="Q549" s="28" t="s">
        <v>20</v>
      </c>
      <c r="R549" s="28" t="s">
        <v>20</v>
      </c>
    </row>
    <row r="550" spans="2:18" x14ac:dyDescent="0.35">
      <c r="B550" s="31"/>
      <c r="C550" s="31"/>
      <c r="D550" s="31"/>
      <c r="F550" s="30"/>
      <c r="G550" s="31"/>
      <c r="H550" s="177"/>
      <c r="I550" s="177"/>
      <c r="J550" s="31"/>
      <c r="K550" s="30"/>
      <c r="L550" s="30"/>
      <c r="M550" s="30"/>
      <c r="N550" s="30"/>
      <c r="O550" s="30"/>
      <c r="P550" s="30"/>
      <c r="Q550" s="30"/>
      <c r="R550" s="30"/>
    </row>
    <row r="552" spans="2:18" ht="78" x14ac:dyDescent="0.25">
      <c r="B552" s="26">
        <v>1</v>
      </c>
      <c r="C552" s="26" t="s">
        <v>1789</v>
      </c>
      <c r="D552" s="26" t="s">
        <v>4908</v>
      </c>
      <c r="E552" s="26" t="s">
        <v>4909</v>
      </c>
      <c r="F552" s="26">
        <v>16.05</v>
      </c>
      <c r="G552" s="26" t="s">
        <v>4910</v>
      </c>
      <c r="H552" s="26" t="s">
        <v>4911</v>
      </c>
      <c r="I552" s="26"/>
      <c r="J552" s="26" t="s">
        <v>4912</v>
      </c>
      <c r="K552" s="26" t="s">
        <v>269</v>
      </c>
      <c r="L552" s="26" t="s">
        <v>4913</v>
      </c>
      <c r="M552" s="26" t="s">
        <v>341</v>
      </c>
      <c r="N552" s="26" t="s">
        <v>341</v>
      </c>
      <c r="O552" s="26" t="s">
        <v>341</v>
      </c>
      <c r="P552" s="26" t="s">
        <v>341</v>
      </c>
      <c r="Q552" s="26" t="s">
        <v>341</v>
      </c>
      <c r="R552" s="26" t="s">
        <v>341</v>
      </c>
    </row>
    <row r="553" spans="2:18" ht="78" x14ac:dyDescent="0.25">
      <c r="B553" s="26">
        <v>2</v>
      </c>
      <c r="C553" s="26" t="s">
        <v>1789</v>
      </c>
      <c r="D553" s="26" t="s">
        <v>4908</v>
      </c>
      <c r="E553" s="26" t="s">
        <v>4914</v>
      </c>
      <c r="F553" s="26">
        <v>0.01</v>
      </c>
      <c r="G553" s="26" t="s">
        <v>4915</v>
      </c>
      <c r="H553" s="26" t="s">
        <v>4911</v>
      </c>
      <c r="I553" s="26"/>
      <c r="J553" s="26" t="s">
        <v>4916</v>
      </c>
      <c r="K553" s="26" t="s">
        <v>241</v>
      </c>
      <c r="L553" s="26" t="s">
        <v>189</v>
      </c>
      <c r="M553" s="26" t="s">
        <v>341</v>
      </c>
      <c r="N553" s="26" t="s">
        <v>341</v>
      </c>
      <c r="O553" s="26" t="s">
        <v>341</v>
      </c>
      <c r="P553" s="26" t="s">
        <v>341</v>
      </c>
      <c r="Q553" s="26" t="s">
        <v>341</v>
      </c>
      <c r="R553" s="26" t="s">
        <v>341</v>
      </c>
    </row>
    <row r="554" spans="2:18" ht="78" x14ac:dyDescent="0.25">
      <c r="B554" s="26">
        <v>3</v>
      </c>
      <c r="C554" s="26" t="s">
        <v>1789</v>
      </c>
      <c r="D554" s="26" t="s">
        <v>4908</v>
      </c>
      <c r="E554" s="26" t="s">
        <v>4917</v>
      </c>
      <c r="F554" s="26">
        <v>9.42</v>
      </c>
      <c r="G554" s="26" t="s">
        <v>4918</v>
      </c>
      <c r="H554" s="26" t="s">
        <v>4911</v>
      </c>
      <c r="I554" s="26"/>
      <c r="J554" s="26" t="s">
        <v>4912</v>
      </c>
      <c r="K554" s="26" t="s">
        <v>20</v>
      </c>
      <c r="L554" s="26" t="s">
        <v>4919</v>
      </c>
      <c r="M554" s="26" t="s">
        <v>341</v>
      </c>
      <c r="N554" s="26" t="s">
        <v>341</v>
      </c>
      <c r="O554" s="26" t="s">
        <v>341</v>
      </c>
      <c r="P554" s="26" t="s">
        <v>341</v>
      </c>
      <c r="Q554" s="26" t="s">
        <v>341</v>
      </c>
      <c r="R554" s="26" t="s">
        <v>341</v>
      </c>
    </row>
    <row r="555" spans="2:18" ht="78" x14ac:dyDescent="0.25">
      <c r="B555" s="26">
        <v>4</v>
      </c>
      <c r="C555" s="26" t="s">
        <v>1789</v>
      </c>
      <c r="D555" s="26" t="s">
        <v>4908</v>
      </c>
      <c r="E555" s="26" t="s">
        <v>4917</v>
      </c>
      <c r="F555" s="26">
        <v>11.51</v>
      </c>
      <c r="G555" s="26" t="s">
        <v>4920</v>
      </c>
      <c r="H555" s="26" t="s">
        <v>4911</v>
      </c>
      <c r="I555" s="26"/>
      <c r="J555" s="26" t="s">
        <v>4912</v>
      </c>
      <c r="K555" s="26" t="s">
        <v>20</v>
      </c>
      <c r="L555" s="26" t="s">
        <v>4919</v>
      </c>
      <c r="M555" s="26" t="s">
        <v>341</v>
      </c>
      <c r="N555" s="26" t="s">
        <v>341</v>
      </c>
      <c r="O555" s="26" t="s">
        <v>341</v>
      </c>
      <c r="P555" s="26" t="s">
        <v>341</v>
      </c>
      <c r="Q555" s="26" t="s">
        <v>341</v>
      </c>
      <c r="R555" s="26" t="s">
        <v>341</v>
      </c>
    </row>
    <row r="556" spans="2:18" ht="78" x14ac:dyDescent="0.25">
      <c r="B556" s="26">
        <v>5</v>
      </c>
      <c r="C556" s="26" t="s">
        <v>1789</v>
      </c>
      <c r="D556" s="26" t="s">
        <v>4908</v>
      </c>
      <c r="E556" s="26" t="s">
        <v>4917</v>
      </c>
      <c r="F556" s="26">
        <v>20.32</v>
      </c>
      <c r="G556" s="26" t="s">
        <v>4921</v>
      </c>
      <c r="H556" s="26" t="s">
        <v>4911</v>
      </c>
      <c r="I556" s="26"/>
      <c r="J556" s="26" t="s">
        <v>4922</v>
      </c>
      <c r="K556" s="26" t="s">
        <v>20</v>
      </c>
      <c r="L556" s="26" t="s">
        <v>240</v>
      </c>
      <c r="M556" s="26" t="s">
        <v>341</v>
      </c>
      <c r="N556" s="26" t="s">
        <v>341</v>
      </c>
      <c r="O556" s="26" t="s">
        <v>341</v>
      </c>
      <c r="P556" s="26" t="s">
        <v>341</v>
      </c>
      <c r="Q556" s="26" t="s">
        <v>341</v>
      </c>
      <c r="R556" s="26" t="s">
        <v>341</v>
      </c>
    </row>
    <row r="557" spans="2:18" ht="78" x14ac:dyDescent="0.25">
      <c r="B557" s="26">
        <v>6</v>
      </c>
      <c r="C557" s="26" t="s">
        <v>1789</v>
      </c>
      <c r="D557" s="26" t="s">
        <v>4908</v>
      </c>
      <c r="E557" s="26" t="s">
        <v>4923</v>
      </c>
      <c r="F557" s="26">
        <v>23.12</v>
      </c>
      <c r="G557" s="26" t="s">
        <v>4924</v>
      </c>
      <c r="H557" s="26" t="s">
        <v>4911</v>
      </c>
      <c r="I557" s="26"/>
      <c r="J557" s="26" t="s">
        <v>4925</v>
      </c>
      <c r="K557" s="26" t="s">
        <v>20</v>
      </c>
      <c r="L557" s="26" t="s">
        <v>225</v>
      </c>
      <c r="M557" s="26" t="s">
        <v>341</v>
      </c>
      <c r="N557" s="26" t="s">
        <v>341</v>
      </c>
      <c r="O557" s="26" t="s">
        <v>341</v>
      </c>
      <c r="P557" s="26" t="s">
        <v>341</v>
      </c>
      <c r="Q557" s="26" t="s">
        <v>341</v>
      </c>
      <c r="R557" s="26" t="s">
        <v>341</v>
      </c>
    </row>
    <row r="558" spans="2:18" ht="78" x14ac:dyDescent="0.25">
      <c r="B558" s="26">
        <v>7</v>
      </c>
      <c r="C558" s="26" t="s">
        <v>1789</v>
      </c>
      <c r="D558" s="26" t="s">
        <v>4908</v>
      </c>
      <c r="E558" s="26" t="s">
        <v>4926</v>
      </c>
      <c r="F558" s="26">
        <v>9.02</v>
      </c>
      <c r="G558" s="26" t="s">
        <v>4927</v>
      </c>
      <c r="H558" s="26" t="s">
        <v>4911</v>
      </c>
      <c r="I558" s="26"/>
      <c r="J558" s="26" t="s">
        <v>4928</v>
      </c>
      <c r="K558" s="26" t="s">
        <v>4929</v>
      </c>
      <c r="L558" s="26" t="s">
        <v>4930</v>
      </c>
      <c r="M558" s="26" t="s">
        <v>341</v>
      </c>
      <c r="N558" s="26" t="s">
        <v>341</v>
      </c>
      <c r="O558" s="26" t="s">
        <v>341</v>
      </c>
      <c r="P558" s="26" t="s">
        <v>341</v>
      </c>
      <c r="Q558" s="26" t="s">
        <v>341</v>
      </c>
      <c r="R558" s="26" t="s">
        <v>341</v>
      </c>
    </row>
    <row r="559" spans="2:18" ht="78" x14ac:dyDescent="0.25">
      <c r="B559" s="26">
        <v>8</v>
      </c>
      <c r="C559" s="26" t="s">
        <v>1789</v>
      </c>
      <c r="D559" s="26" t="s">
        <v>4908</v>
      </c>
      <c r="E559" s="26" t="s">
        <v>4931</v>
      </c>
      <c r="F559" s="26">
        <v>15.26</v>
      </c>
      <c r="G559" s="26" t="s">
        <v>4932</v>
      </c>
      <c r="H559" s="26" t="s">
        <v>4911</v>
      </c>
      <c r="I559" s="26"/>
      <c r="J559" s="26" t="s">
        <v>4933</v>
      </c>
      <c r="K559" s="26" t="s">
        <v>20</v>
      </c>
      <c r="L559" s="26" t="s">
        <v>240</v>
      </c>
      <c r="M559" s="26" t="s">
        <v>341</v>
      </c>
      <c r="N559" s="26" t="s">
        <v>341</v>
      </c>
      <c r="O559" s="26" t="s">
        <v>341</v>
      </c>
      <c r="P559" s="26" t="s">
        <v>341</v>
      </c>
      <c r="Q559" s="26" t="s">
        <v>341</v>
      </c>
      <c r="R559" s="26" t="s">
        <v>341</v>
      </c>
    </row>
    <row r="560" spans="2:18" ht="39" x14ac:dyDescent="0.25">
      <c r="B560" s="26">
        <v>9</v>
      </c>
      <c r="C560" s="26" t="s">
        <v>1789</v>
      </c>
      <c r="D560" s="26" t="s">
        <v>4908</v>
      </c>
      <c r="E560" s="26" t="s">
        <v>4934</v>
      </c>
      <c r="F560" s="26">
        <v>12.52</v>
      </c>
      <c r="G560" s="26" t="s">
        <v>4935</v>
      </c>
      <c r="H560" s="26" t="s">
        <v>2599</v>
      </c>
      <c r="I560" s="26"/>
      <c r="J560" s="26" t="s">
        <v>4936</v>
      </c>
      <c r="K560" s="26" t="s">
        <v>141</v>
      </c>
      <c r="L560" s="26" t="s">
        <v>4937</v>
      </c>
      <c r="M560" s="26" t="s">
        <v>341</v>
      </c>
      <c r="N560" s="26" t="s">
        <v>341</v>
      </c>
      <c r="O560" s="26" t="s">
        <v>341</v>
      </c>
      <c r="P560" s="26" t="s">
        <v>341</v>
      </c>
      <c r="Q560" s="26" t="s">
        <v>341</v>
      </c>
      <c r="R560" s="26" t="s">
        <v>341</v>
      </c>
    </row>
    <row r="561" spans="2:18" ht="78" x14ac:dyDescent="0.25">
      <c r="B561" s="26">
        <v>10</v>
      </c>
      <c r="C561" s="26" t="s">
        <v>1789</v>
      </c>
      <c r="D561" s="26" t="s">
        <v>4908</v>
      </c>
      <c r="E561" s="26" t="s">
        <v>4787</v>
      </c>
      <c r="F561" s="26">
        <v>4.5599999999999996</v>
      </c>
      <c r="G561" s="26" t="s">
        <v>4938</v>
      </c>
      <c r="H561" s="26" t="s">
        <v>4911</v>
      </c>
      <c r="I561" s="26"/>
      <c r="J561" s="26" t="s">
        <v>4912</v>
      </c>
      <c r="K561" s="26" t="s">
        <v>20</v>
      </c>
      <c r="L561" s="26" t="s">
        <v>240</v>
      </c>
      <c r="M561" s="26" t="s">
        <v>341</v>
      </c>
      <c r="N561" s="26" t="s">
        <v>341</v>
      </c>
      <c r="O561" s="26" t="s">
        <v>341</v>
      </c>
      <c r="P561" s="26" t="s">
        <v>341</v>
      </c>
      <c r="Q561" s="26" t="s">
        <v>341</v>
      </c>
      <c r="R561" s="26" t="s">
        <v>341</v>
      </c>
    </row>
    <row r="562" spans="2:18" ht="97.5" x14ac:dyDescent="0.25">
      <c r="B562" s="26">
        <v>11</v>
      </c>
      <c r="C562" s="26" t="s">
        <v>1789</v>
      </c>
      <c r="D562" s="26" t="s">
        <v>4908</v>
      </c>
      <c r="E562" s="26" t="s">
        <v>4939</v>
      </c>
      <c r="F562" s="26">
        <v>19.29</v>
      </c>
      <c r="G562" s="26" t="s">
        <v>4940</v>
      </c>
      <c r="H562" s="26" t="s">
        <v>4941</v>
      </c>
      <c r="I562" s="26"/>
      <c r="J562" s="26" t="s">
        <v>4942</v>
      </c>
      <c r="K562" s="26" t="s">
        <v>269</v>
      </c>
      <c r="L562" s="26" t="s">
        <v>215</v>
      </c>
      <c r="M562" s="26" t="s">
        <v>341</v>
      </c>
      <c r="N562" s="26" t="s">
        <v>341</v>
      </c>
      <c r="O562" s="26" t="s">
        <v>341</v>
      </c>
      <c r="P562" s="26" t="s">
        <v>341</v>
      </c>
      <c r="Q562" s="26" t="s">
        <v>341</v>
      </c>
      <c r="R562" s="26" t="s">
        <v>341</v>
      </c>
    </row>
    <row r="563" spans="2:18" ht="78" x14ac:dyDescent="0.25">
      <c r="B563" s="26">
        <v>12</v>
      </c>
      <c r="C563" s="26" t="s">
        <v>1789</v>
      </c>
      <c r="D563" s="26" t="s">
        <v>4908</v>
      </c>
      <c r="E563" s="26" t="s">
        <v>4788</v>
      </c>
      <c r="F563" s="26">
        <v>19.329999999999998</v>
      </c>
      <c r="G563" s="26" t="s">
        <v>4943</v>
      </c>
      <c r="H563" s="26" t="s">
        <v>4911</v>
      </c>
      <c r="I563" s="26"/>
      <c r="J563" s="26" t="s">
        <v>4933</v>
      </c>
      <c r="K563" s="26" t="s">
        <v>20</v>
      </c>
      <c r="L563" s="26" t="s">
        <v>229</v>
      </c>
      <c r="M563" s="26" t="s">
        <v>341</v>
      </c>
      <c r="N563" s="26" t="s">
        <v>341</v>
      </c>
      <c r="O563" s="26" t="s">
        <v>341</v>
      </c>
      <c r="P563" s="26" t="s">
        <v>341</v>
      </c>
      <c r="Q563" s="26" t="s">
        <v>341</v>
      </c>
      <c r="R563" s="26" t="s">
        <v>341</v>
      </c>
    </row>
    <row r="564" spans="2:18" ht="39" x14ac:dyDescent="0.25">
      <c r="B564" s="26">
        <v>13</v>
      </c>
      <c r="C564" s="26" t="s">
        <v>1789</v>
      </c>
      <c r="D564" s="26" t="s">
        <v>4908</v>
      </c>
      <c r="E564" s="26" t="s">
        <v>4783</v>
      </c>
      <c r="F564" s="26">
        <v>12.33</v>
      </c>
      <c r="G564" s="26" t="s">
        <v>4944</v>
      </c>
      <c r="H564" s="26" t="s">
        <v>4945</v>
      </c>
      <c r="I564" s="26"/>
      <c r="J564" s="26" t="s">
        <v>4946</v>
      </c>
      <c r="K564" s="26" t="s">
        <v>157</v>
      </c>
      <c r="L564" s="26" t="s">
        <v>4947</v>
      </c>
      <c r="M564" s="26" t="s">
        <v>341</v>
      </c>
      <c r="N564" s="26" t="s">
        <v>341</v>
      </c>
      <c r="O564" s="26" t="s">
        <v>341</v>
      </c>
      <c r="P564" s="26" t="s">
        <v>341</v>
      </c>
      <c r="Q564" s="26" t="s">
        <v>341</v>
      </c>
      <c r="R564" s="26" t="s">
        <v>341</v>
      </c>
    </row>
    <row r="565" spans="2:18" ht="97.5" x14ac:dyDescent="0.25">
      <c r="B565" s="26">
        <v>14</v>
      </c>
      <c r="C565" s="26" t="s">
        <v>1789</v>
      </c>
      <c r="D565" s="26" t="s">
        <v>4908</v>
      </c>
      <c r="E565" s="26" t="s">
        <v>4785</v>
      </c>
      <c r="F565" s="26">
        <v>20.34</v>
      </c>
      <c r="G565" s="26" t="s">
        <v>4948</v>
      </c>
      <c r="H565" s="26" t="s">
        <v>4949</v>
      </c>
      <c r="I565" s="26"/>
      <c r="J565" s="26" t="s">
        <v>4950</v>
      </c>
      <c r="K565" s="26" t="s">
        <v>269</v>
      </c>
      <c r="L565" s="26" t="s">
        <v>35</v>
      </c>
      <c r="M565" s="26" t="s">
        <v>341</v>
      </c>
      <c r="N565" s="26" t="s">
        <v>341</v>
      </c>
      <c r="O565" s="26" t="s">
        <v>341</v>
      </c>
      <c r="P565" s="26" t="s">
        <v>341</v>
      </c>
      <c r="Q565" s="26" t="s">
        <v>341</v>
      </c>
      <c r="R565" s="26" t="s">
        <v>341</v>
      </c>
    </row>
    <row r="566" spans="2:18" ht="117" x14ac:dyDescent="0.25">
      <c r="B566" s="26">
        <v>15</v>
      </c>
      <c r="C566" s="26" t="s">
        <v>1789</v>
      </c>
      <c r="D566" s="26" t="s">
        <v>4908</v>
      </c>
      <c r="E566" s="26" t="s">
        <v>4951</v>
      </c>
      <c r="F566" s="26">
        <v>8.25</v>
      </c>
      <c r="G566" s="26" t="s">
        <v>4952</v>
      </c>
      <c r="H566" s="26" t="s">
        <v>4953</v>
      </c>
      <c r="I566" s="26"/>
      <c r="J566" s="26" t="s">
        <v>4954</v>
      </c>
      <c r="K566" s="26" t="s">
        <v>269</v>
      </c>
      <c r="L566" s="26" t="s">
        <v>35</v>
      </c>
      <c r="M566" s="26" t="s">
        <v>341</v>
      </c>
      <c r="N566" s="26" t="s">
        <v>341</v>
      </c>
      <c r="O566" s="26" t="s">
        <v>341</v>
      </c>
      <c r="P566" s="26" t="s">
        <v>341</v>
      </c>
      <c r="Q566" s="26" t="s">
        <v>341</v>
      </c>
      <c r="R566" s="26" t="s">
        <v>341</v>
      </c>
    </row>
    <row r="567" spans="2:18" ht="97.5" x14ac:dyDescent="0.25">
      <c r="B567" s="26">
        <v>16</v>
      </c>
      <c r="C567" s="26" t="s">
        <v>1789</v>
      </c>
      <c r="D567" s="26" t="s">
        <v>4908</v>
      </c>
      <c r="E567" s="26" t="s">
        <v>4789</v>
      </c>
      <c r="F567" s="26">
        <v>19.100000000000001</v>
      </c>
      <c r="G567" s="26" t="s">
        <v>4955</v>
      </c>
      <c r="H567" s="26" t="s">
        <v>4956</v>
      </c>
      <c r="I567" s="26"/>
      <c r="J567" s="26" t="s">
        <v>4957</v>
      </c>
      <c r="K567" s="26" t="s">
        <v>20</v>
      </c>
      <c r="L567" s="26" t="s">
        <v>20</v>
      </c>
      <c r="M567" s="26" t="s">
        <v>341</v>
      </c>
      <c r="N567" s="26" t="s">
        <v>341</v>
      </c>
      <c r="O567" s="26" t="s">
        <v>341</v>
      </c>
      <c r="P567" s="26" t="s">
        <v>341</v>
      </c>
      <c r="Q567" s="26" t="s">
        <v>341</v>
      </c>
      <c r="R567" s="26" t="s">
        <v>341</v>
      </c>
    </row>
    <row r="568" spans="2:18" ht="78" x14ac:dyDescent="0.25">
      <c r="B568" s="26">
        <v>17</v>
      </c>
      <c r="C568" s="26" t="s">
        <v>1789</v>
      </c>
      <c r="D568" s="26" t="s">
        <v>4908</v>
      </c>
      <c r="E568" s="26" t="s">
        <v>4790</v>
      </c>
      <c r="F568" s="26">
        <v>18.510000000000002</v>
      </c>
      <c r="G568" s="26" t="s">
        <v>4958</v>
      </c>
      <c r="H568" s="26" t="s">
        <v>4959</v>
      </c>
      <c r="I568" s="26"/>
      <c r="J568" s="26" t="s">
        <v>4960</v>
      </c>
      <c r="K568" s="26" t="s">
        <v>341</v>
      </c>
      <c r="L568" s="26" t="s">
        <v>341</v>
      </c>
      <c r="M568" s="26" t="s">
        <v>341</v>
      </c>
      <c r="N568" s="26" t="s">
        <v>341</v>
      </c>
      <c r="O568" s="26" t="s">
        <v>341</v>
      </c>
      <c r="P568" s="26" t="s">
        <v>341</v>
      </c>
      <c r="Q568" s="26" t="s">
        <v>341</v>
      </c>
      <c r="R568" s="26" t="s">
        <v>341</v>
      </c>
    </row>
    <row r="569" spans="2:18" ht="58.5" x14ac:dyDescent="0.25">
      <c r="B569" s="26">
        <v>18</v>
      </c>
      <c r="C569" s="26" t="s">
        <v>1789</v>
      </c>
      <c r="D569" s="26" t="s">
        <v>4908</v>
      </c>
      <c r="E569" s="26" t="s">
        <v>4791</v>
      </c>
      <c r="F569" s="26">
        <v>11.3</v>
      </c>
      <c r="G569" s="26" t="s">
        <v>4961</v>
      </c>
      <c r="H569" s="26" t="s">
        <v>4962</v>
      </c>
      <c r="I569" s="26"/>
      <c r="J569" s="26" t="s">
        <v>4963</v>
      </c>
      <c r="K569" s="26" t="s">
        <v>269</v>
      </c>
      <c r="L569" s="26" t="s">
        <v>4964</v>
      </c>
      <c r="M569" s="26" t="s">
        <v>341</v>
      </c>
      <c r="N569" s="26" t="s">
        <v>341</v>
      </c>
      <c r="O569" s="26" t="s">
        <v>341</v>
      </c>
      <c r="P569" s="26" t="s">
        <v>341</v>
      </c>
      <c r="Q569" s="26" t="s">
        <v>341</v>
      </c>
      <c r="R569" s="26" t="s">
        <v>341</v>
      </c>
    </row>
    <row r="575" spans="2:18" ht="156" x14ac:dyDescent="0.25">
      <c r="B575" s="26">
        <v>1</v>
      </c>
      <c r="C575" s="26" t="s">
        <v>1789</v>
      </c>
      <c r="D575" s="26" t="s">
        <v>5072</v>
      </c>
      <c r="E575" s="108" t="s">
        <v>4781</v>
      </c>
      <c r="F575" s="28" t="s">
        <v>5073</v>
      </c>
      <c r="G575" s="28" t="s">
        <v>5074</v>
      </c>
      <c r="H575" s="28" t="s">
        <v>5075</v>
      </c>
      <c r="I575" s="28"/>
      <c r="J575" s="122" t="s">
        <v>5076</v>
      </c>
      <c r="K575" s="28" t="s">
        <v>205</v>
      </c>
      <c r="L575" s="28" t="s">
        <v>5077</v>
      </c>
      <c r="M575" s="26" t="s">
        <v>5071</v>
      </c>
      <c r="N575" s="26" t="s">
        <v>5071</v>
      </c>
      <c r="O575" s="26" t="s">
        <v>5071</v>
      </c>
      <c r="P575" s="26" t="s">
        <v>5071</v>
      </c>
      <c r="Q575" s="26" t="s">
        <v>5071</v>
      </c>
      <c r="R575" s="26" t="s">
        <v>5071</v>
      </c>
    </row>
    <row r="576" spans="2:18" ht="117" x14ac:dyDescent="0.25">
      <c r="B576" s="26">
        <v>2</v>
      </c>
      <c r="C576" s="26" t="s">
        <v>5078</v>
      </c>
      <c r="D576" s="26" t="s">
        <v>5078</v>
      </c>
      <c r="E576" s="108" t="s">
        <v>5079</v>
      </c>
      <c r="F576" s="28" t="s">
        <v>5080</v>
      </c>
      <c r="G576" s="28" t="s">
        <v>5081</v>
      </c>
      <c r="H576" s="28" t="s">
        <v>5075</v>
      </c>
      <c r="I576" s="28"/>
      <c r="J576" s="122" t="s">
        <v>5082</v>
      </c>
      <c r="K576" s="28" t="s">
        <v>127</v>
      </c>
      <c r="L576" s="28" t="s">
        <v>5083</v>
      </c>
      <c r="M576" s="26" t="s">
        <v>5071</v>
      </c>
      <c r="N576" s="26" t="s">
        <v>5071</v>
      </c>
      <c r="O576" s="26" t="s">
        <v>5071</v>
      </c>
      <c r="P576" s="26" t="s">
        <v>5071</v>
      </c>
      <c r="Q576" s="26" t="s">
        <v>5071</v>
      </c>
      <c r="R576" s="26" t="s">
        <v>5071</v>
      </c>
    </row>
    <row r="577" spans="2:18" ht="175.5" x14ac:dyDescent="0.25">
      <c r="B577" s="26">
        <v>1</v>
      </c>
      <c r="C577" s="26" t="s">
        <v>1789</v>
      </c>
      <c r="D577" s="26" t="s">
        <v>5072</v>
      </c>
      <c r="E577" s="108" t="s">
        <v>5084</v>
      </c>
      <c r="F577" s="28" t="s">
        <v>5085</v>
      </c>
      <c r="G577" s="28" t="s">
        <v>5086</v>
      </c>
      <c r="H577" s="28" t="s">
        <v>20</v>
      </c>
      <c r="I577" s="28"/>
      <c r="J577" s="122" t="s">
        <v>5087</v>
      </c>
      <c r="K577" s="28" t="s">
        <v>127</v>
      </c>
      <c r="L577" s="28" t="s">
        <v>5088</v>
      </c>
      <c r="M577" s="26" t="s">
        <v>5071</v>
      </c>
      <c r="N577" s="26" t="s">
        <v>5071</v>
      </c>
      <c r="O577" s="26" t="s">
        <v>5071</v>
      </c>
      <c r="P577" s="26" t="s">
        <v>5071</v>
      </c>
      <c r="Q577" s="26" t="s">
        <v>5071</v>
      </c>
      <c r="R577" s="26" t="s">
        <v>5071</v>
      </c>
    </row>
    <row r="578" spans="2:18" ht="136.5" x14ac:dyDescent="0.25">
      <c r="B578" s="26">
        <v>1</v>
      </c>
      <c r="C578" s="26" t="s">
        <v>1789</v>
      </c>
      <c r="D578" s="26" t="s">
        <v>5072</v>
      </c>
      <c r="E578" s="108" t="s">
        <v>4782</v>
      </c>
      <c r="F578" s="28" t="s">
        <v>5089</v>
      </c>
      <c r="G578" s="28" t="s">
        <v>5090</v>
      </c>
      <c r="H578" s="28" t="s">
        <v>20</v>
      </c>
      <c r="I578" s="28"/>
      <c r="J578" s="122" t="s">
        <v>5091</v>
      </c>
      <c r="K578" s="28" t="s">
        <v>34</v>
      </c>
      <c r="L578" s="28" t="s">
        <v>5092</v>
      </c>
      <c r="M578" s="26" t="s">
        <v>5071</v>
      </c>
      <c r="N578" s="26" t="s">
        <v>5071</v>
      </c>
      <c r="O578" s="26" t="s">
        <v>5071</v>
      </c>
      <c r="P578" s="26" t="s">
        <v>5071</v>
      </c>
      <c r="Q578" s="26" t="s">
        <v>5071</v>
      </c>
      <c r="R578" s="26" t="s">
        <v>5071</v>
      </c>
    </row>
    <row r="579" spans="2:18" ht="156" x14ac:dyDescent="0.25">
      <c r="B579" s="26">
        <v>2</v>
      </c>
      <c r="C579" s="178"/>
      <c r="D579" s="178"/>
      <c r="E579" s="108" t="s">
        <v>5093</v>
      </c>
      <c r="F579" s="28" t="s">
        <v>5094</v>
      </c>
      <c r="G579" s="28" t="s">
        <v>5095</v>
      </c>
      <c r="H579" s="28" t="s">
        <v>20</v>
      </c>
      <c r="I579" s="28"/>
      <c r="J579" s="122" t="s">
        <v>5096</v>
      </c>
      <c r="K579" s="28" t="s">
        <v>20</v>
      </c>
      <c r="L579" s="28" t="s">
        <v>5097</v>
      </c>
      <c r="M579" s="26" t="s">
        <v>5071</v>
      </c>
      <c r="N579" s="26" t="s">
        <v>5071</v>
      </c>
      <c r="O579" s="26" t="s">
        <v>5071</v>
      </c>
      <c r="P579" s="26" t="s">
        <v>5071</v>
      </c>
      <c r="Q579" s="26" t="s">
        <v>5071</v>
      </c>
      <c r="R579" s="26" t="s">
        <v>5071</v>
      </c>
    </row>
    <row r="580" spans="2:18" ht="175.5" x14ac:dyDescent="0.35">
      <c r="B580" s="26">
        <v>1</v>
      </c>
      <c r="C580" s="26" t="s">
        <v>1789</v>
      </c>
      <c r="D580" s="26" t="s">
        <v>5072</v>
      </c>
      <c r="E580" s="108" t="s">
        <v>206</v>
      </c>
      <c r="F580" s="28" t="s">
        <v>5098</v>
      </c>
      <c r="G580" s="131"/>
      <c r="H580" s="179"/>
      <c r="I580" s="179"/>
      <c r="J580" s="122" t="s">
        <v>5099</v>
      </c>
      <c r="K580" s="28" t="s">
        <v>20</v>
      </c>
      <c r="L580" s="28" t="s">
        <v>5100</v>
      </c>
      <c r="M580" s="26" t="s">
        <v>5071</v>
      </c>
      <c r="N580" s="26" t="s">
        <v>5071</v>
      </c>
      <c r="O580" s="26" t="s">
        <v>5071</v>
      </c>
      <c r="P580" s="26" t="s">
        <v>5071</v>
      </c>
      <c r="Q580" s="26" t="s">
        <v>5071</v>
      </c>
      <c r="R580" s="26" t="s">
        <v>5071</v>
      </c>
    </row>
    <row r="581" spans="2:18" ht="175.5" x14ac:dyDescent="0.35">
      <c r="B581" s="26">
        <v>2</v>
      </c>
      <c r="C581" s="178"/>
      <c r="D581" s="178"/>
      <c r="E581" s="108" t="s">
        <v>5101</v>
      </c>
      <c r="F581" s="28" t="s">
        <v>5102</v>
      </c>
      <c r="G581" s="131"/>
      <c r="H581" s="179"/>
      <c r="I581" s="179"/>
      <c r="J581" s="122" t="s">
        <v>5103</v>
      </c>
      <c r="K581" s="28" t="s">
        <v>20</v>
      </c>
      <c r="L581" s="28" t="s">
        <v>5100</v>
      </c>
      <c r="M581" s="26" t="s">
        <v>5071</v>
      </c>
      <c r="N581" s="26" t="s">
        <v>5071</v>
      </c>
      <c r="O581" s="26" t="s">
        <v>5071</v>
      </c>
      <c r="P581" s="26" t="s">
        <v>5071</v>
      </c>
      <c r="Q581" s="26" t="s">
        <v>5071</v>
      </c>
      <c r="R581" s="26" t="s">
        <v>5071</v>
      </c>
    </row>
    <row r="582" spans="2:18" ht="195" x14ac:dyDescent="0.25">
      <c r="B582" s="26">
        <v>1</v>
      </c>
      <c r="C582" s="26" t="s">
        <v>1789</v>
      </c>
      <c r="D582" s="26" t="s">
        <v>5072</v>
      </c>
      <c r="E582" s="108" t="s">
        <v>4909</v>
      </c>
      <c r="F582" s="178"/>
      <c r="G582" s="28" t="s">
        <v>5104</v>
      </c>
      <c r="H582" s="28" t="s">
        <v>20</v>
      </c>
      <c r="I582" s="28"/>
      <c r="J582" s="122" t="s">
        <v>5105</v>
      </c>
      <c r="K582" s="28" t="s">
        <v>2077</v>
      </c>
      <c r="L582" s="178"/>
      <c r="M582" s="26" t="s">
        <v>5071</v>
      </c>
      <c r="N582" s="26" t="s">
        <v>5071</v>
      </c>
      <c r="O582" s="26" t="s">
        <v>5071</v>
      </c>
      <c r="P582" s="26" t="s">
        <v>5071</v>
      </c>
      <c r="Q582" s="26" t="s">
        <v>5071</v>
      </c>
      <c r="R582" s="26" t="s">
        <v>5071</v>
      </c>
    </row>
    <row r="583" spans="2:18" ht="195" x14ac:dyDescent="0.25">
      <c r="B583" s="26">
        <v>2</v>
      </c>
      <c r="C583" s="178"/>
      <c r="D583" s="178"/>
      <c r="E583" s="108" t="s">
        <v>4926</v>
      </c>
      <c r="F583" s="28" t="s">
        <v>5106</v>
      </c>
      <c r="G583" s="28" t="s">
        <v>5107</v>
      </c>
      <c r="H583" s="28" t="s">
        <v>20</v>
      </c>
      <c r="I583" s="28"/>
      <c r="J583" s="122" t="s">
        <v>5108</v>
      </c>
      <c r="K583" s="28" t="s">
        <v>5109</v>
      </c>
      <c r="L583" s="28" t="s">
        <v>5110</v>
      </c>
      <c r="M583" s="26">
        <v>1</v>
      </c>
      <c r="N583" s="26" t="s">
        <v>5071</v>
      </c>
      <c r="O583" s="26" t="s">
        <v>5071</v>
      </c>
      <c r="P583" s="26" t="s">
        <v>5071</v>
      </c>
      <c r="Q583" s="26" t="s">
        <v>5071</v>
      </c>
      <c r="R583" s="26" t="s">
        <v>5071</v>
      </c>
    </row>
    <row r="584" spans="2:18" ht="95.25" customHeight="1" x14ac:dyDescent="0.25">
      <c r="B584" s="26">
        <v>3</v>
      </c>
      <c r="C584" s="178"/>
      <c r="D584" s="178"/>
      <c r="E584" s="108" t="s">
        <v>5111</v>
      </c>
      <c r="F584" s="28" t="s">
        <v>5112</v>
      </c>
      <c r="G584" s="28" t="s">
        <v>5113</v>
      </c>
      <c r="H584" s="28"/>
      <c r="I584" s="28"/>
      <c r="J584" s="122" t="s">
        <v>5114</v>
      </c>
      <c r="K584" s="28" t="s">
        <v>127</v>
      </c>
      <c r="L584" s="28" t="s">
        <v>5088</v>
      </c>
      <c r="M584" s="26" t="s">
        <v>5071</v>
      </c>
      <c r="N584" s="26" t="s">
        <v>5071</v>
      </c>
      <c r="O584" s="26" t="s">
        <v>5071</v>
      </c>
      <c r="P584" s="26" t="s">
        <v>5071</v>
      </c>
      <c r="Q584" s="26" t="s">
        <v>5071</v>
      </c>
      <c r="R584" s="26" t="s">
        <v>5071</v>
      </c>
    </row>
    <row r="585" spans="2:18" ht="15" customHeight="1" x14ac:dyDescent="0.25">
      <c r="B585" s="26"/>
      <c r="C585" s="178"/>
      <c r="D585" s="178"/>
      <c r="E585" s="108"/>
      <c r="F585" s="28"/>
      <c r="G585" s="28"/>
      <c r="H585" s="28"/>
      <c r="I585" s="28"/>
      <c r="J585" s="122"/>
      <c r="K585" s="28"/>
      <c r="L585" s="28"/>
      <c r="M585" s="26"/>
      <c r="N585" s="26"/>
      <c r="O585" s="26"/>
      <c r="P585" s="26"/>
      <c r="Q585" s="26"/>
      <c r="R585" s="26"/>
    </row>
    <row r="586" spans="2:18" ht="15" customHeight="1" x14ac:dyDescent="0.25">
      <c r="B586" s="26"/>
      <c r="C586" s="178"/>
      <c r="D586" s="178"/>
      <c r="E586" s="108"/>
      <c r="F586" s="28"/>
      <c r="G586" s="28"/>
      <c r="H586" s="28"/>
      <c r="I586" s="28"/>
      <c r="J586" s="122"/>
      <c r="K586" s="28"/>
      <c r="L586" s="28"/>
      <c r="M586" s="26"/>
      <c r="N586" s="26"/>
      <c r="O586" s="26"/>
      <c r="P586" s="26"/>
      <c r="Q586" s="26"/>
      <c r="R586" s="26"/>
    </row>
    <row r="587" spans="2:18" ht="136.5" x14ac:dyDescent="0.25">
      <c r="B587" s="26">
        <v>4</v>
      </c>
      <c r="C587" s="178"/>
      <c r="D587" s="178"/>
      <c r="E587" s="108" t="s">
        <v>4934</v>
      </c>
      <c r="F587" s="28" t="s">
        <v>5115</v>
      </c>
      <c r="G587" s="28" t="s">
        <v>5116</v>
      </c>
      <c r="H587" s="28"/>
      <c r="I587" s="28"/>
      <c r="J587" s="122" t="s">
        <v>5117</v>
      </c>
      <c r="K587" s="28" t="s">
        <v>204</v>
      </c>
      <c r="L587" s="28" t="s">
        <v>5118</v>
      </c>
      <c r="M587" s="26" t="s">
        <v>5071</v>
      </c>
      <c r="N587" s="26" t="s">
        <v>5071</v>
      </c>
      <c r="O587" s="26" t="s">
        <v>5071</v>
      </c>
      <c r="P587" s="26" t="s">
        <v>5071</v>
      </c>
      <c r="Q587" s="26" t="s">
        <v>5071</v>
      </c>
      <c r="R587" s="26" t="s">
        <v>5071</v>
      </c>
    </row>
    <row r="588" spans="2:18" ht="117" x14ac:dyDescent="0.25">
      <c r="B588" s="26">
        <v>5</v>
      </c>
      <c r="C588" s="178"/>
      <c r="D588" s="178"/>
      <c r="E588" s="108" t="s">
        <v>5119</v>
      </c>
      <c r="F588" s="28" t="s">
        <v>5120</v>
      </c>
      <c r="G588" s="28" t="s">
        <v>5121</v>
      </c>
      <c r="H588" s="28"/>
      <c r="I588" s="28"/>
      <c r="J588" s="122" t="s">
        <v>5122</v>
      </c>
      <c r="K588" s="28" t="s">
        <v>5123</v>
      </c>
      <c r="L588" s="28" t="s">
        <v>5124</v>
      </c>
      <c r="M588" s="26" t="s">
        <v>5071</v>
      </c>
      <c r="N588" s="26" t="s">
        <v>5071</v>
      </c>
      <c r="O588" s="26" t="s">
        <v>5071</v>
      </c>
      <c r="P588" s="26" t="s">
        <v>5071</v>
      </c>
      <c r="Q588" s="26" t="s">
        <v>5071</v>
      </c>
      <c r="R588" s="26" t="s">
        <v>5071</v>
      </c>
    </row>
    <row r="589" spans="2:18" ht="117" x14ac:dyDescent="0.25">
      <c r="B589" s="26">
        <v>6</v>
      </c>
      <c r="C589" s="178"/>
      <c r="D589" s="178"/>
      <c r="E589" s="108" t="s">
        <v>4787</v>
      </c>
      <c r="F589" s="28" t="s">
        <v>5125</v>
      </c>
      <c r="G589" s="28" t="s">
        <v>5126</v>
      </c>
      <c r="H589" s="28"/>
      <c r="I589" s="28"/>
      <c r="J589" s="122" t="s">
        <v>5127</v>
      </c>
      <c r="K589" s="28" t="s">
        <v>20</v>
      </c>
      <c r="L589" s="28" t="s">
        <v>20</v>
      </c>
      <c r="M589" s="26" t="s">
        <v>5071</v>
      </c>
      <c r="N589" s="26" t="s">
        <v>5071</v>
      </c>
      <c r="O589" s="26" t="s">
        <v>5071</v>
      </c>
      <c r="P589" s="26" t="s">
        <v>5071</v>
      </c>
      <c r="Q589" s="26" t="s">
        <v>5071</v>
      </c>
      <c r="R589" s="26" t="s">
        <v>5071</v>
      </c>
    </row>
    <row r="590" spans="2:18" ht="156" x14ac:dyDescent="0.25">
      <c r="B590" s="26">
        <v>7</v>
      </c>
      <c r="C590" s="178"/>
      <c r="D590" s="178"/>
      <c r="E590" s="108" t="s">
        <v>5128</v>
      </c>
      <c r="F590" s="28" t="s">
        <v>5129</v>
      </c>
      <c r="G590" s="28" t="s">
        <v>5130</v>
      </c>
      <c r="H590" s="28"/>
      <c r="I590" s="28"/>
      <c r="J590" s="122" t="s">
        <v>5131</v>
      </c>
      <c r="K590" s="28" t="s">
        <v>5132</v>
      </c>
      <c r="L590" s="28" t="s">
        <v>5133</v>
      </c>
      <c r="M590" s="26" t="s">
        <v>5071</v>
      </c>
      <c r="N590" s="26" t="s">
        <v>5071</v>
      </c>
      <c r="O590" s="26" t="s">
        <v>5071</v>
      </c>
      <c r="P590" s="26" t="s">
        <v>5071</v>
      </c>
      <c r="Q590" s="26" t="s">
        <v>5071</v>
      </c>
      <c r="R590" s="26" t="s">
        <v>5071</v>
      </c>
    </row>
    <row r="591" spans="2:18" ht="136.5" x14ac:dyDescent="0.35">
      <c r="B591" s="26">
        <v>1</v>
      </c>
      <c r="C591" s="26" t="s">
        <v>1789</v>
      </c>
      <c r="D591" s="26" t="s">
        <v>5072</v>
      </c>
      <c r="E591" s="108" t="s">
        <v>5134</v>
      </c>
      <c r="F591" s="28" t="s">
        <v>5135</v>
      </c>
      <c r="G591" s="131"/>
      <c r="H591" s="179"/>
      <c r="I591" s="179"/>
      <c r="J591" s="122" t="s">
        <v>5136</v>
      </c>
      <c r="K591" s="26" t="s">
        <v>20</v>
      </c>
      <c r="L591" s="26">
        <v>5000000</v>
      </c>
      <c r="M591" s="26" t="s">
        <v>5071</v>
      </c>
      <c r="N591" s="26" t="s">
        <v>5071</v>
      </c>
      <c r="O591" s="26" t="s">
        <v>5071</v>
      </c>
      <c r="P591" s="26" t="s">
        <v>5071</v>
      </c>
      <c r="Q591" s="26" t="s">
        <v>5071</v>
      </c>
      <c r="R591" s="26" t="s">
        <v>5071</v>
      </c>
    </row>
    <row r="592" spans="2:18" ht="117" x14ac:dyDescent="0.35">
      <c r="B592" s="178"/>
      <c r="C592" s="178"/>
      <c r="D592" s="178"/>
      <c r="E592" s="108" t="s">
        <v>5137</v>
      </c>
      <c r="F592" s="28" t="s">
        <v>5138</v>
      </c>
      <c r="G592" s="131"/>
      <c r="H592" s="179"/>
      <c r="I592" s="179"/>
      <c r="J592" s="122" t="s">
        <v>5139</v>
      </c>
      <c r="K592" s="26" t="s">
        <v>20</v>
      </c>
      <c r="L592" s="26" t="s">
        <v>20</v>
      </c>
      <c r="M592" s="26" t="s">
        <v>5071</v>
      </c>
      <c r="N592" s="26" t="s">
        <v>5071</v>
      </c>
      <c r="O592" s="26" t="s">
        <v>5071</v>
      </c>
      <c r="P592" s="26" t="s">
        <v>5071</v>
      </c>
      <c r="Q592" s="26" t="s">
        <v>5071</v>
      </c>
      <c r="R592" s="26" t="s">
        <v>5071</v>
      </c>
    </row>
    <row r="593" spans="2:18" ht="175.5" x14ac:dyDescent="0.35">
      <c r="B593" s="178"/>
      <c r="C593" s="178"/>
      <c r="D593" s="178"/>
      <c r="E593" s="108" t="s">
        <v>4934</v>
      </c>
      <c r="F593" s="28" t="s">
        <v>5140</v>
      </c>
      <c r="G593" s="131"/>
      <c r="H593" s="179"/>
      <c r="I593" s="179"/>
      <c r="J593" s="122" t="s">
        <v>5141</v>
      </c>
      <c r="K593" s="26" t="s">
        <v>20</v>
      </c>
      <c r="L593" s="26" t="s">
        <v>20</v>
      </c>
      <c r="M593" s="26" t="s">
        <v>5071</v>
      </c>
      <c r="N593" s="26" t="s">
        <v>5071</v>
      </c>
      <c r="O593" s="26" t="s">
        <v>5071</v>
      </c>
      <c r="P593" s="26" t="s">
        <v>5071</v>
      </c>
      <c r="Q593" s="26" t="s">
        <v>5071</v>
      </c>
      <c r="R593" s="26" t="s">
        <v>5071</v>
      </c>
    </row>
    <row r="594" spans="2:18" ht="195" x14ac:dyDescent="0.25">
      <c r="B594" s="26">
        <v>1</v>
      </c>
      <c r="C594" s="26" t="s">
        <v>1789</v>
      </c>
      <c r="D594" s="26" t="s">
        <v>5072</v>
      </c>
      <c r="E594" s="108" t="s">
        <v>4909</v>
      </c>
      <c r="F594" s="178"/>
      <c r="G594" s="28" t="s">
        <v>5104</v>
      </c>
      <c r="H594" s="28" t="s">
        <v>20</v>
      </c>
      <c r="I594" s="28"/>
      <c r="J594" s="122" t="s">
        <v>5105</v>
      </c>
      <c r="K594" s="28" t="s">
        <v>5142</v>
      </c>
      <c r="L594" s="28" t="s">
        <v>5143</v>
      </c>
      <c r="M594" s="26" t="s">
        <v>5071</v>
      </c>
      <c r="N594" s="26" t="s">
        <v>5071</v>
      </c>
      <c r="O594" s="26" t="s">
        <v>5071</v>
      </c>
      <c r="P594" s="26" t="s">
        <v>5071</v>
      </c>
      <c r="Q594" s="26" t="s">
        <v>5071</v>
      </c>
      <c r="R594" s="26" t="s">
        <v>5071</v>
      </c>
    </row>
    <row r="595" spans="2:18" ht="195" x14ac:dyDescent="0.25">
      <c r="B595" s="26">
        <v>2</v>
      </c>
      <c r="C595" s="178"/>
      <c r="D595" s="178"/>
      <c r="E595" s="108" t="s">
        <v>4926</v>
      </c>
      <c r="F595" s="28" t="s">
        <v>5106</v>
      </c>
      <c r="G595" s="28" t="s">
        <v>5107</v>
      </c>
      <c r="H595" s="28" t="s">
        <v>20</v>
      </c>
      <c r="I595" s="28"/>
      <c r="J595" s="122" t="s">
        <v>5108</v>
      </c>
      <c r="K595" s="28" t="s">
        <v>5109</v>
      </c>
      <c r="L595" s="28" t="s">
        <v>5110</v>
      </c>
      <c r="M595" s="26">
        <v>1</v>
      </c>
      <c r="N595" s="26" t="s">
        <v>5071</v>
      </c>
      <c r="O595" s="26" t="s">
        <v>5071</v>
      </c>
      <c r="P595" s="26" t="s">
        <v>5071</v>
      </c>
      <c r="Q595" s="26" t="s">
        <v>5071</v>
      </c>
      <c r="R595" s="26" t="s">
        <v>5071</v>
      </c>
    </row>
    <row r="596" spans="2:18" ht="80.25" customHeight="1" x14ac:dyDescent="0.25">
      <c r="B596" s="26">
        <v>3</v>
      </c>
      <c r="C596" s="178"/>
      <c r="D596" s="178"/>
      <c r="E596" s="108" t="s">
        <v>4934</v>
      </c>
      <c r="F596" s="28" t="s">
        <v>5112</v>
      </c>
      <c r="G596" s="28" t="s">
        <v>5113</v>
      </c>
      <c r="H596" s="28"/>
      <c r="I596" s="28"/>
      <c r="J596" s="122" t="s">
        <v>5114</v>
      </c>
      <c r="K596" s="28" t="s">
        <v>127</v>
      </c>
      <c r="L596" s="28" t="s">
        <v>5088</v>
      </c>
      <c r="M596" s="26" t="s">
        <v>5071</v>
      </c>
      <c r="N596" s="26" t="s">
        <v>5071</v>
      </c>
      <c r="O596" s="26" t="s">
        <v>5071</v>
      </c>
      <c r="P596" s="26" t="s">
        <v>5071</v>
      </c>
      <c r="Q596" s="26" t="s">
        <v>5071</v>
      </c>
      <c r="R596" s="26" t="s">
        <v>5071</v>
      </c>
    </row>
    <row r="597" spans="2:18" ht="15" customHeight="1" x14ac:dyDescent="0.25">
      <c r="B597" s="26"/>
      <c r="C597" s="178"/>
      <c r="D597" s="178"/>
      <c r="E597" s="108"/>
      <c r="F597" s="28"/>
      <c r="G597" s="28"/>
      <c r="H597" s="28"/>
      <c r="I597" s="28"/>
      <c r="J597" s="122"/>
      <c r="K597" s="28"/>
      <c r="L597" s="28"/>
      <c r="M597" s="26"/>
      <c r="N597" s="26"/>
      <c r="O597" s="26"/>
      <c r="P597" s="26"/>
      <c r="Q597" s="26"/>
      <c r="R597" s="26"/>
    </row>
    <row r="598" spans="2:18" ht="15" customHeight="1" x14ac:dyDescent="0.25">
      <c r="B598" s="26"/>
      <c r="C598" s="178"/>
      <c r="D598" s="178"/>
      <c r="E598" s="108"/>
      <c r="F598" s="28"/>
      <c r="G598" s="28"/>
      <c r="H598" s="28"/>
      <c r="I598" s="28"/>
      <c r="J598" s="122"/>
      <c r="K598" s="28"/>
      <c r="L598" s="28"/>
      <c r="M598" s="26"/>
      <c r="N598" s="26"/>
      <c r="O598" s="26"/>
      <c r="P598" s="26"/>
      <c r="Q598" s="26"/>
      <c r="R598" s="26"/>
    </row>
    <row r="599" spans="2:18" ht="15" customHeight="1" x14ac:dyDescent="0.25">
      <c r="B599" s="26"/>
      <c r="C599" s="178"/>
      <c r="D599" s="178"/>
      <c r="E599" s="108"/>
      <c r="F599" s="28"/>
      <c r="G599" s="28"/>
      <c r="H599" s="28"/>
      <c r="I599" s="28"/>
      <c r="J599" s="122"/>
      <c r="K599" s="28"/>
      <c r="L599" s="28"/>
      <c r="M599" s="26"/>
      <c r="N599" s="26"/>
      <c r="O599" s="26"/>
      <c r="P599" s="26"/>
      <c r="Q599" s="26"/>
      <c r="R599" s="26"/>
    </row>
    <row r="600" spans="2:18" ht="136.5" x14ac:dyDescent="0.25">
      <c r="B600" s="26">
        <v>4</v>
      </c>
      <c r="C600" s="178"/>
      <c r="D600" s="178"/>
      <c r="E600" s="108" t="s">
        <v>4934</v>
      </c>
      <c r="F600" s="28" t="s">
        <v>5115</v>
      </c>
      <c r="G600" s="28" t="s">
        <v>5116</v>
      </c>
      <c r="H600" s="28"/>
      <c r="I600" s="28"/>
      <c r="J600" s="122" t="s">
        <v>5117</v>
      </c>
      <c r="K600" s="28" t="s">
        <v>204</v>
      </c>
      <c r="L600" s="28" t="s">
        <v>5118</v>
      </c>
      <c r="M600" s="26" t="s">
        <v>5071</v>
      </c>
      <c r="N600" s="26" t="s">
        <v>5071</v>
      </c>
      <c r="O600" s="26" t="s">
        <v>5071</v>
      </c>
      <c r="P600" s="26" t="s">
        <v>5071</v>
      </c>
      <c r="Q600" s="26" t="s">
        <v>5071</v>
      </c>
      <c r="R600" s="26" t="s">
        <v>5071</v>
      </c>
    </row>
    <row r="601" spans="2:18" ht="117" x14ac:dyDescent="0.25">
      <c r="B601" s="26">
        <v>5</v>
      </c>
      <c r="C601" s="178"/>
      <c r="D601" s="178"/>
      <c r="E601" s="108" t="s">
        <v>5119</v>
      </c>
      <c r="F601" s="28" t="s">
        <v>5120</v>
      </c>
      <c r="G601" s="28" t="s">
        <v>5121</v>
      </c>
      <c r="H601" s="28"/>
      <c r="I601" s="28"/>
      <c r="J601" s="122" t="s">
        <v>5122</v>
      </c>
      <c r="K601" s="28" t="s">
        <v>5123</v>
      </c>
      <c r="L601" s="28" t="s">
        <v>5124</v>
      </c>
      <c r="M601" s="26" t="s">
        <v>5071</v>
      </c>
      <c r="N601" s="26" t="s">
        <v>5071</v>
      </c>
      <c r="O601" s="26" t="s">
        <v>5071</v>
      </c>
      <c r="P601" s="26" t="s">
        <v>5071</v>
      </c>
      <c r="Q601" s="26" t="s">
        <v>5071</v>
      </c>
      <c r="R601" s="26" t="s">
        <v>5071</v>
      </c>
    </row>
    <row r="602" spans="2:18" ht="117" x14ac:dyDescent="0.25">
      <c r="B602" s="26">
        <v>6</v>
      </c>
      <c r="C602" s="178"/>
      <c r="D602" s="178"/>
      <c r="E602" s="108" t="s">
        <v>4787</v>
      </c>
      <c r="F602" s="28" t="s">
        <v>5125</v>
      </c>
      <c r="G602" s="28" t="s">
        <v>5126</v>
      </c>
      <c r="H602" s="28"/>
      <c r="I602" s="28"/>
      <c r="J602" s="122" t="s">
        <v>5127</v>
      </c>
      <c r="K602" s="28" t="s">
        <v>20</v>
      </c>
      <c r="L602" s="28" t="s">
        <v>20</v>
      </c>
      <c r="M602" s="26" t="s">
        <v>5071</v>
      </c>
      <c r="N602" s="26" t="s">
        <v>5071</v>
      </c>
      <c r="O602" s="26" t="s">
        <v>5071</v>
      </c>
      <c r="P602" s="26" t="s">
        <v>5071</v>
      </c>
      <c r="Q602" s="26" t="s">
        <v>5071</v>
      </c>
      <c r="R602" s="26" t="s">
        <v>5071</v>
      </c>
    </row>
    <row r="603" spans="2:18" ht="156" x14ac:dyDescent="0.25">
      <c r="B603" s="26">
        <v>7</v>
      </c>
      <c r="C603" s="178"/>
      <c r="D603" s="178"/>
      <c r="E603" s="108" t="s">
        <v>5128</v>
      </c>
      <c r="F603" s="28" t="s">
        <v>5129</v>
      </c>
      <c r="G603" s="28" t="s">
        <v>5130</v>
      </c>
      <c r="H603" s="28"/>
      <c r="I603" s="28"/>
      <c r="J603" s="122" t="s">
        <v>5131</v>
      </c>
      <c r="K603" s="28" t="s">
        <v>5132</v>
      </c>
      <c r="L603" s="28" t="s">
        <v>5133</v>
      </c>
      <c r="M603" s="26" t="s">
        <v>5071</v>
      </c>
      <c r="N603" s="26" t="s">
        <v>5071</v>
      </c>
      <c r="O603" s="26" t="s">
        <v>5071</v>
      </c>
      <c r="P603" s="26" t="s">
        <v>5071</v>
      </c>
      <c r="Q603" s="26" t="s">
        <v>5071</v>
      </c>
      <c r="R603" s="26" t="s">
        <v>5071</v>
      </c>
    </row>
    <row r="604" spans="2:18" ht="156" x14ac:dyDescent="0.25">
      <c r="B604" s="26">
        <v>8</v>
      </c>
      <c r="C604" s="178"/>
      <c r="D604" s="178"/>
      <c r="E604" s="108" t="s">
        <v>4790</v>
      </c>
      <c r="F604" s="28" t="s">
        <v>5144</v>
      </c>
      <c r="G604" s="28" t="s">
        <v>5145</v>
      </c>
      <c r="H604" s="28"/>
      <c r="I604" s="28"/>
      <c r="J604" s="122" t="s">
        <v>5146</v>
      </c>
      <c r="K604" s="28" t="s">
        <v>5147</v>
      </c>
      <c r="L604" s="28" t="s">
        <v>5148</v>
      </c>
      <c r="M604" s="26" t="s">
        <v>5071</v>
      </c>
      <c r="N604" s="26" t="s">
        <v>5071</v>
      </c>
      <c r="O604" s="26" t="s">
        <v>5071</v>
      </c>
      <c r="P604" s="26" t="s">
        <v>5071</v>
      </c>
      <c r="Q604" s="26" t="s">
        <v>5071</v>
      </c>
      <c r="R604" s="26" t="s">
        <v>5071</v>
      </c>
    </row>
    <row r="605" spans="2:18" ht="136.5" x14ac:dyDescent="0.35">
      <c r="B605" s="26">
        <v>1</v>
      </c>
      <c r="C605" s="26" t="s">
        <v>1789</v>
      </c>
      <c r="D605" s="26" t="s">
        <v>5072</v>
      </c>
      <c r="E605" s="108" t="s">
        <v>5134</v>
      </c>
      <c r="F605" s="28" t="s">
        <v>5135</v>
      </c>
      <c r="G605" s="131"/>
      <c r="H605" s="179"/>
      <c r="I605" s="179"/>
      <c r="J605" s="122" t="s">
        <v>5136</v>
      </c>
      <c r="K605" s="26" t="s">
        <v>20</v>
      </c>
      <c r="L605" s="26" t="s">
        <v>5100</v>
      </c>
      <c r="M605" s="26" t="s">
        <v>5071</v>
      </c>
      <c r="N605" s="26" t="s">
        <v>5071</v>
      </c>
      <c r="O605" s="26" t="s">
        <v>5071</v>
      </c>
      <c r="P605" s="26" t="s">
        <v>5071</v>
      </c>
      <c r="Q605" s="26" t="s">
        <v>5071</v>
      </c>
      <c r="R605" s="26" t="s">
        <v>5071</v>
      </c>
    </row>
    <row r="606" spans="2:18" ht="117" x14ac:dyDescent="0.35">
      <c r="B606" s="26">
        <v>2</v>
      </c>
      <c r="C606" s="178"/>
      <c r="D606" s="178"/>
      <c r="E606" s="108" t="s">
        <v>5137</v>
      </c>
      <c r="F606" s="28" t="s">
        <v>5138</v>
      </c>
      <c r="G606" s="131"/>
      <c r="H606" s="179"/>
      <c r="I606" s="179"/>
      <c r="J606" s="122" t="s">
        <v>5139</v>
      </c>
      <c r="K606" s="26" t="s">
        <v>20</v>
      </c>
      <c r="L606" s="26" t="s">
        <v>20</v>
      </c>
      <c r="M606" s="26" t="s">
        <v>5071</v>
      </c>
      <c r="N606" s="26" t="s">
        <v>5071</v>
      </c>
      <c r="O606" s="26" t="s">
        <v>5071</v>
      </c>
      <c r="P606" s="26" t="s">
        <v>5071</v>
      </c>
      <c r="Q606" s="26" t="s">
        <v>5071</v>
      </c>
      <c r="R606" s="26" t="s">
        <v>5071</v>
      </c>
    </row>
    <row r="607" spans="2:18" ht="175.5" x14ac:dyDescent="0.35">
      <c r="B607" s="26">
        <v>3</v>
      </c>
      <c r="C607" s="178"/>
      <c r="D607" s="178"/>
      <c r="E607" s="108" t="s">
        <v>4934</v>
      </c>
      <c r="F607" s="28" t="s">
        <v>5140</v>
      </c>
      <c r="G607" s="131"/>
      <c r="H607" s="179"/>
      <c r="I607" s="179"/>
      <c r="J607" s="122" t="s">
        <v>5141</v>
      </c>
      <c r="K607" s="26" t="s">
        <v>20</v>
      </c>
      <c r="L607" s="26" t="s">
        <v>20</v>
      </c>
      <c r="M607" s="26" t="s">
        <v>5071</v>
      </c>
      <c r="N607" s="26" t="s">
        <v>5071</v>
      </c>
      <c r="O607" s="26" t="s">
        <v>5071</v>
      </c>
      <c r="P607" s="26" t="s">
        <v>5071</v>
      </c>
      <c r="Q607" s="26" t="s">
        <v>5071</v>
      </c>
      <c r="R607" s="26" t="s">
        <v>5071</v>
      </c>
    </row>
    <row r="608" spans="2:18" ht="117" x14ac:dyDescent="0.25">
      <c r="B608" s="26">
        <v>1</v>
      </c>
      <c r="C608" s="26" t="s">
        <v>1789</v>
      </c>
      <c r="D608" s="28" t="s">
        <v>5149</v>
      </c>
      <c r="E608" s="110" t="s">
        <v>4786</v>
      </c>
      <c r="F608" s="26" t="s">
        <v>5150</v>
      </c>
      <c r="G608" s="26" t="s">
        <v>20</v>
      </c>
      <c r="H608" s="26" t="s">
        <v>20</v>
      </c>
      <c r="I608" s="26"/>
      <c r="J608" s="122" t="s">
        <v>5151</v>
      </c>
      <c r="K608" s="28" t="s">
        <v>20</v>
      </c>
      <c r="L608" s="28" t="s">
        <v>20</v>
      </c>
      <c r="M608" s="26" t="s">
        <v>5071</v>
      </c>
      <c r="N608" s="26" t="s">
        <v>5071</v>
      </c>
      <c r="O608" s="26" t="s">
        <v>5071</v>
      </c>
      <c r="P608" s="26" t="s">
        <v>5071</v>
      </c>
      <c r="Q608" s="26" t="s">
        <v>5071</v>
      </c>
      <c r="R608" s="26" t="s">
        <v>5071</v>
      </c>
    </row>
    <row r="609" spans="2:18" ht="117" x14ac:dyDescent="0.25">
      <c r="B609" s="26">
        <v>1</v>
      </c>
      <c r="C609" s="26" t="s">
        <v>1789</v>
      </c>
      <c r="D609" s="26" t="s">
        <v>5072</v>
      </c>
      <c r="E609" s="108" t="s">
        <v>4793</v>
      </c>
      <c r="F609" s="28" t="s">
        <v>5152</v>
      </c>
      <c r="G609" s="28" t="s">
        <v>5153</v>
      </c>
      <c r="H609" s="28" t="s">
        <v>5075</v>
      </c>
      <c r="I609" s="28"/>
      <c r="J609" s="122" t="s">
        <v>5154</v>
      </c>
      <c r="K609" s="28" t="s">
        <v>20</v>
      </c>
      <c r="L609" s="28" t="s">
        <v>5155</v>
      </c>
      <c r="M609" s="26" t="s">
        <v>5071</v>
      </c>
      <c r="N609" s="26" t="s">
        <v>5071</v>
      </c>
      <c r="O609" s="26" t="s">
        <v>5071</v>
      </c>
      <c r="P609" s="26" t="s">
        <v>5071</v>
      </c>
      <c r="Q609" s="26" t="s">
        <v>5071</v>
      </c>
      <c r="R609" s="26" t="s">
        <v>5071</v>
      </c>
    </row>
    <row r="610" spans="2:18" ht="136.5" x14ac:dyDescent="0.25">
      <c r="B610" s="26">
        <v>2</v>
      </c>
      <c r="C610" s="178"/>
      <c r="D610" s="178"/>
      <c r="E610" s="108" t="s">
        <v>4794</v>
      </c>
      <c r="F610" s="28" t="s">
        <v>5156</v>
      </c>
      <c r="G610" s="28" t="s">
        <v>5157</v>
      </c>
      <c r="H610" s="28" t="s">
        <v>5078</v>
      </c>
      <c r="I610" s="28"/>
      <c r="J610" s="122" t="s">
        <v>5158</v>
      </c>
      <c r="K610" s="28" t="s">
        <v>127</v>
      </c>
      <c r="L610" s="28" t="s">
        <v>5159</v>
      </c>
      <c r="M610" s="26" t="s">
        <v>5071</v>
      </c>
      <c r="N610" s="26" t="s">
        <v>5071</v>
      </c>
      <c r="O610" s="26" t="s">
        <v>5071</v>
      </c>
      <c r="P610" s="26" t="s">
        <v>5071</v>
      </c>
      <c r="Q610" s="26" t="s">
        <v>5071</v>
      </c>
      <c r="R610" s="26" t="s">
        <v>5071</v>
      </c>
    </row>
    <row r="611" spans="2:18" ht="117" x14ac:dyDescent="0.25">
      <c r="B611" s="26">
        <v>3</v>
      </c>
      <c r="C611" s="178"/>
      <c r="D611" s="178"/>
      <c r="E611" s="108" t="s">
        <v>4796</v>
      </c>
      <c r="F611" s="28" t="s">
        <v>5160</v>
      </c>
      <c r="G611" s="28" t="s">
        <v>5161</v>
      </c>
      <c r="H611" s="28" t="s">
        <v>5078</v>
      </c>
      <c r="I611" s="28"/>
      <c r="J611" s="122" t="s">
        <v>5162</v>
      </c>
      <c r="K611" s="28" t="s">
        <v>198</v>
      </c>
      <c r="L611" s="28" t="s">
        <v>208</v>
      </c>
      <c r="M611" s="26" t="s">
        <v>5071</v>
      </c>
      <c r="N611" s="26" t="s">
        <v>5071</v>
      </c>
      <c r="O611" s="26" t="s">
        <v>5071</v>
      </c>
      <c r="P611" s="26" t="s">
        <v>5071</v>
      </c>
      <c r="Q611" s="26" t="s">
        <v>5071</v>
      </c>
      <c r="R611" s="26" t="s">
        <v>5071</v>
      </c>
    </row>
    <row r="612" spans="2:18" ht="136.5" x14ac:dyDescent="0.25">
      <c r="B612" s="26">
        <v>4</v>
      </c>
      <c r="C612" s="178"/>
      <c r="D612" s="178"/>
      <c r="E612" s="108" t="s">
        <v>4796</v>
      </c>
      <c r="F612" s="28" t="s">
        <v>5163</v>
      </c>
      <c r="G612" s="28" t="s">
        <v>5164</v>
      </c>
      <c r="H612" s="28" t="s">
        <v>4880</v>
      </c>
      <c r="I612" s="28"/>
      <c r="J612" s="122" t="s">
        <v>5165</v>
      </c>
      <c r="K612" s="28" t="s">
        <v>127</v>
      </c>
      <c r="L612" s="28" t="s">
        <v>5088</v>
      </c>
      <c r="M612" s="26" t="s">
        <v>5071</v>
      </c>
      <c r="N612" s="26" t="s">
        <v>5071</v>
      </c>
      <c r="O612" s="26" t="s">
        <v>5071</v>
      </c>
      <c r="P612" s="26" t="s">
        <v>5071</v>
      </c>
      <c r="Q612" s="26" t="s">
        <v>5071</v>
      </c>
      <c r="R612" s="26" t="s">
        <v>5071</v>
      </c>
    </row>
    <row r="613" spans="2:18" ht="175.5" x14ac:dyDescent="0.25">
      <c r="B613" s="26">
        <v>5</v>
      </c>
      <c r="C613" s="178"/>
      <c r="D613" s="178"/>
      <c r="E613" s="108" t="s">
        <v>5166</v>
      </c>
      <c r="F613" s="28" t="s">
        <v>5167</v>
      </c>
      <c r="G613" s="28" t="s">
        <v>5168</v>
      </c>
      <c r="H613" s="28" t="s">
        <v>2663</v>
      </c>
      <c r="I613" s="28"/>
      <c r="J613" s="122" t="s">
        <v>5169</v>
      </c>
      <c r="K613" s="28" t="s">
        <v>5170</v>
      </c>
      <c r="L613" s="28" t="s">
        <v>5171</v>
      </c>
      <c r="M613" s="26" t="s">
        <v>5071</v>
      </c>
      <c r="N613" s="26" t="s">
        <v>5071</v>
      </c>
      <c r="O613" s="26" t="s">
        <v>5071</v>
      </c>
      <c r="P613" s="26" t="s">
        <v>5071</v>
      </c>
      <c r="Q613" s="26" t="s">
        <v>5071</v>
      </c>
      <c r="R613" s="26" t="s">
        <v>5071</v>
      </c>
    </row>
    <row r="614" spans="2:18" ht="117" x14ac:dyDescent="0.25">
      <c r="B614" s="26">
        <v>6</v>
      </c>
      <c r="C614" s="178"/>
      <c r="D614" s="178"/>
      <c r="E614" s="108" t="s">
        <v>4797</v>
      </c>
      <c r="F614" s="28" t="s">
        <v>5172</v>
      </c>
      <c r="G614" s="28" t="s">
        <v>5173</v>
      </c>
      <c r="H614" s="28" t="s">
        <v>5075</v>
      </c>
      <c r="I614" s="28"/>
      <c r="J614" s="122" t="s">
        <v>5174</v>
      </c>
      <c r="K614" s="28" t="s">
        <v>20</v>
      </c>
      <c r="L614" s="28" t="s">
        <v>5155</v>
      </c>
      <c r="M614" s="26" t="s">
        <v>5071</v>
      </c>
      <c r="N614" s="26" t="s">
        <v>5071</v>
      </c>
      <c r="O614" s="26" t="s">
        <v>5071</v>
      </c>
      <c r="P614" s="26" t="s">
        <v>5071</v>
      </c>
      <c r="Q614" s="26" t="s">
        <v>5071</v>
      </c>
      <c r="R614" s="26" t="s">
        <v>5071</v>
      </c>
    </row>
    <row r="615" spans="2:18" ht="97.5" x14ac:dyDescent="0.25">
      <c r="B615" s="26">
        <v>7</v>
      </c>
      <c r="C615" s="178"/>
      <c r="D615" s="178"/>
      <c r="E615" s="108" t="s">
        <v>5175</v>
      </c>
      <c r="F615" s="28" t="s">
        <v>5176</v>
      </c>
      <c r="G615" s="28" t="s">
        <v>5177</v>
      </c>
      <c r="H615" s="28" t="s">
        <v>5078</v>
      </c>
      <c r="I615" s="28"/>
      <c r="J615" s="122" t="s">
        <v>5178</v>
      </c>
      <c r="K615" s="28" t="s">
        <v>20</v>
      </c>
      <c r="L615" s="28" t="s">
        <v>5100</v>
      </c>
      <c r="M615" s="26" t="s">
        <v>5071</v>
      </c>
      <c r="N615" s="26" t="s">
        <v>5071</v>
      </c>
      <c r="O615" s="26" t="s">
        <v>5071</v>
      </c>
      <c r="P615" s="26" t="s">
        <v>5071</v>
      </c>
      <c r="Q615" s="26" t="s">
        <v>5071</v>
      </c>
      <c r="R615" s="26" t="s">
        <v>5071</v>
      </c>
    </row>
    <row r="616" spans="2:18" ht="195" x14ac:dyDescent="0.25">
      <c r="B616" s="26">
        <v>8</v>
      </c>
      <c r="C616" s="178"/>
      <c r="D616" s="178"/>
      <c r="E616" s="108" t="s">
        <v>5179</v>
      </c>
      <c r="F616" s="28" t="s">
        <v>5135</v>
      </c>
      <c r="G616" s="28" t="s">
        <v>5180</v>
      </c>
      <c r="H616" s="28" t="s">
        <v>5078</v>
      </c>
      <c r="I616" s="28"/>
      <c r="J616" s="122" t="s">
        <v>5181</v>
      </c>
      <c r="K616" s="28" t="s">
        <v>20</v>
      </c>
      <c r="L616" s="28" t="s">
        <v>5155</v>
      </c>
      <c r="M616" s="26" t="s">
        <v>5071</v>
      </c>
      <c r="N616" s="26" t="s">
        <v>5071</v>
      </c>
      <c r="O616" s="26" t="s">
        <v>5071</v>
      </c>
      <c r="P616" s="26" t="s">
        <v>5071</v>
      </c>
      <c r="Q616" s="26" t="s">
        <v>5071</v>
      </c>
      <c r="R616" s="26" t="s">
        <v>5071</v>
      </c>
    </row>
    <row r="617" spans="2:18" ht="117" x14ac:dyDescent="0.25">
      <c r="B617" s="26">
        <v>9</v>
      </c>
      <c r="C617" s="178"/>
      <c r="D617" s="178"/>
      <c r="E617" s="108" t="s">
        <v>5182</v>
      </c>
      <c r="F617" s="28" t="s">
        <v>5183</v>
      </c>
      <c r="G617" s="28" t="s">
        <v>5184</v>
      </c>
      <c r="H617" s="28" t="s">
        <v>5078</v>
      </c>
      <c r="I617" s="28"/>
      <c r="J617" s="122" t="s">
        <v>5185</v>
      </c>
      <c r="K617" s="28" t="s">
        <v>20</v>
      </c>
      <c r="L617" s="28" t="s">
        <v>5155</v>
      </c>
      <c r="M617" s="26" t="s">
        <v>5071</v>
      </c>
      <c r="N617" s="26" t="s">
        <v>5071</v>
      </c>
      <c r="O617" s="26" t="s">
        <v>5071</v>
      </c>
      <c r="P617" s="26" t="s">
        <v>5071</v>
      </c>
      <c r="Q617" s="26" t="s">
        <v>5071</v>
      </c>
      <c r="R617" s="26" t="s">
        <v>5071</v>
      </c>
    </row>
    <row r="618" spans="2:18" ht="136.5" x14ac:dyDescent="0.25">
      <c r="B618" s="26">
        <v>10</v>
      </c>
      <c r="C618" s="178"/>
      <c r="D618" s="178"/>
      <c r="E618" s="108" t="s">
        <v>5186</v>
      </c>
      <c r="F618" s="28" t="s">
        <v>5187</v>
      </c>
      <c r="G618" s="28" t="s">
        <v>5188</v>
      </c>
      <c r="H618" s="28" t="s">
        <v>4880</v>
      </c>
      <c r="I618" s="28"/>
      <c r="J618" s="122" t="s">
        <v>5189</v>
      </c>
      <c r="K618" s="28" t="s">
        <v>127</v>
      </c>
      <c r="L618" s="28" t="s">
        <v>5088</v>
      </c>
      <c r="M618" s="26" t="s">
        <v>5071</v>
      </c>
      <c r="N618" s="26" t="s">
        <v>5071</v>
      </c>
      <c r="O618" s="26" t="s">
        <v>5071</v>
      </c>
      <c r="P618" s="26" t="s">
        <v>5071</v>
      </c>
      <c r="Q618" s="26" t="s">
        <v>5071</v>
      </c>
      <c r="R618" s="26" t="s">
        <v>5071</v>
      </c>
    </row>
    <row r="619" spans="2:18" ht="117" x14ac:dyDescent="0.25">
      <c r="B619" s="26">
        <v>11</v>
      </c>
      <c r="C619" s="178"/>
      <c r="D619" s="178"/>
      <c r="E619" s="108" t="s">
        <v>5190</v>
      </c>
      <c r="F619" s="28" t="s">
        <v>5191</v>
      </c>
      <c r="G619" s="28" t="s">
        <v>5192</v>
      </c>
      <c r="H619" s="28" t="s">
        <v>4880</v>
      </c>
      <c r="I619" s="28"/>
      <c r="J619" s="122" t="s">
        <v>5193</v>
      </c>
      <c r="K619" s="28" t="s">
        <v>127</v>
      </c>
      <c r="L619" s="28" t="s">
        <v>5088</v>
      </c>
      <c r="M619" s="26" t="s">
        <v>5071</v>
      </c>
      <c r="N619" s="26" t="s">
        <v>5071</v>
      </c>
      <c r="O619" s="26" t="s">
        <v>5071</v>
      </c>
      <c r="P619" s="26" t="s">
        <v>5071</v>
      </c>
      <c r="Q619" s="26" t="s">
        <v>5071</v>
      </c>
      <c r="R619" s="26" t="s">
        <v>5071</v>
      </c>
    </row>
    <row r="620" spans="2:18" ht="136.5" x14ac:dyDescent="0.35">
      <c r="B620" s="26">
        <v>1</v>
      </c>
      <c r="C620" s="26" t="s">
        <v>1789</v>
      </c>
      <c r="D620" s="26" t="s">
        <v>5072</v>
      </c>
      <c r="E620" s="108" t="s">
        <v>4794</v>
      </c>
      <c r="F620" s="28" t="s">
        <v>5194</v>
      </c>
      <c r="G620" s="131"/>
      <c r="H620" s="179"/>
      <c r="I620" s="179"/>
      <c r="J620" s="122" t="s">
        <v>5195</v>
      </c>
      <c r="K620" s="28" t="s">
        <v>204</v>
      </c>
      <c r="L620" s="28" t="s">
        <v>5118</v>
      </c>
      <c r="M620" s="26" t="s">
        <v>5071</v>
      </c>
      <c r="N620" s="26" t="s">
        <v>5071</v>
      </c>
      <c r="O620" s="26" t="s">
        <v>5071</v>
      </c>
      <c r="P620" s="26" t="s">
        <v>5071</v>
      </c>
      <c r="Q620" s="26" t="s">
        <v>5071</v>
      </c>
      <c r="R620" s="26" t="s">
        <v>5071</v>
      </c>
    </row>
    <row r="621" spans="2:18" ht="136.5" x14ac:dyDescent="0.35">
      <c r="B621" s="26">
        <v>2</v>
      </c>
      <c r="C621" s="178"/>
      <c r="D621" s="178"/>
      <c r="E621" s="108" t="s">
        <v>4795</v>
      </c>
      <c r="F621" s="28" t="s">
        <v>5196</v>
      </c>
      <c r="G621" s="131"/>
      <c r="H621" s="179"/>
      <c r="I621" s="179"/>
      <c r="J621" s="122" t="s">
        <v>5197</v>
      </c>
      <c r="K621" s="28" t="s">
        <v>127</v>
      </c>
      <c r="L621" s="28" t="s">
        <v>5159</v>
      </c>
      <c r="M621" s="26" t="s">
        <v>5071</v>
      </c>
      <c r="N621" s="26" t="s">
        <v>5071</v>
      </c>
      <c r="O621" s="26" t="s">
        <v>5071</v>
      </c>
      <c r="P621" s="26" t="s">
        <v>5071</v>
      </c>
      <c r="Q621" s="26" t="s">
        <v>5071</v>
      </c>
      <c r="R621" s="26" t="s">
        <v>5071</v>
      </c>
    </row>
    <row r="622" spans="2:18" ht="117" x14ac:dyDescent="0.35">
      <c r="B622" s="26">
        <v>3</v>
      </c>
      <c r="C622" s="178"/>
      <c r="D622" s="178"/>
      <c r="E622" s="108" t="s">
        <v>5198</v>
      </c>
      <c r="F622" s="28" t="s">
        <v>5199</v>
      </c>
      <c r="G622" s="131"/>
      <c r="H622" s="179"/>
      <c r="I622" s="179"/>
      <c r="J622" s="122" t="s">
        <v>5200</v>
      </c>
      <c r="K622" s="28" t="s">
        <v>20</v>
      </c>
      <c r="L622" s="28" t="s">
        <v>20</v>
      </c>
      <c r="M622" s="26" t="s">
        <v>5071</v>
      </c>
      <c r="N622" s="26" t="s">
        <v>5071</v>
      </c>
      <c r="O622" s="26" t="s">
        <v>5071</v>
      </c>
      <c r="P622" s="26" t="s">
        <v>5071</v>
      </c>
      <c r="Q622" s="26" t="s">
        <v>5071</v>
      </c>
      <c r="R622" s="26" t="s">
        <v>5071</v>
      </c>
    </row>
    <row r="623" spans="2:18" ht="117" x14ac:dyDescent="0.35">
      <c r="B623" s="26">
        <v>4</v>
      </c>
      <c r="C623" s="178"/>
      <c r="D623" s="178"/>
      <c r="E623" s="108" t="s">
        <v>5201</v>
      </c>
      <c r="F623" s="28" t="s">
        <v>5202</v>
      </c>
      <c r="G623" s="131"/>
      <c r="H623" s="179"/>
      <c r="I623" s="179"/>
      <c r="J623" s="122" t="s">
        <v>5203</v>
      </c>
      <c r="K623" s="28" t="s">
        <v>127</v>
      </c>
      <c r="L623" s="28" t="s">
        <v>5204</v>
      </c>
      <c r="M623" s="26" t="s">
        <v>5071</v>
      </c>
      <c r="N623" s="26" t="s">
        <v>5071</v>
      </c>
      <c r="O623" s="26" t="s">
        <v>5071</v>
      </c>
      <c r="P623" s="26" t="s">
        <v>5071</v>
      </c>
      <c r="Q623" s="26" t="s">
        <v>5071</v>
      </c>
      <c r="R623" s="26" t="s">
        <v>5071</v>
      </c>
    </row>
    <row r="624" spans="2:18" ht="117" x14ac:dyDescent="0.35">
      <c r="B624" s="26">
        <v>5</v>
      </c>
      <c r="C624" s="178"/>
      <c r="D624" s="178"/>
      <c r="E624" s="108" t="s">
        <v>5205</v>
      </c>
      <c r="F624" s="28" t="s">
        <v>5206</v>
      </c>
      <c r="G624" s="131"/>
      <c r="H624" s="179"/>
      <c r="I624" s="179"/>
      <c r="J624" s="122" t="s">
        <v>5207</v>
      </c>
      <c r="K624" s="28" t="s">
        <v>127</v>
      </c>
      <c r="L624" s="28" t="s">
        <v>5204</v>
      </c>
      <c r="M624" s="26" t="s">
        <v>5071</v>
      </c>
      <c r="N624" s="26" t="s">
        <v>5071</v>
      </c>
      <c r="O624" s="26" t="s">
        <v>5071</v>
      </c>
      <c r="P624" s="26" t="s">
        <v>5071</v>
      </c>
      <c r="Q624" s="26" t="s">
        <v>5071</v>
      </c>
      <c r="R624" s="26" t="s">
        <v>5071</v>
      </c>
    </row>
    <row r="625" spans="2:18" ht="136.5" x14ac:dyDescent="0.35">
      <c r="B625" s="26">
        <v>6</v>
      </c>
      <c r="C625" s="178"/>
      <c r="D625" s="178"/>
      <c r="E625" s="108" t="s">
        <v>5208</v>
      </c>
      <c r="F625" s="28" t="s">
        <v>5209</v>
      </c>
      <c r="G625" s="131"/>
      <c r="H625" s="179"/>
      <c r="I625" s="179"/>
      <c r="J625" s="122" t="s">
        <v>5210</v>
      </c>
      <c r="K625" s="28" t="s">
        <v>204</v>
      </c>
      <c r="L625" s="28" t="s">
        <v>5118</v>
      </c>
      <c r="M625" s="26" t="s">
        <v>5071</v>
      </c>
      <c r="N625" s="26" t="s">
        <v>5071</v>
      </c>
      <c r="O625" s="26" t="s">
        <v>5071</v>
      </c>
      <c r="P625" s="26" t="s">
        <v>5071</v>
      </c>
      <c r="Q625" s="26" t="s">
        <v>5071</v>
      </c>
      <c r="R625" s="26" t="s">
        <v>5071</v>
      </c>
    </row>
    <row r="626" spans="2:18" ht="175.5" x14ac:dyDescent="0.35">
      <c r="B626" s="26">
        <v>7</v>
      </c>
      <c r="C626" s="178"/>
      <c r="D626" s="178"/>
      <c r="E626" s="108" t="s">
        <v>5208</v>
      </c>
      <c r="F626" s="28" t="s">
        <v>5211</v>
      </c>
      <c r="G626" s="131"/>
      <c r="H626" s="179"/>
      <c r="I626" s="179"/>
      <c r="J626" s="122" t="s">
        <v>5212</v>
      </c>
      <c r="K626" s="28" t="s">
        <v>204</v>
      </c>
      <c r="L626" s="28" t="s">
        <v>5118</v>
      </c>
      <c r="M626" s="26" t="s">
        <v>5071</v>
      </c>
      <c r="N626" s="26" t="s">
        <v>5071</v>
      </c>
      <c r="O626" s="26" t="s">
        <v>5071</v>
      </c>
      <c r="P626" s="26" t="s">
        <v>5071</v>
      </c>
      <c r="Q626" s="26" t="s">
        <v>5071</v>
      </c>
      <c r="R626" s="26" t="s">
        <v>5071</v>
      </c>
    </row>
    <row r="627" spans="2:18" ht="117" x14ac:dyDescent="0.35">
      <c r="B627" s="26">
        <v>8</v>
      </c>
      <c r="C627" s="178"/>
      <c r="D627" s="178"/>
      <c r="E627" s="108" t="s">
        <v>5175</v>
      </c>
      <c r="F627" s="28" t="s">
        <v>5213</v>
      </c>
      <c r="G627" s="131"/>
      <c r="H627" s="179"/>
      <c r="I627" s="179"/>
      <c r="J627" s="122" t="s">
        <v>5214</v>
      </c>
      <c r="K627" s="28" t="s">
        <v>127</v>
      </c>
      <c r="L627" s="28" t="s">
        <v>5215</v>
      </c>
      <c r="M627" s="26" t="s">
        <v>5071</v>
      </c>
      <c r="N627" s="26" t="s">
        <v>5071</v>
      </c>
      <c r="O627" s="26" t="s">
        <v>5071</v>
      </c>
      <c r="P627" s="26" t="s">
        <v>5071</v>
      </c>
      <c r="Q627" s="26" t="s">
        <v>5071</v>
      </c>
      <c r="R627" s="26" t="s">
        <v>5071</v>
      </c>
    </row>
    <row r="628" spans="2:18" ht="117" x14ac:dyDescent="0.35">
      <c r="B628" s="26">
        <v>9</v>
      </c>
      <c r="C628" s="178"/>
      <c r="D628" s="178"/>
      <c r="E628" s="108" t="s">
        <v>5175</v>
      </c>
      <c r="F628" s="28" t="s">
        <v>5216</v>
      </c>
      <c r="G628" s="131"/>
      <c r="H628" s="179"/>
      <c r="I628" s="179"/>
      <c r="J628" s="122" t="s">
        <v>5217</v>
      </c>
      <c r="K628" s="28" t="s">
        <v>127</v>
      </c>
      <c r="L628" s="28" t="s">
        <v>5215</v>
      </c>
      <c r="M628" s="26" t="s">
        <v>5071</v>
      </c>
      <c r="N628" s="26" t="s">
        <v>5071</v>
      </c>
      <c r="O628" s="26" t="s">
        <v>5071</v>
      </c>
      <c r="P628" s="26" t="s">
        <v>5071</v>
      </c>
      <c r="Q628" s="26" t="s">
        <v>5071</v>
      </c>
      <c r="R628" s="26" t="s">
        <v>5071</v>
      </c>
    </row>
    <row r="629" spans="2:18" ht="117" x14ac:dyDescent="0.35">
      <c r="B629" s="26">
        <v>10</v>
      </c>
      <c r="C629" s="178"/>
      <c r="D629" s="178"/>
      <c r="E629" s="108" t="s">
        <v>5218</v>
      </c>
      <c r="F629" s="28" t="s">
        <v>5219</v>
      </c>
      <c r="G629" s="131"/>
      <c r="H629" s="179"/>
      <c r="I629" s="179"/>
      <c r="J629" s="122" t="s">
        <v>5220</v>
      </c>
      <c r="K629" s="28" t="s">
        <v>20</v>
      </c>
      <c r="L629" s="28" t="s">
        <v>20</v>
      </c>
      <c r="M629" s="26" t="s">
        <v>5071</v>
      </c>
      <c r="N629" s="26" t="s">
        <v>5071</v>
      </c>
      <c r="O629" s="26" t="s">
        <v>5071</v>
      </c>
      <c r="P629" s="26" t="s">
        <v>5071</v>
      </c>
      <c r="Q629" s="26" t="s">
        <v>5071</v>
      </c>
      <c r="R629" s="26" t="s">
        <v>5071</v>
      </c>
    </row>
    <row r="630" spans="2:18" ht="136.5" x14ac:dyDescent="0.35">
      <c r="B630" s="26">
        <v>11</v>
      </c>
      <c r="C630" s="178"/>
      <c r="D630" s="178"/>
      <c r="E630" s="108" t="s">
        <v>5221</v>
      </c>
      <c r="F630" s="28" t="s">
        <v>5222</v>
      </c>
      <c r="G630" s="131"/>
      <c r="H630" s="179"/>
      <c r="I630" s="179"/>
      <c r="J630" s="122" t="s">
        <v>5223</v>
      </c>
      <c r="K630" s="28" t="s">
        <v>20</v>
      </c>
      <c r="L630" s="28" t="s">
        <v>5155</v>
      </c>
      <c r="M630" s="26" t="s">
        <v>5071</v>
      </c>
      <c r="N630" s="26" t="s">
        <v>5071</v>
      </c>
      <c r="O630" s="26" t="s">
        <v>5071</v>
      </c>
      <c r="P630" s="26" t="s">
        <v>5071</v>
      </c>
      <c r="Q630" s="26" t="s">
        <v>5071</v>
      </c>
      <c r="R630" s="26" t="s">
        <v>5071</v>
      </c>
    </row>
    <row r="631" spans="2:18" ht="136.5" x14ac:dyDescent="0.35">
      <c r="B631" s="26">
        <v>12</v>
      </c>
      <c r="C631" s="178"/>
      <c r="D631" s="178"/>
      <c r="E631" s="108" t="s">
        <v>4798</v>
      </c>
      <c r="F631" s="28" t="s">
        <v>5224</v>
      </c>
      <c r="G631" s="131"/>
      <c r="H631" s="179"/>
      <c r="I631" s="179"/>
      <c r="J631" s="122" t="s">
        <v>5225</v>
      </c>
      <c r="K631" s="28" t="s">
        <v>204</v>
      </c>
      <c r="L631" s="28" t="s">
        <v>5226</v>
      </c>
      <c r="M631" s="26" t="s">
        <v>5071</v>
      </c>
      <c r="N631" s="26" t="s">
        <v>5071</v>
      </c>
      <c r="O631" s="26" t="s">
        <v>5071</v>
      </c>
      <c r="P631" s="26" t="s">
        <v>5071</v>
      </c>
      <c r="Q631" s="26" t="s">
        <v>5071</v>
      </c>
      <c r="R631" s="26" t="s">
        <v>5071</v>
      </c>
    </row>
    <row r="632" spans="2:18" ht="136.5" x14ac:dyDescent="0.35">
      <c r="B632" s="26">
        <v>13</v>
      </c>
      <c r="C632" s="178"/>
      <c r="D632" s="178"/>
      <c r="E632" s="108" t="s">
        <v>5186</v>
      </c>
      <c r="F632" s="28" t="s">
        <v>5227</v>
      </c>
      <c r="G632" s="131"/>
      <c r="H632" s="179"/>
      <c r="I632" s="179"/>
      <c r="J632" s="122" t="s">
        <v>5228</v>
      </c>
      <c r="K632" s="28" t="s">
        <v>20</v>
      </c>
      <c r="L632" s="28" t="s">
        <v>5155</v>
      </c>
      <c r="M632" s="26" t="s">
        <v>5071</v>
      </c>
      <c r="N632" s="26" t="s">
        <v>5071</v>
      </c>
      <c r="O632" s="26" t="s">
        <v>5071</v>
      </c>
      <c r="P632" s="26" t="s">
        <v>5071</v>
      </c>
      <c r="Q632" s="26" t="s">
        <v>5071</v>
      </c>
      <c r="R632" s="26" t="s">
        <v>5071</v>
      </c>
    </row>
    <row r="633" spans="2:18" ht="117" x14ac:dyDescent="0.35">
      <c r="B633" s="26">
        <v>14</v>
      </c>
      <c r="C633" s="178"/>
      <c r="D633" s="178"/>
      <c r="E633" s="108" t="s">
        <v>5190</v>
      </c>
      <c r="F633" s="28" t="s">
        <v>5229</v>
      </c>
      <c r="G633" s="131"/>
      <c r="H633" s="179"/>
      <c r="I633" s="179"/>
      <c r="J633" s="122" t="s">
        <v>5230</v>
      </c>
      <c r="K633" s="28" t="s">
        <v>20</v>
      </c>
      <c r="L633" s="28" t="s">
        <v>20</v>
      </c>
      <c r="M633" s="26" t="s">
        <v>5071</v>
      </c>
      <c r="N633" s="26" t="s">
        <v>5071</v>
      </c>
      <c r="O633" s="26" t="s">
        <v>5071</v>
      </c>
      <c r="P633" s="26" t="s">
        <v>5071</v>
      </c>
      <c r="Q633" s="26" t="s">
        <v>5071</v>
      </c>
      <c r="R633" s="26" t="s">
        <v>5071</v>
      </c>
    </row>
    <row r="634" spans="2:18" ht="136.5" x14ac:dyDescent="0.35">
      <c r="B634" s="26">
        <v>15</v>
      </c>
      <c r="C634" s="178"/>
      <c r="D634" s="178"/>
      <c r="E634" s="108" t="s">
        <v>5190</v>
      </c>
      <c r="F634" s="28" t="s">
        <v>5231</v>
      </c>
      <c r="G634" s="131"/>
      <c r="H634" s="179"/>
      <c r="I634" s="179"/>
      <c r="J634" s="122" t="s">
        <v>5232</v>
      </c>
      <c r="K634" s="28" t="s">
        <v>127</v>
      </c>
      <c r="L634" s="28" t="s">
        <v>5159</v>
      </c>
      <c r="M634" s="26" t="s">
        <v>5071</v>
      </c>
      <c r="N634" s="26" t="s">
        <v>5071</v>
      </c>
      <c r="O634" s="26" t="s">
        <v>5071</v>
      </c>
      <c r="P634" s="26" t="s">
        <v>5071</v>
      </c>
      <c r="Q634" s="26" t="s">
        <v>5071</v>
      </c>
      <c r="R634" s="26" t="s">
        <v>5071</v>
      </c>
    </row>
    <row r="635" spans="2:18" ht="175.5" x14ac:dyDescent="0.25">
      <c r="B635" s="26">
        <v>1</v>
      </c>
      <c r="C635" s="26" t="s">
        <v>1789</v>
      </c>
      <c r="D635" s="28" t="s">
        <v>5149</v>
      </c>
      <c r="E635" s="108" t="s">
        <v>5233</v>
      </c>
      <c r="F635" s="28" t="s">
        <v>5234</v>
      </c>
      <c r="G635" s="28" t="s">
        <v>5235</v>
      </c>
      <c r="H635" s="28" t="s">
        <v>4880</v>
      </c>
      <c r="I635" s="28"/>
      <c r="J635" s="122" t="s">
        <v>5236</v>
      </c>
      <c r="K635" s="28" t="s">
        <v>5237</v>
      </c>
      <c r="L635" s="28" t="s">
        <v>5097</v>
      </c>
      <c r="M635" s="26" t="s">
        <v>5071</v>
      </c>
      <c r="N635" s="26" t="s">
        <v>5071</v>
      </c>
      <c r="O635" s="26" t="s">
        <v>5071</v>
      </c>
      <c r="P635" s="26" t="s">
        <v>5071</v>
      </c>
      <c r="Q635" s="26" t="s">
        <v>5071</v>
      </c>
      <c r="R635" s="26" t="s">
        <v>5071</v>
      </c>
    </row>
    <row r="636" spans="2:18" ht="175.5" x14ac:dyDescent="0.25">
      <c r="B636" s="178"/>
      <c r="C636" s="178"/>
      <c r="D636" s="178"/>
      <c r="E636" s="108" t="s">
        <v>5186</v>
      </c>
      <c r="F636" s="28" t="s">
        <v>5238</v>
      </c>
      <c r="G636" s="28" t="s">
        <v>5239</v>
      </c>
      <c r="H636" s="28" t="s">
        <v>4880</v>
      </c>
      <c r="I636" s="28"/>
      <c r="J636" s="122" t="s">
        <v>5240</v>
      </c>
      <c r="K636" s="28" t="s">
        <v>127</v>
      </c>
      <c r="L636" s="28" t="s">
        <v>5204</v>
      </c>
      <c r="M636" s="26" t="s">
        <v>5071</v>
      </c>
      <c r="N636" s="26" t="s">
        <v>5071</v>
      </c>
      <c r="O636" s="26" t="s">
        <v>5071</v>
      </c>
      <c r="P636" s="26" t="s">
        <v>5071</v>
      </c>
      <c r="Q636" s="26" t="s">
        <v>5071</v>
      </c>
      <c r="R636" s="26" t="s">
        <v>5071</v>
      </c>
    </row>
    <row r="637" spans="2:18" ht="156" x14ac:dyDescent="0.35">
      <c r="B637" s="26">
        <v>1</v>
      </c>
      <c r="C637" s="26" t="s">
        <v>1789</v>
      </c>
      <c r="D637" s="26" t="s">
        <v>5241</v>
      </c>
      <c r="E637" s="108" t="s">
        <v>5218</v>
      </c>
      <c r="F637" s="28" t="s">
        <v>5242</v>
      </c>
      <c r="G637" s="131"/>
      <c r="H637" s="179"/>
      <c r="I637" s="179"/>
      <c r="J637" s="122" t="s">
        <v>5243</v>
      </c>
      <c r="K637" s="28" t="s">
        <v>20</v>
      </c>
      <c r="L637" s="28" t="s">
        <v>5244</v>
      </c>
      <c r="M637" s="26" t="s">
        <v>5071</v>
      </c>
      <c r="N637" s="26" t="s">
        <v>5071</v>
      </c>
      <c r="O637" s="26" t="s">
        <v>5071</v>
      </c>
      <c r="P637" s="26" t="s">
        <v>5071</v>
      </c>
      <c r="Q637" s="26" t="s">
        <v>5071</v>
      </c>
      <c r="R637" s="26" t="s">
        <v>5071</v>
      </c>
    </row>
    <row r="638" spans="2:18" ht="136.5" x14ac:dyDescent="0.35">
      <c r="B638" s="178"/>
      <c r="C638" s="178"/>
      <c r="D638" s="178"/>
      <c r="E638" s="108" t="s">
        <v>5190</v>
      </c>
      <c r="F638" s="28" t="s">
        <v>5245</v>
      </c>
      <c r="G638" s="131"/>
      <c r="H638" s="179"/>
      <c r="I638" s="179"/>
      <c r="J638" s="122" t="s">
        <v>5246</v>
      </c>
      <c r="K638" s="28" t="s">
        <v>20</v>
      </c>
      <c r="L638" s="28" t="s">
        <v>20</v>
      </c>
      <c r="M638" s="26" t="s">
        <v>5071</v>
      </c>
      <c r="N638" s="26" t="s">
        <v>5071</v>
      </c>
      <c r="O638" s="26" t="s">
        <v>5071</v>
      </c>
      <c r="P638" s="26" t="s">
        <v>5071</v>
      </c>
      <c r="Q638" s="26" t="s">
        <v>5071</v>
      </c>
      <c r="R638" s="26" t="s">
        <v>5071</v>
      </c>
    </row>
    <row r="639" spans="2:18" ht="136.5" x14ac:dyDescent="0.25">
      <c r="B639" s="26">
        <v>1</v>
      </c>
      <c r="C639" s="26" t="s">
        <v>1789</v>
      </c>
      <c r="D639" s="26" t="s">
        <v>5072</v>
      </c>
      <c r="E639" s="108" t="s">
        <v>4804</v>
      </c>
      <c r="F639" s="28" t="s">
        <v>5152</v>
      </c>
      <c r="G639" s="28" t="s">
        <v>5247</v>
      </c>
      <c r="H639" s="28" t="s">
        <v>5075</v>
      </c>
      <c r="I639" s="28"/>
      <c r="J639" s="122" t="s">
        <v>5248</v>
      </c>
      <c r="K639" s="28" t="s">
        <v>127</v>
      </c>
      <c r="L639" s="28" t="s">
        <v>5159</v>
      </c>
      <c r="M639" s="26" t="s">
        <v>5071</v>
      </c>
      <c r="N639" s="26" t="s">
        <v>5071</v>
      </c>
      <c r="O639" s="26" t="s">
        <v>5071</v>
      </c>
      <c r="P639" s="26" t="s">
        <v>5071</v>
      </c>
      <c r="Q639" s="26" t="s">
        <v>5071</v>
      </c>
      <c r="R639" s="26" t="s">
        <v>5071</v>
      </c>
    </row>
    <row r="640" spans="2:18" ht="136.5" x14ac:dyDescent="0.25">
      <c r="B640" s="26">
        <v>2</v>
      </c>
      <c r="C640" s="26" t="s">
        <v>1789</v>
      </c>
      <c r="D640" s="26" t="s">
        <v>5072</v>
      </c>
      <c r="E640" s="108" t="s">
        <v>5249</v>
      </c>
      <c r="F640" s="28" t="s">
        <v>5250</v>
      </c>
      <c r="G640" s="28" t="s">
        <v>5251</v>
      </c>
      <c r="H640" s="28" t="s">
        <v>5078</v>
      </c>
      <c r="I640" s="28"/>
      <c r="J640" s="122" t="s">
        <v>5252</v>
      </c>
      <c r="K640" s="28" t="s">
        <v>20</v>
      </c>
      <c r="L640" s="28" t="s">
        <v>5100</v>
      </c>
      <c r="M640" s="26" t="s">
        <v>5071</v>
      </c>
      <c r="N640" s="26" t="s">
        <v>5071</v>
      </c>
      <c r="O640" s="26" t="s">
        <v>5071</v>
      </c>
      <c r="P640" s="26" t="s">
        <v>5071</v>
      </c>
      <c r="Q640" s="26" t="s">
        <v>5071</v>
      </c>
      <c r="R640" s="26" t="s">
        <v>5071</v>
      </c>
    </row>
    <row r="641" spans="2:18" ht="136.5" x14ac:dyDescent="0.35">
      <c r="B641" s="26">
        <v>1</v>
      </c>
      <c r="C641" s="26" t="s">
        <v>1789</v>
      </c>
      <c r="D641" s="26" t="s">
        <v>5072</v>
      </c>
      <c r="E641" s="108" t="s">
        <v>5253</v>
      </c>
      <c r="F641" s="28" t="s">
        <v>5254</v>
      </c>
      <c r="G641" s="131"/>
      <c r="H641" s="179"/>
      <c r="I641" s="179"/>
      <c r="J641" s="122" t="s">
        <v>5255</v>
      </c>
      <c r="K641" s="28" t="s">
        <v>204</v>
      </c>
      <c r="L641" s="28" t="s">
        <v>5118</v>
      </c>
      <c r="M641" s="26" t="s">
        <v>5071</v>
      </c>
      <c r="N641" s="26" t="s">
        <v>5071</v>
      </c>
      <c r="O641" s="26" t="s">
        <v>5071</v>
      </c>
      <c r="P641" s="26" t="s">
        <v>5071</v>
      </c>
      <c r="Q641" s="26" t="s">
        <v>5071</v>
      </c>
      <c r="R641" s="26" t="s">
        <v>5071</v>
      </c>
    </row>
    <row r="642" spans="2:18" ht="156" x14ac:dyDescent="0.35">
      <c r="B642" s="26">
        <v>2</v>
      </c>
      <c r="C642" s="26" t="s">
        <v>1789</v>
      </c>
      <c r="D642" s="26" t="s">
        <v>5072</v>
      </c>
      <c r="E642" s="108" t="s">
        <v>4801</v>
      </c>
      <c r="F642" s="28" t="s">
        <v>5256</v>
      </c>
      <c r="G642" s="131"/>
      <c r="H642" s="179"/>
      <c r="I642" s="179"/>
      <c r="J642" s="122" t="s">
        <v>5257</v>
      </c>
      <c r="K642" s="28" t="s">
        <v>127</v>
      </c>
      <c r="L642" s="28" t="s">
        <v>5088</v>
      </c>
      <c r="M642" s="26" t="s">
        <v>5071</v>
      </c>
      <c r="N642" s="26" t="s">
        <v>5071</v>
      </c>
      <c r="O642" s="26" t="s">
        <v>5071</v>
      </c>
      <c r="P642" s="26" t="s">
        <v>5071</v>
      </c>
      <c r="Q642" s="26" t="s">
        <v>5071</v>
      </c>
      <c r="R642" s="26" t="s">
        <v>5071</v>
      </c>
    </row>
    <row r="643" spans="2:18" ht="117" x14ac:dyDescent="0.35">
      <c r="B643" s="26">
        <v>3</v>
      </c>
      <c r="C643" s="26" t="s">
        <v>1789</v>
      </c>
      <c r="D643" s="26" t="s">
        <v>5072</v>
      </c>
      <c r="E643" s="108" t="s">
        <v>5258</v>
      </c>
      <c r="F643" s="28" t="s">
        <v>5259</v>
      </c>
      <c r="G643" s="131"/>
      <c r="H643" s="179"/>
      <c r="I643" s="179"/>
      <c r="J643" s="122" t="s">
        <v>5260</v>
      </c>
      <c r="K643" s="28" t="s">
        <v>127</v>
      </c>
      <c r="L643" s="28" t="s">
        <v>5204</v>
      </c>
      <c r="M643" s="26" t="s">
        <v>5071</v>
      </c>
      <c r="N643" s="26" t="s">
        <v>5071</v>
      </c>
      <c r="O643" s="26" t="s">
        <v>5071</v>
      </c>
      <c r="P643" s="26" t="s">
        <v>5071</v>
      </c>
      <c r="Q643" s="26" t="s">
        <v>5071</v>
      </c>
      <c r="R643" s="26" t="s">
        <v>5071</v>
      </c>
    </row>
    <row r="644" spans="2:18" ht="156" x14ac:dyDescent="0.35">
      <c r="B644" s="26">
        <v>4</v>
      </c>
      <c r="C644" s="26" t="s">
        <v>1789</v>
      </c>
      <c r="D644" s="26" t="s">
        <v>5072</v>
      </c>
      <c r="E644" s="108" t="s">
        <v>5258</v>
      </c>
      <c r="F644" s="28" t="s">
        <v>5261</v>
      </c>
      <c r="G644" s="131"/>
      <c r="H644" s="179"/>
      <c r="I644" s="179"/>
      <c r="J644" s="122" t="s">
        <v>5262</v>
      </c>
      <c r="K644" s="28" t="s">
        <v>204</v>
      </c>
      <c r="L644" s="28" t="s">
        <v>5118</v>
      </c>
      <c r="M644" s="26" t="s">
        <v>5071</v>
      </c>
      <c r="N644" s="26" t="s">
        <v>5071</v>
      </c>
      <c r="O644" s="26" t="s">
        <v>5071</v>
      </c>
      <c r="P644" s="26" t="s">
        <v>5071</v>
      </c>
      <c r="Q644" s="26" t="s">
        <v>5071</v>
      </c>
      <c r="R644" s="26" t="s">
        <v>5071</v>
      </c>
    </row>
    <row r="645" spans="2:18" ht="156" x14ac:dyDescent="0.35">
      <c r="B645" s="26">
        <v>5</v>
      </c>
      <c r="C645" s="26" t="s">
        <v>1789</v>
      </c>
      <c r="D645" s="26" t="s">
        <v>5072</v>
      </c>
      <c r="E645" s="108" t="s">
        <v>4811</v>
      </c>
      <c r="F645" s="28" t="s">
        <v>5263</v>
      </c>
      <c r="G645" s="131"/>
      <c r="H645" s="179"/>
      <c r="I645" s="179"/>
      <c r="J645" s="122" t="s">
        <v>5264</v>
      </c>
      <c r="K645" s="28" t="s">
        <v>127</v>
      </c>
      <c r="L645" s="28" t="s">
        <v>5204</v>
      </c>
      <c r="M645" s="26" t="s">
        <v>5071</v>
      </c>
      <c r="N645" s="26" t="s">
        <v>5071</v>
      </c>
      <c r="O645" s="26" t="s">
        <v>5071</v>
      </c>
      <c r="P645" s="26" t="s">
        <v>5071</v>
      </c>
      <c r="Q645" s="26" t="s">
        <v>5071</v>
      </c>
      <c r="R645" s="26" t="s">
        <v>5071</v>
      </c>
    </row>
    <row r="646" spans="2:18" ht="156" x14ac:dyDescent="0.35">
      <c r="B646" s="26">
        <v>6</v>
      </c>
      <c r="C646" s="26" t="s">
        <v>1789</v>
      </c>
      <c r="D646" s="26" t="s">
        <v>5072</v>
      </c>
      <c r="E646" s="108" t="s">
        <v>5265</v>
      </c>
      <c r="F646" s="28" t="s">
        <v>5266</v>
      </c>
      <c r="G646" s="131"/>
      <c r="H646" s="179"/>
      <c r="I646" s="179"/>
      <c r="J646" s="122" t="s">
        <v>5267</v>
      </c>
      <c r="K646" s="28" t="s">
        <v>204</v>
      </c>
      <c r="L646" s="28" t="s">
        <v>5118</v>
      </c>
      <c r="M646" s="26" t="s">
        <v>5071</v>
      </c>
      <c r="N646" s="26" t="s">
        <v>5071</v>
      </c>
      <c r="O646" s="26" t="s">
        <v>5071</v>
      </c>
      <c r="P646" s="26" t="s">
        <v>5071</v>
      </c>
      <c r="Q646" s="26" t="s">
        <v>5071</v>
      </c>
      <c r="R646" s="26" t="s">
        <v>5071</v>
      </c>
    </row>
    <row r="647" spans="2:18" ht="117" x14ac:dyDescent="0.35">
      <c r="B647" s="26">
        <v>7</v>
      </c>
      <c r="C647" s="26" t="s">
        <v>1789</v>
      </c>
      <c r="D647" s="26" t="s">
        <v>5072</v>
      </c>
      <c r="E647" s="108" t="s">
        <v>4812</v>
      </c>
      <c r="F647" s="28" t="s">
        <v>5268</v>
      </c>
      <c r="G647" s="131"/>
      <c r="H647" s="179"/>
      <c r="I647" s="179"/>
      <c r="J647" s="122" t="s">
        <v>5269</v>
      </c>
      <c r="K647" s="28" t="s">
        <v>5270</v>
      </c>
      <c r="L647" s="28" t="s">
        <v>5271</v>
      </c>
      <c r="M647" s="26" t="s">
        <v>5071</v>
      </c>
      <c r="N647" s="26" t="s">
        <v>5071</v>
      </c>
      <c r="O647" s="26" t="s">
        <v>5071</v>
      </c>
      <c r="P647" s="26" t="s">
        <v>5071</v>
      </c>
      <c r="Q647" s="26" t="s">
        <v>5071</v>
      </c>
      <c r="R647" s="26" t="s">
        <v>5071</v>
      </c>
    </row>
    <row r="648" spans="2:18" ht="136.5" x14ac:dyDescent="0.35">
      <c r="B648" s="26">
        <v>8</v>
      </c>
      <c r="C648" s="26" t="s">
        <v>1789</v>
      </c>
      <c r="D648" s="26" t="s">
        <v>5072</v>
      </c>
      <c r="E648" s="108" t="s">
        <v>4806</v>
      </c>
      <c r="F648" s="28" t="s">
        <v>5272</v>
      </c>
      <c r="G648" s="131"/>
      <c r="H648" s="179"/>
      <c r="I648" s="179"/>
      <c r="J648" s="122" t="s">
        <v>5273</v>
      </c>
      <c r="K648" s="28" t="s">
        <v>20</v>
      </c>
      <c r="L648" s="28" t="s">
        <v>5244</v>
      </c>
      <c r="M648" s="26" t="s">
        <v>5071</v>
      </c>
      <c r="N648" s="26" t="s">
        <v>5071</v>
      </c>
      <c r="O648" s="26" t="s">
        <v>5071</v>
      </c>
      <c r="P648" s="26" t="s">
        <v>5071</v>
      </c>
      <c r="Q648" s="26" t="s">
        <v>5071</v>
      </c>
      <c r="R648" s="26" t="s">
        <v>5071</v>
      </c>
    </row>
    <row r="649" spans="2:18" ht="214.5" x14ac:dyDescent="0.35">
      <c r="B649" s="26">
        <v>9</v>
      </c>
      <c r="C649" s="26" t="s">
        <v>1789</v>
      </c>
      <c r="D649" s="26" t="s">
        <v>5072</v>
      </c>
      <c r="E649" s="108" t="s">
        <v>5274</v>
      </c>
      <c r="F649" s="28" t="s">
        <v>5275</v>
      </c>
      <c r="G649" s="131"/>
      <c r="H649" s="179"/>
      <c r="I649" s="179"/>
      <c r="J649" s="122" t="s">
        <v>5276</v>
      </c>
      <c r="K649" s="28" t="s">
        <v>204</v>
      </c>
      <c r="L649" s="28" t="s">
        <v>5118</v>
      </c>
      <c r="M649" s="26" t="s">
        <v>5071</v>
      </c>
      <c r="N649" s="26" t="s">
        <v>5071</v>
      </c>
      <c r="O649" s="26" t="s">
        <v>5071</v>
      </c>
      <c r="P649" s="26" t="s">
        <v>5071</v>
      </c>
      <c r="Q649" s="26" t="s">
        <v>5071</v>
      </c>
      <c r="R649" s="26" t="s">
        <v>5071</v>
      </c>
    </row>
    <row r="650" spans="2:18" ht="175.5" x14ac:dyDescent="0.35">
      <c r="B650" s="26">
        <v>1</v>
      </c>
      <c r="C650" s="26" t="s">
        <v>1789</v>
      </c>
      <c r="D650" s="26" t="s">
        <v>5241</v>
      </c>
      <c r="E650" s="108" t="s">
        <v>4812</v>
      </c>
      <c r="F650" s="28" t="s">
        <v>5277</v>
      </c>
      <c r="G650" s="131"/>
      <c r="H650" s="179"/>
      <c r="I650" s="179"/>
      <c r="J650" s="122" t="s">
        <v>5278</v>
      </c>
      <c r="K650" s="28" t="s">
        <v>198</v>
      </c>
      <c r="L650" s="28" t="s">
        <v>208</v>
      </c>
      <c r="M650" s="26" t="s">
        <v>5071</v>
      </c>
      <c r="N650" s="26" t="s">
        <v>5071</v>
      </c>
      <c r="O650" s="26" t="s">
        <v>5071</v>
      </c>
      <c r="P650" s="26" t="s">
        <v>5071</v>
      </c>
      <c r="Q650" s="26" t="s">
        <v>5071</v>
      </c>
      <c r="R650" s="26" t="s">
        <v>5071</v>
      </c>
    </row>
    <row r="651" spans="2:18" ht="156" x14ac:dyDescent="0.35">
      <c r="B651" s="26">
        <v>2</v>
      </c>
      <c r="C651" s="26" t="s">
        <v>1789</v>
      </c>
      <c r="D651" s="26" t="s">
        <v>5241</v>
      </c>
      <c r="E651" s="108" t="s">
        <v>5274</v>
      </c>
      <c r="F651" s="28" t="s">
        <v>5279</v>
      </c>
      <c r="G651" s="131"/>
      <c r="H651" s="179"/>
      <c r="I651" s="179"/>
      <c r="J651" s="122" t="s">
        <v>5280</v>
      </c>
      <c r="K651" s="28" t="s">
        <v>1804</v>
      </c>
      <c r="L651" s="28" t="s">
        <v>5281</v>
      </c>
      <c r="M651" s="26" t="s">
        <v>5071</v>
      </c>
      <c r="N651" s="26" t="s">
        <v>5071</v>
      </c>
      <c r="O651" s="26" t="s">
        <v>5071</v>
      </c>
      <c r="P651" s="26" t="s">
        <v>5071</v>
      </c>
      <c r="Q651" s="26" t="s">
        <v>5071</v>
      </c>
      <c r="R651" s="26" t="s">
        <v>5071</v>
      </c>
    </row>
    <row r="652" spans="2:18" ht="156" x14ac:dyDescent="0.35">
      <c r="B652" s="26">
        <v>3</v>
      </c>
      <c r="C652" s="26" t="s">
        <v>1789</v>
      </c>
      <c r="D652" s="26" t="s">
        <v>5241</v>
      </c>
      <c r="E652" s="108" t="s">
        <v>5274</v>
      </c>
      <c r="F652" s="28" t="s">
        <v>5282</v>
      </c>
      <c r="G652" s="131"/>
      <c r="H652" s="179"/>
      <c r="I652" s="179"/>
      <c r="J652" s="122" t="s">
        <v>5283</v>
      </c>
      <c r="K652" s="28" t="s">
        <v>5284</v>
      </c>
      <c r="L652" s="28" t="s">
        <v>5285</v>
      </c>
      <c r="M652" s="26" t="s">
        <v>5071</v>
      </c>
      <c r="N652" s="26" t="s">
        <v>5071</v>
      </c>
      <c r="O652" s="26" t="s">
        <v>5071</v>
      </c>
      <c r="P652" s="26" t="s">
        <v>5071</v>
      </c>
      <c r="Q652" s="26" t="s">
        <v>5071</v>
      </c>
      <c r="R652" s="26" t="s">
        <v>5071</v>
      </c>
    </row>
    <row r="653" spans="2:18" ht="175.5" x14ac:dyDescent="0.25">
      <c r="B653" s="26">
        <v>1</v>
      </c>
      <c r="C653" s="26" t="s">
        <v>1789</v>
      </c>
      <c r="D653" s="26" t="s">
        <v>5072</v>
      </c>
      <c r="E653" s="108" t="s">
        <v>5286</v>
      </c>
      <c r="F653" s="28" t="s">
        <v>5287</v>
      </c>
      <c r="G653" s="28" t="s">
        <v>5288</v>
      </c>
      <c r="H653" s="28" t="s">
        <v>20</v>
      </c>
      <c r="I653" s="28"/>
      <c r="J653" s="122" t="s">
        <v>5289</v>
      </c>
      <c r="K653" s="162">
        <v>2400000</v>
      </c>
      <c r="L653" s="162">
        <v>5600000</v>
      </c>
      <c r="M653" s="26" t="s">
        <v>5071</v>
      </c>
      <c r="N653" s="26" t="s">
        <v>5071</v>
      </c>
      <c r="O653" s="26" t="s">
        <v>5071</v>
      </c>
      <c r="P653" s="26" t="s">
        <v>5071</v>
      </c>
      <c r="Q653" s="26" t="s">
        <v>5071</v>
      </c>
      <c r="R653" s="26" t="s">
        <v>5071</v>
      </c>
    </row>
    <row r="654" spans="2:18" ht="156" x14ac:dyDescent="0.25">
      <c r="B654" s="26">
        <v>1</v>
      </c>
      <c r="C654" s="26" t="s">
        <v>1789</v>
      </c>
      <c r="D654" s="26" t="s">
        <v>5072</v>
      </c>
      <c r="E654" s="108" t="s">
        <v>4971</v>
      </c>
      <c r="F654" s="28" t="s">
        <v>5290</v>
      </c>
      <c r="G654" s="28" t="s">
        <v>5291</v>
      </c>
      <c r="H654" s="28" t="s">
        <v>20</v>
      </c>
      <c r="I654" s="28"/>
      <c r="J654" s="122" t="s">
        <v>5292</v>
      </c>
      <c r="K654" s="28" t="s">
        <v>5293</v>
      </c>
      <c r="L654" s="28" t="s">
        <v>5294</v>
      </c>
      <c r="M654" s="26" t="s">
        <v>5071</v>
      </c>
      <c r="N654" s="26" t="s">
        <v>5071</v>
      </c>
      <c r="O654" s="26" t="s">
        <v>5071</v>
      </c>
      <c r="P654" s="26" t="s">
        <v>5071</v>
      </c>
      <c r="Q654" s="26" t="s">
        <v>5071</v>
      </c>
      <c r="R654" s="26" t="s">
        <v>5071</v>
      </c>
    </row>
    <row r="655" spans="2:18" ht="175.5" x14ac:dyDescent="0.25">
      <c r="B655" s="178"/>
      <c r="C655" s="26" t="s">
        <v>1789</v>
      </c>
      <c r="D655" s="26" t="s">
        <v>5072</v>
      </c>
      <c r="E655" s="108" t="s">
        <v>5295</v>
      </c>
      <c r="F655" s="28" t="s">
        <v>5296</v>
      </c>
      <c r="G655" s="28" t="s">
        <v>5297</v>
      </c>
      <c r="H655" s="28" t="s">
        <v>20</v>
      </c>
      <c r="I655" s="28"/>
      <c r="J655" s="122" t="s">
        <v>5298</v>
      </c>
      <c r="K655" s="28" t="s">
        <v>2053</v>
      </c>
      <c r="L655" s="178"/>
      <c r="M655" s="178"/>
      <c r="N655" s="178"/>
      <c r="O655" s="178"/>
      <c r="P655" s="178"/>
      <c r="Q655" s="178"/>
      <c r="R655" s="178"/>
    </row>
    <row r="656" spans="2:18" ht="156" x14ac:dyDescent="0.25">
      <c r="B656" s="26">
        <v>1</v>
      </c>
      <c r="C656" s="26" t="s">
        <v>1789</v>
      </c>
      <c r="D656" s="26" t="s">
        <v>5072</v>
      </c>
      <c r="E656" s="108" t="s">
        <v>4821</v>
      </c>
      <c r="F656" s="28" t="s">
        <v>5299</v>
      </c>
      <c r="G656" s="28" t="s">
        <v>5291</v>
      </c>
      <c r="H656" s="28" t="s">
        <v>20</v>
      </c>
      <c r="I656" s="28"/>
      <c r="J656" s="122" t="s">
        <v>5300</v>
      </c>
      <c r="K656" s="28" t="s">
        <v>204</v>
      </c>
      <c r="L656" s="28" t="s">
        <v>5226</v>
      </c>
      <c r="M656" s="26" t="s">
        <v>5071</v>
      </c>
      <c r="N656" s="26" t="s">
        <v>5071</v>
      </c>
      <c r="O656" s="26" t="s">
        <v>5071</v>
      </c>
      <c r="P656" s="26" t="s">
        <v>5071</v>
      </c>
      <c r="Q656" s="26" t="s">
        <v>5071</v>
      </c>
      <c r="R656" s="26" t="s">
        <v>5071</v>
      </c>
    </row>
    <row r="657" spans="2:18" ht="175.5" x14ac:dyDescent="0.25">
      <c r="B657" s="26">
        <v>1</v>
      </c>
      <c r="C657" s="26" t="s">
        <v>1789</v>
      </c>
      <c r="D657" s="26" t="s">
        <v>5072</v>
      </c>
      <c r="E657" s="108" t="s">
        <v>5017</v>
      </c>
      <c r="F657" s="28" t="s">
        <v>5301</v>
      </c>
      <c r="G657" s="28" t="s">
        <v>5302</v>
      </c>
      <c r="H657" s="28" t="s">
        <v>5303</v>
      </c>
      <c r="I657" s="28"/>
      <c r="J657" s="122" t="s">
        <v>5304</v>
      </c>
      <c r="K657" s="28" t="s">
        <v>127</v>
      </c>
      <c r="L657" s="28" t="s">
        <v>5159</v>
      </c>
      <c r="M657" s="26" t="s">
        <v>5071</v>
      </c>
      <c r="N657" s="26" t="s">
        <v>5071</v>
      </c>
      <c r="O657" s="26" t="s">
        <v>5071</v>
      </c>
      <c r="P657" s="26" t="s">
        <v>5071</v>
      </c>
      <c r="Q657" s="26" t="s">
        <v>5071</v>
      </c>
      <c r="R657" s="26" t="s">
        <v>5071</v>
      </c>
    </row>
    <row r="658" spans="2:18" ht="136.5" x14ac:dyDescent="0.25">
      <c r="B658" s="26">
        <v>2</v>
      </c>
      <c r="C658" s="26" t="s">
        <v>5078</v>
      </c>
      <c r="D658" s="26" t="s">
        <v>5078</v>
      </c>
      <c r="E658" s="108" t="s">
        <v>5017</v>
      </c>
      <c r="F658" s="28" t="s">
        <v>5305</v>
      </c>
      <c r="G658" s="28" t="s">
        <v>5306</v>
      </c>
      <c r="H658" s="28" t="s">
        <v>5307</v>
      </c>
      <c r="I658" s="28"/>
      <c r="J658" s="122" t="s">
        <v>5308</v>
      </c>
      <c r="K658" s="28" t="s">
        <v>5309</v>
      </c>
      <c r="L658" s="28" t="s">
        <v>5310</v>
      </c>
      <c r="M658" s="26" t="s">
        <v>5071</v>
      </c>
      <c r="N658" s="26" t="s">
        <v>5071</v>
      </c>
      <c r="O658" s="26" t="s">
        <v>5071</v>
      </c>
      <c r="P658" s="26" t="s">
        <v>5071</v>
      </c>
      <c r="Q658" s="26" t="s">
        <v>5071</v>
      </c>
      <c r="R658" s="26" t="s">
        <v>5071</v>
      </c>
    </row>
    <row r="659" spans="2:18" ht="136.5" x14ac:dyDescent="0.25">
      <c r="B659" s="26">
        <v>3</v>
      </c>
      <c r="C659" s="26" t="s">
        <v>5078</v>
      </c>
      <c r="D659" s="26" t="s">
        <v>5078</v>
      </c>
      <c r="E659" s="108" t="s">
        <v>5023</v>
      </c>
      <c r="F659" s="28" t="s">
        <v>5311</v>
      </c>
      <c r="G659" s="28" t="s">
        <v>5312</v>
      </c>
      <c r="H659" s="28" t="s">
        <v>5078</v>
      </c>
      <c r="I659" s="28"/>
      <c r="J659" s="122" t="s">
        <v>5313</v>
      </c>
      <c r="K659" s="28" t="s">
        <v>5314</v>
      </c>
      <c r="L659" s="28" t="s">
        <v>5315</v>
      </c>
      <c r="M659" s="26" t="s">
        <v>5071</v>
      </c>
      <c r="N659" s="26" t="s">
        <v>5071</v>
      </c>
      <c r="O659" s="26" t="s">
        <v>5071</v>
      </c>
      <c r="P659" s="26" t="s">
        <v>5071</v>
      </c>
      <c r="Q659" s="26" t="s">
        <v>5071</v>
      </c>
      <c r="R659" s="26" t="s">
        <v>5071</v>
      </c>
    </row>
    <row r="660" spans="2:18" ht="156" x14ac:dyDescent="0.25">
      <c r="B660" s="26">
        <v>4</v>
      </c>
      <c r="C660" s="26" t="s">
        <v>5078</v>
      </c>
      <c r="D660" s="26" t="s">
        <v>5078</v>
      </c>
      <c r="E660" s="108" t="s">
        <v>5023</v>
      </c>
      <c r="F660" s="28" t="s">
        <v>5316</v>
      </c>
      <c r="G660" s="28" t="s">
        <v>5317</v>
      </c>
      <c r="H660" s="28" t="s">
        <v>5078</v>
      </c>
      <c r="I660" s="28"/>
      <c r="J660" s="122" t="s">
        <v>5318</v>
      </c>
      <c r="K660" s="28" t="s">
        <v>127</v>
      </c>
      <c r="L660" s="28" t="s">
        <v>1840</v>
      </c>
      <c r="M660" s="26" t="s">
        <v>5071</v>
      </c>
      <c r="N660" s="26" t="s">
        <v>5071</v>
      </c>
      <c r="O660" s="26" t="s">
        <v>5071</v>
      </c>
      <c r="P660" s="26" t="s">
        <v>5071</v>
      </c>
      <c r="Q660" s="26" t="s">
        <v>5071</v>
      </c>
      <c r="R660" s="26" t="s">
        <v>5071</v>
      </c>
    </row>
    <row r="661" spans="2:18" ht="156" x14ac:dyDescent="0.25">
      <c r="B661" s="26">
        <v>5</v>
      </c>
      <c r="C661" s="26" t="s">
        <v>5078</v>
      </c>
      <c r="D661" s="26" t="s">
        <v>5078</v>
      </c>
      <c r="E661" s="108" t="s">
        <v>5029</v>
      </c>
      <c r="F661" s="28" t="s">
        <v>5209</v>
      </c>
      <c r="G661" s="28" t="s">
        <v>5319</v>
      </c>
      <c r="H661" s="28" t="s">
        <v>5078</v>
      </c>
      <c r="I661" s="28"/>
      <c r="J661" s="122" t="s">
        <v>5320</v>
      </c>
      <c r="K661" s="28" t="s">
        <v>127</v>
      </c>
      <c r="L661" s="28" t="s">
        <v>5159</v>
      </c>
      <c r="M661" s="26" t="s">
        <v>5071</v>
      </c>
      <c r="N661" s="26" t="s">
        <v>5071</v>
      </c>
      <c r="O661" s="26" t="s">
        <v>5071</v>
      </c>
      <c r="P661" s="26" t="s">
        <v>5071</v>
      </c>
      <c r="Q661" s="26" t="s">
        <v>5071</v>
      </c>
      <c r="R661" s="26" t="s">
        <v>5071</v>
      </c>
    </row>
    <row r="662" spans="2:18" ht="110.25" customHeight="1" x14ac:dyDescent="0.25">
      <c r="B662" s="26">
        <v>6</v>
      </c>
      <c r="C662" s="26" t="s">
        <v>5078</v>
      </c>
      <c r="D662" s="26" t="s">
        <v>5078</v>
      </c>
      <c r="E662" s="108" t="s">
        <v>5321</v>
      </c>
      <c r="F662" s="28" t="s">
        <v>5316</v>
      </c>
      <c r="G662" s="28" t="s">
        <v>5322</v>
      </c>
      <c r="H662" s="28" t="s">
        <v>5078</v>
      </c>
      <c r="I662" s="28"/>
      <c r="J662" s="122" t="s">
        <v>5323</v>
      </c>
      <c r="K662" s="28" t="s">
        <v>127</v>
      </c>
      <c r="L662" s="28" t="s">
        <v>5159</v>
      </c>
      <c r="M662" s="26" t="s">
        <v>5071</v>
      </c>
      <c r="N662" s="26" t="s">
        <v>5071</v>
      </c>
      <c r="O662" s="26" t="s">
        <v>5071</v>
      </c>
      <c r="P662" s="26" t="s">
        <v>5071</v>
      </c>
      <c r="Q662" s="26" t="s">
        <v>5071</v>
      </c>
      <c r="R662" s="26" t="s">
        <v>5071</v>
      </c>
    </row>
    <row r="663" spans="2:18" ht="15" customHeight="1" x14ac:dyDescent="0.25">
      <c r="B663" s="26"/>
      <c r="C663" s="26"/>
      <c r="D663" s="26"/>
      <c r="E663" s="108"/>
      <c r="F663" s="28"/>
      <c r="G663" s="28"/>
      <c r="H663" s="28"/>
      <c r="I663" s="28"/>
      <c r="J663" s="122"/>
      <c r="K663" s="28"/>
      <c r="L663" s="28"/>
      <c r="M663" s="26"/>
      <c r="N663" s="26"/>
      <c r="O663" s="26"/>
      <c r="P663" s="26"/>
      <c r="Q663" s="26"/>
      <c r="R663" s="26"/>
    </row>
    <row r="664" spans="2:18" ht="234" x14ac:dyDescent="0.25">
      <c r="B664" s="26">
        <v>7</v>
      </c>
      <c r="C664" s="26" t="s">
        <v>5078</v>
      </c>
      <c r="D664" s="26" t="s">
        <v>5078</v>
      </c>
      <c r="E664" s="108" t="s">
        <v>5324</v>
      </c>
      <c r="F664" s="28" t="s">
        <v>5325</v>
      </c>
      <c r="G664" s="28" t="s">
        <v>5326</v>
      </c>
      <c r="H664" s="28" t="s">
        <v>5078</v>
      </c>
      <c r="I664" s="28"/>
      <c r="J664" s="122" t="s">
        <v>5327</v>
      </c>
      <c r="K664" s="28" t="s">
        <v>5328</v>
      </c>
      <c r="L664" s="28" t="s">
        <v>5329</v>
      </c>
      <c r="M664" s="26" t="s">
        <v>5071</v>
      </c>
      <c r="N664" s="26" t="s">
        <v>5071</v>
      </c>
      <c r="O664" s="26" t="s">
        <v>5071</v>
      </c>
      <c r="P664" s="26" t="s">
        <v>5071</v>
      </c>
      <c r="Q664" s="26" t="s">
        <v>5071</v>
      </c>
      <c r="R664" s="26" t="s">
        <v>5071</v>
      </c>
    </row>
    <row r="665" spans="2:18" ht="156" x14ac:dyDescent="0.25">
      <c r="B665" s="26">
        <v>1</v>
      </c>
      <c r="C665" s="26" t="s">
        <v>1789</v>
      </c>
      <c r="D665" s="26" t="s">
        <v>5072</v>
      </c>
      <c r="E665" s="108" t="s">
        <v>5039</v>
      </c>
      <c r="F665" s="28" t="s">
        <v>5330</v>
      </c>
      <c r="G665" s="28" t="s">
        <v>5331</v>
      </c>
      <c r="H665" s="28" t="s">
        <v>5303</v>
      </c>
      <c r="I665" s="28"/>
      <c r="J665" s="122" t="s">
        <v>5332</v>
      </c>
      <c r="K665" s="28" t="s">
        <v>1804</v>
      </c>
      <c r="L665" s="28" t="s">
        <v>5333</v>
      </c>
      <c r="M665" s="26" t="s">
        <v>5071</v>
      </c>
      <c r="N665" s="26" t="s">
        <v>5071</v>
      </c>
      <c r="O665" s="26" t="s">
        <v>5071</v>
      </c>
      <c r="P665" s="26" t="s">
        <v>5071</v>
      </c>
      <c r="Q665" s="26" t="s">
        <v>5071</v>
      </c>
      <c r="R665" s="26" t="s">
        <v>5071</v>
      </c>
    </row>
    <row r="666" spans="2:18" ht="156" x14ac:dyDescent="0.25">
      <c r="B666" s="26">
        <v>2</v>
      </c>
      <c r="C666" s="26" t="s">
        <v>5078</v>
      </c>
      <c r="D666" s="26" t="s">
        <v>5078</v>
      </c>
      <c r="E666" s="108" t="s">
        <v>4849</v>
      </c>
      <c r="F666" s="28" t="s">
        <v>5334</v>
      </c>
      <c r="G666" s="28" t="s">
        <v>5335</v>
      </c>
      <c r="H666" s="28" t="s">
        <v>5307</v>
      </c>
      <c r="I666" s="28"/>
      <c r="J666" s="122" t="s">
        <v>5336</v>
      </c>
      <c r="K666" s="28" t="s">
        <v>127</v>
      </c>
      <c r="L666" s="28" t="s">
        <v>5088</v>
      </c>
      <c r="M666" s="26" t="s">
        <v>5071</v>
      </c>
      <c r="N666" s="26" t="s">
        <v>5071</v>
      </c>
      <c r="O666" s="26" t="s">
        <v>5071</v>
      </c>
      <c r="P666" s="26" t="s">
        <v>5071</v>
      </c>
      <c r="Q666" s="26" t="s">
        <v>5071</v>
      </c>
      <c r="R666" s="26" t="s">
        <v>5071</v>
      </c>
    </row>
    <row r="667" spans="2:18" ht="156" x14ac:dyDescent="0.25">
      <c r="B667" s="26">
        <v>3</v>
      </c>
      <c r="C667" s="26" t="s">
        <v>5078</v>
      </c>
      <c r="D667" s="26" t="s">
        <v>5078</v>
      </c>
      <c r="E667" s="108" t="s">
        <v>5045</v>
      </c>
      <c r="F667" s="28" t="s">
        <v>5337</v>
      </c>
      <c r="G667" s="28" t="s">
        <v>5338</v>
      </c>
      <c r="H667" s="28" t="s">
        <v>5078</v>
      </c>
      <c r="I667" s="28"/>
      <c r="J667" s="122" t="s">
        <v>5339</v>
      </c>
      <c r="K667" s="28" t="s">
        <v>5340</v>
      </c>
      <c r="L667" s="28" t="s">
        <v>5341</v>
      </c>
      <c r="M667" s="26" t="s">
        <v>5071</v>
      </c>
      <c r="N667" s="26" t="s">
        <v>5071</v>
      </c>
      <c r="O667" s="26" t="s">
        <v>5071</v>
      </c>
      <c r="P667" s="26" t="s">
        <v>5071</v>
      </c>
      <c r="Q667" s="26" t="s">
        <v>5071</v>
      </c>
      <c r="R667" s="26" t="s">
        <v>5071</v>
      </c>
    </row>
    <row r="668" spans="2:18" ht="156" x14ac:dyDescent="0.25">
      <c r="B668" s="26">
        <v>4</v>
      </c>
      <c r="C668" s="26" t="s">
        <v>5078</v>
      </c>
      <c r="D668" s="26" t="s">
        <v>5078</v>
      </c>
      <c r="E668" s="108" t="s">
        <v>4861</v>
      </c>
      <c r="F668" s="28" t="s">
        <v>5342</v>
      </c>
      <c r="G668" s="28" t="s">
        <v>5343</v>
      </c>
      <c r="H668" s="28" t="s">
        <v>2748</v>
      </c>
      <c r="I668" s="28"/>
      <c r="J668" s="122" t="s">
        <v>5344</v>
      </c>
      <c r="K668" s="28" t="s">
        <v>5345</v>
      </c>
      <c r="L668" s="28" t="s">
        <v>5346</v>
      </c>
      <c r="M668" s="26" t="s">
        <v>5071</v>
      </c>
      <c r="N668" s="26" t="s">
        <v>5071</v>
      </c>
      <c r="O668" s="26" t="s">
        <v>5071</v>
      </c>
      <c r="P668" s="26" t="s">
        <v>5071</v>
      </c>
      <c r="Q668" s="26" t="s">
        <v>5071</v>
      </c>
      <c r="R668" s="26" t="s">
        <v>5071</v>
      </c>
    </row>
    <row r="669" spans="2:18" ht="136.5" x14ac:dyDescent="0.25">
      <c r="B669" s="26">
        <v>5</v>
      </c>
      <c r="C669" s="26" t="s">
        <v>5078</v>
      </c>
      <c r="D669" s="26" t="s">
        <v>5078</v>
      </c>
      <c r="E669" s="108" t="s">
        <v>4871</v>
      </c>
      <c r="F669" s="28" t="s">
        <v>5347</v>
      </c>
      <c r="G669" s="28" t="s">
        <v>5348</v>
      </c>
      <c r="H669" s="28" t="s">
        <v>5349</v>
      </c>
      <c r="I669" s="28"/>
      <c r="J669" s="122" t="s">
        <v>5350</v>
      </c>
      <c r="K669" s="28" t="s">
        <v>5329</v>
      </c>
      <c r="L669" s="28" t="s">
        <v>5351</v>
      </c>
      <c r="M669" s="26" t="s">
        <v>5071</v>
      </c>
      <c r="N669" s="26" t="s">
        <v>5071</v>
      </c>
      <c r="O669" s="26" t="s">
        <v>5071</v>
      </c>
      <c r="P669" s="26" t="s">
        <v>5071</v>
      </c>
      <c r="Q669" s="26" t="s">
        <v>5071</v>
      </c>
      <c r="R669" s="26" t="s">
        <v>5071</v>
      </c>
    </row>
    <row r="670" spans="2:18" ht="156" x14ac:dyDescent="0.25">
      <c r="B670" s="26">
        <v>6</v>
      </c>
      <c r="C670" s="26" t="s">
        <v>5078</v>
      </c>
      <c r="D670" s="26" t="s">
        <v>5078</v>
      </c>
      <c r="E670" s="108" t="s">
        <v>4876</v>
      </c>
      <c r="F670" s="28" t="s">
        <v>5352</v>
      </c>
      <c r="G670" s="28" t="s">
        <v>5353</v>
      </c>
      <c r="H670" s="28" t="s">
        <v>5349</v>
      </c>
      <c r="I670" s="28"/>
      <c r="J670" s="122" t="s">
        <v>5354</v>
      </c>
      <c r="K670" s="28" t="s">
        <v>5314</v>
      </c>
      <c r="L670" s="28" t="s">
        <v>5355</v>
      </c>
      <c r="M670" s="26" t="s">
        <v>5071</v>
      </c>
      <c r="N670" s="26" t="s">
        <v>5071</v>
      </c>
      <c r="O670" s="26" t="s">
        <v>5071</v>
      </c>
      <c r="P670" s="26" t="s">
        <v>5071</v>
      </c>
      <c r="Q670" s="26" t="s">
        <v>5071</v>
      </c>
      <c r="R670" s="26" t="s">
        <v>5071</v>
      </c>
    </row>
    <row r="671" spans="2:18" x14ac:dyDescent="0.35">
      <c r="B671" s="26"/>
      <c r="C671" s="26"/>
      <c r="D671" s="26"/>
    </row>
    <row r="672" spans="2:18" ht="39" x14ac:dyDescent="0.35">
      <c r="B672" s="268">
        <v>1</v>
      </c>
      <c r="C672" s="124" t="s">
        <v>1789</v>
      </c>
      <c r="D672" s="124" t="s">
        <v>4908</v>
      </c>
      <c r="E672" s="177" t="s">
        <v>5253</v>
      </c>
      <c r="F672" s="266">
        <v>0.3347222222222222</v>
      </c>
      <c r="G672" s="261" t="s">
        <v>6215</v>
      </c>
      <c r="H672" s="124" t="s">
        <v>5349</v>
      </c>
      <c r="I672" s="177"/>
      <c r="J672" s="262" t="s">
        <v>462</v>
      </c>
      <c r="K672" s="30" cm="1">
        <f t="array" aca="1" ref="K672" ca="1">K672:M679</f>
        <v>0</v>
      </c>
      <c r="L672" s="30">
        <v>500000</v>
      </c>
    </row>
    <row r="673" spans="2:12" ht="39" x14ac:dyDescent="0.35">
      <c r="B673" s="268">
        <v>2</v>
      </c>
      <c r="C673" s="124" t="s">
        <v>1789</v>
      </c>
      <c r="D673" s="124" t="s">
        <v>4908</v>
      </c>
      <c r="E673" s="177" t="s">
        <v>4801</v>
      </c>
      <c r="F673" s="266">
        <v>0.66041666666666665</v>
      </c>
      <c r="G673" s="261" t="s">
        <v>6215</v>
      </c>
      <c r="H673" s="124" t="s">
        <v>5349</v>
      </c>
      <c r="I673" s="177"/>
      <c r="J673" s="262" t="s">
        <v>462</v>
      </c>
      <c r="K673" s="30"/>
      <c r="L673" s="30">
        <v>400000</v>
      </c>
    </row>
    <row r="674" spans="2:12" ht="58.5" x14ac:dyDescent="0.35">
      <c r="B674" s="268">
        <v>3</v>
      </c>
      <c r="C674" s="124" t="s">
        <v>1789</v>
      </c>
      <c r="D674" s="124" t="s">
        <v>4908</v>
      </c>
      <c r="E674" s="177" t="s">
        <v>4801</v>
      </c>
      <c r="F674" s="266">
        <v>0.70833333333333337</v>
      </c>
      <c r="G674" s="261" t="s">
        <v>6216</v>
      </c>
      <c r="H674" s="124" t="s">
        <v>4880</v>
      </c>
      <c r="I674" s="177"/>
      <c r="J674" s="177" t="s">
        <v>3684</v>
      </c>
      <c r="K674" s="30">
        <v>640000</v>
      </c>
      <c r="L674" s="30">
        <v>1360000</v>
      </c>
    </row>
    <row r="675" spans="2:12" ht="58.5" x14ac:dyDescent="0.35">
      <c r="B675" s="268">
        <v>4</v>
      </c>
      <c r="C675" s="124" t="s">
        <v>1789</v>
      </c>
      <c r="D675" s="124" t="s">
        <v>4908</v>
      </c>
      <c r="E675" s="177" t="s">
        <v>4801</v>
      </c>
      <c r="F675" s="266">
        <v>0.86458333333333337</v>
      </c>
      <c r="G675" s="261" t="s">
        <v>6217</v>
      </c>
      <c r="H675" s="124" t="s">
        <v>5349</v>
      </c>
      <c r="I675" s="177"/>
      <c r="J675" s="177" t="s">
        <v>6218</v>
      </c>
      <c r="K675" s="30">
        <v>2000</v>
      </c>
      <c r="L675" s="30">
        <v>8000</v>
      </c>
    </row>
    <row r="676" spans="2:12" ht="39" x14ac:dyDescent="0.35">
      <c r="B676" s="268">
        <v>5</v>
      </c>
      <c r="C676" s="124" t="s">
        <v>1789</v>
      </c>
      <c r="D676" s="124" t="s">
        <v>4908</v>
      </c>
      <c r="E676" s="177" t="s">
        <v>4801</v>
      </c>
      <c r="F676" s="266">
        <v>0.94027777777777777</v>
      </c>
      <c r="G676" s="261" t="s">
        <v>6219</v>
      </c>
      <c r="H676" s="124" t="s">
        <v>5349</v>
      </c>
      <c r="I676" s="177"/>
      <c r="J676" s="262" t="s">
        <v>462</v>
      </c>
      <c r="K676" s="30"/>
      <c r="L676" s="30"/>
    </row>
    <row r="677" spans="2:12" ht="78" x14ac:dyDescent="0.35">
      <c r="B677" s="268">
        <v>6</v>
      </c>
      <c r="C677" s="124" t="s">
        <v>1789</v>
      </c>
      <c r="D677" s="124" t="s">
        <v>4908</v>
      </c>
      <c r="E677" s="264" t="s">
        <v>4802</v>
      </c>
      <c r="F677" s="266">
        <v>0.6069444444444444</v>
      </c>
      <c r="G677" s="262" t="s">
        <v>6220</v>
      </c>
      <c r="H677" s="262" t="s">
        <v>6222</v>
      </c>
      <c r="I677" s="177"/>
      <c r="J677" s="264" t="s">
        <v>6221</v>
      </c>
      <c r="K677" s="30">
        <v>820000</v>
      </c>
      <c r="L677" s="30">
        <v>2680000</v>
      </c>
    </row>
    <row r="678" spans="2:12" ht="39" x14ac:dyDescent="0.35">
      <c r="B678" s="268">
        <v>7</v>
      </c>
      <c r="C678" s="124" t="s">
        <v>1789</v>
      </c>
      <c r="D678" s="124" t="s">
        <v>4908</v>
      </c>
      <c r="E678" s="177" t="s">
        <v>4806</v>
      </c>
      <c r="F678" s="266">
        <v>0.56874999999999998</v>
      </c>
      <c r="G678" s="261" t="s">
        <v>6223</v>
      </c>
      <c r="H678" s="124" t="s">
        <v>5349</v>
      </c>
      <c r="I678" s="177"/>
      <c r="J678" s="177" t="s">
        <v>372</v>
      </c>
      <c r="K678" s="30"/>
      <c r="L678" s="30">
        <v>200000</v>
      </c>
    </row>
    <row r="679" spans="2:12" ht="39" x14ac:dyDescent="0.35">
      <c r="B679" s="268">
        <v>8</v>
      </c>
      <c r="C679" s="124" t="s">
        <v>1789</v>
      </c>
      <c r="D679" s="124" t="s">
        <v>4908</v>
      </c>
      <c r="E679" s="177" t="s">
        <v>5249</v>
      </c>
      <c r="F679" s="266">
        <v>0.6958333333333333</v>
      </c>
      <c r="G679" s="261" t="s">
        <v>6224</v>
      </c>
      <c r="H679" s="124" t="s">
        <v>5349</v>
      </c>
      <c r="I679" s="177"/>
      <c r="J679" s="262" t="s">
        <v>462</v>
      </c>
      <c r="K679" s="30"/>
      <c r="L679" s="30">
        <v>200000</v>
      </c>
    </row>
    <row r="680" spans="2:12" ht="39" x14ac:dyDescent="0.35">
      <c r="B680" s="268">
        <v>9</v>
      </c>
      <c r="C680" s="124" t="s">
        <v>1789</v>
      </c>
      <c r="D680" s="124" t="s">
        <v>4908</v>
      </c>
      <c r="E680" s="177" t="s">
        <v>4817</v>
      </c>
      <c r="F680" s="266">
        <v>5.9027777777777776E-2</v>
      </c>
      <c r="G680" s="261" t="s">
        <v>6224</v>
      </c>
      <c r="H680" s="124" t="s">
        <v>5349</v>
      </c>
      <c r="I680" s="177"/>
      <c r="J680" s="262" t="s">
        <v>462</v>
      </c>
      <c r="K680" s="30"/>
      <c r="L680" s="30">
        <v>500000</v>
      </c>
    </row>
    <row r="681" spans="2:12" ht="39" x14ac:dyDescent="0.35">
      <c r="B681" s="268">
        <v>10</v>
      </c>
      <c r="C681" s="124" t="s">
        <v>1789</v>
      </c>
      <c r="D681" s="124" t="s">
        <v>4908</v>
      </c>
      <c r="E681" s="177" t="s">
        <v>4817</v>
      </c>
      <c r="F681" s="266">
        <v>0.42430555555555555</v>
      </c>
      <c r="G681" s="261" t="s">
        <v>6224</v>
      </c>
      <c r="H681" s="124" t="s">
        <v>5349</v>
      </c>
      <c r="I681" s="177"/>
      <c r="J681" s="262" t="s">
        <v>462</v>
      </c>
      <c r="K681" s="30"/>
      <c r="L681" s="30">
        <v>1000000</v>
      </c>
    </row>
    <row r="682" spans="2:12" ht="39" x14ac:dyDescent="0.35">
      <c r="B682" s="268">
        <v>11</v>
      </c>
      <c r="C682" s="124" t="s">
        <v>1789</v>
      </c>
      <c r="D682" s="124" t="s">
        <v>4908</v>
      </c>
      <c r="E682" s="177" t="s">
        <v>4817</v>
      </c>
      <c r="F682" s="266">
        <v>0.95208333333333328</v>
      </c>
      <c r="G682" s="261" t="s">
        <v>6225</v>
      </c>
      <c r="H682" s="124" t="s">
        <v>5349</v>
      </c>
      <c r="I682" s="177"/>
      <c r="J682" s="177" t="s">
        <v>372</v>
      </c>
      <c r="K682" s="30"/>
      <c r="L682" s="30">
        <v>1000000</v>
      </c>
    </row>
    <row r="683" spans="2:12" ht="39" x14ac:dyDescent="0.35">
      <c r="B683" s="268">
        <v>12</v>
      </c>
      <c r="C683" s="124" t="s">
        <v>1789</v>
      </c>
      <c r="D683" s="124" t="s">
        <v>4908</v>
      </c>
      <c r="E683" s="177" t="s">
        <v>6208</v>
      </c>
      <c r="F683" s="266">
        <v>0.24305555555555555</v>
      </c>
      <c r="G683" s="261" t="s">
        <v>6226</v>
      </c>
      <c r="H683" s="177" t="s">
        <v>362</v>
      </c>
      <c r="I683" s="177"/>
      <c r="J683" s="177" t="s">
        <v>6232</v>
      </c>
      <c r="K683" s="30">
        <v>20000</v>
      </c>
      <c r="L683" s="30">
        <v>5000</v>
      </c>
    </row>
    <row r="684" spans="2:12" ht="39" x14ac:dyDescent="0.35">
      <c r="B684" s="268">
        <v>13</v>
      </c>
      <c r="C684" s="124" t="s">
        <v>1789</v>
      </c>
      <c r="D684" s="124" t="s">
        <v>4908</v>
      </c>
      <c r="E684" s="177" t="s">
        <v>6208</v>
      </c>
      <c r="F684" s="266">
        <v>0.25347222222222221</v>
      </c>
      <c r="G684" s="261" t="s">
        <v>6227</v>
      </c>
      <c r="H684" s="124" t="s">
        <v>5349</v>
      </c>
      <c r="I684" s="177"/>
      <c r="J684" s="177" t="s">
        <v>372</v>
      </c>
      <c r="K684" s="30">
        <v>50000</v>
      </c>
      <c r="L684" s="30">
        <v>950000</v>
      </c>
    </row>
    <row r="685" spans="2:12" ht="58.5" x14ac:dyDescent="0.35">
      <c r="B685" s="268">
        <v>14</v>
      </c>
      <c r="C685" s="124" t="s">
        <v>1789</v>
      </c>
      <c r="D685" s="124" t="s">
        <v>4908</v>
      </c>
      <c r="E685" s="177" t="s">
        <v>6208</v>
      </c>
      <c r="F685" s="266">
        <v>0.56666666666666665</v>
      </c>
      <c r="G685" s="261" t="s">
        <v>6228</v>
      </c>
      <c r="H685" s="124" t="s">
        <v>5349</v>
      </c>
      <c r="I685" s="177"/>
      <c r="J685" s="177" t="s">
        <v>372</v>
      </c>
      <c r="K685" s="30"/>
      <c r="L685" s="30">
        <v>2000000</v>
      </c>
    </row>
    <row r="686" spans="2:12" ht="39" x14ac:dyDescent="0.35">
      <c r="B686" s="268">
        <v>15</v>
      </c>
      <c r="C686" s="124" t="s">
        <v>1789</v>
      </c>
      <c r="D686" s="124" t="s">
        <v>4908</v>
      </c>
      <c r="E686" s="177" t="s">
        <v>6208</v>
      </c>
      <c r="F686" s="266">
        <v>0.8979166666666667</v>
      </c>
      <c r="G686" s="261" t="s">
        <v>6229</v>
      </c>
      <c r="H686" s="261" t="s">
        <v>6230</v>
      </c>
      <c r="I686" s="177"/>
      <c r="J686" s="177" t="s">
        <v>6233</v>
      </c>
      <c r="K686" s="30">
        <v>2000</v>
      </c>
      <c r="L686" s="30">
        <v>8000</v>
      </c>
    </row>
    <row r="687" spans="2:12" ht="58.5" x14ac:dyDescent="0.35">
      <c r="B687" s="268">
        <v>16</v>
      </c>
      <c r="C687" s="124" t="s">
        <v>1789</v>
      </c>
      <c r="D687" s="124" t="s">
        <v>4908</v>
      </c>
      <c r="E687" s="177" t="s">
        <v>5274</v>
      </c>
      <c r="F687" s="266">
        <v>6.5277777777777782E-2</v>
      </c>
      <c r="G687" s="261" t="s">
        <v>6231</v>
      </c>
      <c r="H687" s="261" t="s">
        <v>6230</v>
      </c>
      <c r="I687" s="177"/>
      <c r="J687" s="177" t="s">
        <v>6234</v>
      </c>
      <c r="K687" s="30"/>
      <c r="L687" s="30">
        <v>1000000</v>
      </c>
    </row>
    <row r="688" spans="2:12" ht="58.5" x14ac:dyDescent="0.35">
      <c r="B688" s="268">
        <v>17</v>
      </c>
      <c r="C688" s="124" t="s">
        <v>1789</v>
      </c>
      <c r="D688" s="124" t="s">
        <v>4908</v>
      </c>
      <c r="E688" s="177" t="s">
        <v>5274</v>
      </c>
      <c r="F688" s="266">
        <v>0.97499999999999998</v>
      </c>
      <c r="G688" s="261" t="s">
        <v>6235</v>
      </c>
      <c r="H688" s="261" t="s">
        <v>6230</v>
      </c>
      <c r="I688" s="177"/>
      <c r="J688" s="177" t="s">
        <v>6236</v>
      </c>
      <c r="K688" s="30">
        <v>10000</v>
      </c>
      <c r="L688" s="30">
        <v>190000</v>
      </c>
    </row>
    <row r="689" spans="2:13" ht="58.5" x14ac:dyDescent="0.35">
      <c r="B689" s="268">
        <v>18</v>
      </c>
      <c r="C689" s="124" t="s">
        <v>1789</v>
      </c>
      <c r="D689" s="124" t="s">
        <v>4908</v>
      </c>
      <c r="E689" s="177" t="s">
        <v>6209</v>
      </c>
      <c r="F689" s="266">
        <v>0.41666666666666669</v>
      </c>
      <c r="G689" s="261" t="s">
        <v>6237</v>
      </c>
      <c r="H689" s="261" t="s">
        <v>6230</v>
      </c>
      <c r="I689" s="177"/>
      <c r="J689" s="177" t="s">
        <v>6236</v>
      </c>
      <c r="K689" s="30">
        <v>100000</v>
      </c>
      <c r="L689" s="30">
        <v>400000</v>
      </c>
    </row>
    <row r="690" spans="2:13" ht="39" x14ac:dyDescent="0.35">
      <c r="B690" s="268">
        <v>19</v>
      </c>
      <c r="C690" s="124" t="s">
        <v>1789</v>
      </c>
      <c r="D690" s="124" t="s">
        <v>4908</v>
      </c>
      <c r="E690" s="177" t="s">
        <v>6209</v>
      </c>
      <c r="F690" s="266">
        <v>0.62638888888888888</v>
      </c>
      <c r="G690" s="261" t="s">
        <v>6227</v>
      </c>
      <c r="H690" s="177"/>
      <c r="I690" s="177"/>
      <c r="J690" s="177" t="s">
        <v>6238</v>
      </c>
      <c r="K690" s="30">
        <v>50000</v>
      </c>
      <c r="L690" s="30">
        <v>950000</v>
      </c>
    </row>
    <row r="691" spans="2:13" ht="58.5" x14ac:dyDescent="0.35">
      <c r="B691" s="268">
        <v>20</v>
      </c>
      <c r="C691" s="124" t="s">
        <v>1789</v>
      </c>
      <c r="D691" s="124" t="s">
        <v>4908</v>
      </c>
      <c r="E691" s="177" t="s">
        <v>6210</v>
      </c>
      <c r="F691" s="266">
        <v>0.43958333333333333</v>
      </c>
      <c r="G691" s="261" t="s">
        <v>6239</v>
      </c>
      <c r="H691" s="124" t="s">
        <v>5349</v>
      </c>
      <c r="I691" s="177"/>
      <c r="J691" s="177" t="s">
        <v>372</v>
      </c>
      <c r="K691" s="30"/>
      <c r="L691" s="30"/>
    </row>
    <row r="692" spans="2:13" ht="39" x14ac:dyDescent="0.35">
      <c r="B692" s="268">
        <v>21</v>
      </c>
      <c r="C692" s="124" t="s">
        <v>1789</v>
      </c>
      <c r="D692" s="124" t="s">
        <v>4908</v>
      </c>
      <c r="E692" s="177" t="s">
        <v>6211</v>
      </c>
      <c r="F692" s="266">
        <v>0.90208333333333335</v>
      </c>
      <c r="G692" s="261" t="s">
        <v>6240</v>
      </c>
      <c r="H692" s="261" t="s">
        <v>6230</v>
      </c>
      <c r="I692" s="177"/>
      <c r="J692" s="177" t="s">
        <v>6241</v>
      </c>
      <c r="K692" s="30">
        <v>1000</v>
      </c>
      <c r="L692" s="30">
        <v>99000</v>
      </c>
    </row>
    <row r="693" spans="2:13" ht="39" x14ac:dyDescent="0.35">
      <c r="B693" s="268">
        <v>22</v>
      </c>
      <c r="C693" s="124" t="s">
        <v>1789</v>
      </c>
      <c r="D693" s="124" t="s">
        <v>4908</v>
      </c>
      <c r="E693" s="177" t="s">
        <v>6212</v>
      </c>
      <c r="F693" s="266">
        <v>0.82638888888888884</v>
      </c>
      <c r="G693" s="261" t="s">
        <v>6242</v>
      </c>
      <c r="H693" s="261" t="s">
        <v>6230</v>
      </c>
      <c r="I693" s="177"/>
      <c r="J693" s="177" t="s">
        <v>6233</v>
      </c>
      <c r="K693" s="30"/>
      <c r="L693" s="30">
        <v>1000000</v>
      </c>
    </row>
    <row r="694" spans="2:13" ht="39" x14ac:dyDescent="0.35">
      <c r="B694" s="268">
        <v>23</v>
      </c>
      <c r="C694" s="124" t="s">
        <v>1789</v>
      </c>
      <c r="D694" s="124" t="s">
        <v>4908</v>
      </c>
      <c r="E694" s="177" t="s">
        <v>6213</v>
      </c>
      <c r="F694" s="266">
        <v>6.458333333333334E-2</v>
      </c>
      <c r="G694" s="261" t="s">
        <v>6243</v>
      </c>
      <c r="H694" s="261" t="s">
        <v>6230</v>
      </c>
      <c r="I694" s="177"/>
      <c r="J694" s="177" t="s">
        <v>6236</v>
      </c>
      <c r="K694" s="30">
        <v>5000</v>
      </c>
      <c r="L694" s="30">
        <v>95000</v>
      </c>
    </row>
    <row r="695" spans="2:13" ht="39" x14ac:dyDescent="0.35">
      <c r="B695" s="268">
        <v>24</v>
      </c>
      <c r="C695" s="124" t="s">
        <v>1789</v>
      </c>
      <c r="D695" s="124" t="s">
        <v>4908</v>
      </c>
      <c r="E695" s="177" t="s">
        <v>6214</v>
      </c>
      <c r="F695" s="266">
        <v>0.9194444444444444</v>
      </c>
      <c r="G695" s="261" t="s">
        <v>6244</v>
      </c>
      <c r="H695" s="261" t="s">
        <v>6230</v>
      </c>
      <c r="I695" s="177"/>
      <c r="J695" s="177" t="s">
        <v>6236</v>
      </c>
      <c r="K695" s="30">
        <v>10000</v>
      </c>
      <c r="L695" s="30">
        <v>490000</v>
      </c>
    </row>
    <row r="696" spans="2:13" ht="39" x14ac:dyDescent="0.35">
      <c r="B696" s="268">
        <v>25</v>
      </c>
      <c r="C696" s="124" t="s">
        <v>1789</v>
      </c>
      <c r="D696" s="124" t="s">
        <v>4908</v>
      </c>
      <c r="E696" s="177" t="s">
        <v>5265</v>
      </c>
      <c r="F696" s="266">
        <v>0.8354166666666667</v>
      </c>
      <c r="G696" s="261" t="s">
        <v>6245</v>
      </c>
      <c r="H696" s="124" t="s">
        <v>6246</v>
      </c>
      <c r="I696" s="177"/>
      <c r="J696" s="177" t="s">
        <v>372</v>
      </c>
      <c r="K696" s="30">
        <v>10000</v>
      </c>
      <c r="L696" s="30">
        <v>490000</v>
      </c>
    </row>
    <row r="697" spans="2:13" ht="58.5" x14ac:dyDescent="0.35">
      <c r="B697" s="268">
        <v>26</v>
      </c>
      <c r="C697" s="124" t="s">
        <v>1789</v>
      </c>
      <c r="D697" s="124" t="s">
        <v>4908</v>
      </c>
      <c r="E697" s="177" t="s">
        <v>6209</v>
      </c>
      <c r="F697" s="266">
        <v>0.60416666666666663</v>
      </c>
      <c r="G697" s="261" t="s">
        <v>6228</v>
      </c>
      <c r="H697" s="124" t="s">
        <v>5349</v>
      </c>
      <c r="I697" s="177"/>
      <c r="J697" s="177" t="s">
        <v>372</v>
      </c>
      <c r="K697" s="30"/>
      <c r="L697" s="30">
        <v>1000000</v>
      </c>
    </row>
    <row r="698" spans="2:13" x14ac:dyDescent="0.35">
      <c r="B698" s="126"/>
      <c r="C698" s="126"/>
      <c r="D698" s="126"/>
      <c r="E698" s="177"/>
      <c r="F698" s="267"/>
      <c r="G698" s="126"/>
      <c r="J698" s="126"/>
      <c r="K698" s="30"/>
      <c r="L698" s="30"/>
    </row>
    <row r="699" spans="2:13" ht="39" x14ac:dyDescent="0.25">
      <c r="B699" s="262">
        <v>1</v>
      </c>
      <c r="C699" s="124" t="s">
        <v>1789</v>
      </c>
      <c r="D699" s="262" t="s">
        <v>6247</v>
      </c>
      <c r="E699" s="265">
        <v>45297</v>
      </c>
      <c r="F699" s="266">
        <v>0.72916666666666663</v>
      </c>
      <c r="G699" s="262" t="s">
        <v>6258</v>
      </c>
      <c r="H699" s="264" t="s">
        <v>406</v>
      </c>
      <c r="I699" s="264"/>
      <c r="J699" s="264" t="s">
        <v>4141</v>
      </c>
      <c r="L699" s="102">
        <v>10000</v>
      </c>
    </row>
    <row r="700" spans="2:13" ht="39" x14ac:dyDescent="0.25">
      <c r="B700" s="262">
        <v>2</v>
      </c>
      <c r="C700" s="124" t="s">
        <v>1789</v>
      </c>
      <c r="D700" s="262" t="s">
        <v>6247</v>
      </c>
      <c r="E700" s="265">
        <v>45328</v>
      </c>
      <c r="F700" s="266">
        <v>0.63263888888888886</v>
      </c>
      <c r="G700" s="262" t="s">
        <v>6259</v>
      </c>
      <c r="H700" s="262" t="s">
        <v>6230</v>
      </c>
      <c r="I700" s="264"/>
      <c r="J700" s="264" t="s">
        <v>6260</v>
      </c>
      <c r="K700" s="102">
        <v>1000</v>
      </c>
      <c r="L700" s="102">
        <v>4000</v>
      </c>
    </row>
    <row r="701" spans="2:13" ht="97.5" x14ac:dyDescent="0.25">
      <c r="B701" s="262">
        <v>3</v>
      </c>
      <c r="C701" s="124" t="s">
        <v>1789</v>
      </c>
      <c r="D701" s="262" t="s">
        <v>6247</v>
      </c>
      <c r="E701" s="265">
        <v>45388</v>
      </c>
      <c r="F701" s="266">
        <v>3.8194444444444448E-2</v>
      </c>
      <c r="G701" s="262" t="s">
        <v>6261</v>
      </c>
      <c r="H701" s="264" t="s">
        <v>6262</v>
      </c>
      <c r="I701" s="264"/>
      <c r="J701" s="264" t="s">
        <v>6262</v>
      </c>
    </row>
    <row r="702" spans="2:13" ht="58.5" x14ac:dyDescent="0.25">
      <c r="B702" s="262">
        <v>4</v>
      </c>
      <c r="C702" s="124" t="s">
        <v>1789</v>
      </c>
      <c r="D702" s="262" t="s">
        <v>6247</v>
      </c>
      <c r="E702" s="265">
        <v>45388</v>
      </c>
      <c r="F702" s="266">
        <v>0.6020833333333333</v>
      </c>
      <c r="G702" s="262" t="s">
        <v>6263</v>
      </c>
      <c r="H702" s="262" t="s">
        <v>6230</v>
      </c>
      <c r="I702" s="264"/>
      <c r="J702" s="264" t="s">
        <v>6140</v>
      </c>
      <c r="L702" s="102">
        <v>1000</v>
      </c>
      <c r="M702" s="102">
        <v>4000</v>
      </c>
    </row>
    <row r="703" spans="2:13" ht="58.5" x14ac:dyDescent="0.25">
      <c r="B703" s="262">
        <v>5</v>
      </c>
      <c r="C703" s="124" t="s">
        <v>1789</v>
      </c>
      <c r="D703" s="262" t="s">
        <v>6247</v>
      </c>
      <c r="E703" s="265">
        <v>45510</v>
      </c>
      <c r="F703" s="266">
        <v>0.52638888888888891</v>
      </c>
      <c r="G703" s="262" t="s">
        <v>6264</v>
      </c>
      <c r="H703" s="262" t="s">
        <v>6265</v>
      </c>
      <c r="I703" s="264"/>
      <c r="J703" s="264" t="s">
        <v>6266</v>
      </c>
      <c r="L703" s="102">
        <v>100000</v>
      </c>
      <c r="M703" s="102">
        <v>400000</v>
      </c>
    </row>
    <row r="704" spans="2:13" ht="39" x14ac:dyDescent="0.25">
      <c r="B704" s="262">
        <v>6</v>
      </c>
      <c r="C704" s="124" t="s">
        <v>1789</v>
      </c>
      <c r="D704" s="262" t="s">
        <v>6247</v>
      </c>
      <c r="E704" s="265">
        <v>45541</v>
      </c>
      <c r="F704" s="266">
        <v>0.66041666666666665</v>
      </c>
      <c r="G704" s="262" t="s">
        <v>6267</v>
      </c>
      <c r="H704" s="264" t="s">
        <v>6268</v>
      </c>
      <c r="I704" s="264"/>
      <c r="J704" s="264" t="s">
        <v>372</v>
      </c>
      <c r="L704" s="102">
        <v>500</v>
      </c>
      <c r="M704" s="102">
        <v>1500</v>
      </c>
    </row>
    <row r="705" spans="2:13" ht="58.5" x14ac:dyDescent="0.25">
      <c r="B705" s="262">
        <v>7</v>
      </c>
      <c r="C705" s="124" t="s">
        <v>1789</v>
      </c>
      <c r="D705" s="262" t="s">
        <v>6247</v>
      </c>
      <c r="E705" s="265">
        <v>45571</v>
      </c>
      <c r="F705" s="266">
        <v>0.81597222222222221</v>
      </c>
      <c r="G705" s="262" t="s">
        <v>6269</v>
      </c>
      <c r="H705" s="262" t="s">
        <v>6230</v>
      </c>
      <c r="I705" s="264"/>
      <c r="J705" s="264" t="s">
        <v>6270</v>
      </c>
      <c r="L705" s="102">
        <v>50000</v>
      </c>
      <c r="M705" s="102">
        <v>450000</v>
      </c>
    </row>
    <row r="706" spans="2:13" ht="58.5" x14ac:dyDescent="0.25">
      <c r="B706" s="267"/>
      <c r="C706" s="124" t="s">
        <v>1789</v>
      </c>
      <c r="D706" s="262" t="s">
        <v>6247</v>
      </c>
      <c r="E706" s="265">
        <v>45602</v>
      </c>
      <c r="F706" s="266">
        <v>0.71527777777777779</v>
      </c>
      <c r="G706" s="262" t="s">
        <v>6271</v>
      </c>
      <c r="H706" s="264" t="s">
        <v>6268</v>
      </c>
      <c r="I706" s="264"/>
      <c r="J706" s="264" t="s">
        <v>6272</v>
      </c>
      <c r="L706" s="102">
        <v>10000</v>
      </c>
      <c r="M706" s="102">
        <v>990000</v>
      </c>
    </row>
    <row r="707" spans="2:13" x14ac:dyDescent="0.25">
      <c r="B707" s="267"/>
      <c r="C707" s="124" t="s">
        <v>1789</v>
      </c>
      <c r="D707" s="262" t="s">
        <v>6247</v>
      </c>
      <c r="E707" s="264" t="s">
        <v>6248</v>
      </c>
      <c r="F707" s="266">
        <v>0.82638888888888884</v>
      </c>
      <c r="G707" s="262" t="s">
        <v>6273</v>
      </c>
      <c r="H707" s="264" t="s">
        <v>6268</v>
      </c>
      <c r="I707" s="264"/>
      <c r="J707" s="264" t="s">
        <v>6274</v>
      </c>
      <c r="L707" s="102">
        <v>2000</v>
      </c>
      <c r="M707" s="102">
        <v>8000</v>
      </c>
    </row>
    <row r="708" spans="2:13" ht="58.5" x14ac:dyDescent="0.25">
      <c r="B708" s="267"/>
      <c r="C708" s="124" t="s">
        <v>1789</v>
      </c>
      <c r="D708" s="262" t="s">
        <v>6247</v>
      </c>
      <c r="E708" s="264" t="s">
        <v>6249</v>
      </c>
      <c r="F708" s="266">
        <v>0.1701388888888889</v>
      </c>
      <c r="G708" s="262" t="s">
        <v>6275</v>
      </c>
      <c r="H708" s="262" t="s">
        <v>6230</v>
      </c>
      <c r="I708" s="264"/>
      <c r="J708" s="264" t="s">
        <v>6276</v>
      </c>
      <c r="L708" s="102">
        <v>80000</v>
      </c>
      <c r="M708" s="102">
        <v>1920000</v>
      </c>
    </row>
    <row r="709" spans="2:13" ht="39" x14ac:dyDescent="0.25">
      <c r="B709" s="267"/>
      <c r="C709" s="124" t="s">
        <v>1789</v>
      </c>
      <c r="D709" s="262" t="s">
        <v>6247</v>
      </c>
      <c r="E709" s="264" t="s">
        <v>6249</v>
      </c>
      <c r="F709" s="266">
        <v>0.63194444444444442</v>
      </c>
      <c r="G709" s="262" t="s">
        <v>6277</v>
      </c>
      <c r="H709" s="264" t="s">
        <v>6268</v>
      </c>
      <c r="I709" s="264"/>
      <c r="J709" s="264" t="s">
        <v>372</v>
      </c>
      <c r="L709" s="102">
        <v>3000</v>
      </c>
      <c r="M709" s="102">
        <v>7000</v>
      </c>
    </row>
    <row r="710" spans="2:13" ht="58.5" x14ac:dyDescent="0.25">
      <c r="B710" s="267"/>
      <c r="C710" s="124" t="s">
        <v>1789</v>
      </c>
      <c r="D710" s="262" t="s">
        <v>6247</v>
      </c>
      <c r="E710" s="264" t="s">
        <v>6249</v>
      </c>
      <c r="F710" s="266">
        <v>0.94861111111111107</v>
      </c>
      <c r="G710" s="262" t="s">
        <v>6278</v>
      </c>
      <c r="H710" s="262" t="s">
        <v>6230</v>
      </c>
      <c r="I710" s="264"/>
      <c r="J710" s="264" t="s">
        <v>6279</v>
      </c>
      <c r="L710" s="102">
        <v>300000</v>
      </c>
      <c r="M710" s="102">
        <v>100000</v>
      </c>
    </row>
    <row r="711" spans="2:13" ht="39" x14ac:dyDescent="0.25">
      <c r="B711" s="267"/>
      <c r="C711" s="124" t="s">
        <v>1789</v>
      </c>
      <c r="D711" s="262" t="s">
        <v>6247</v>
      </c>
      <c r="E711" s="264" t="s">
        <v>6250</v>
      </c>
      <c r="F711" s="266">
        <v>0.47152777777777777</v>
      </c>
      <c r="G711" s="262" t="s">
        <v>6280</v>
      </c>
      <c r="H711" s="264" t="s">
        <v>6268</v>
      </c>
      <c r="I711" s="264"/>
      <c r="J711" s="264" t="s">
        <v>6281</v>
      </c>
      <c r="L711" s="102">
        <v>300000</v>
      </c>
      <c r="M711" s="102">
        <v>700000</v>
      </c>
    </row>
    <row r="712" spans="2:13" ht="39" x14ac:dyDescent="0.25">
      <c r="B712" s="267"/>
      <c r="C712" s="124" t="s">
        <v>1789</v>
      </c>
      <c r="D712" s="262" t="s">
        <v>6247</v>
      </c>
      <c r="E712" s="264" t="s">
        <v>6251</v>
      </c>
      <c r="F712" s="266">
        <v>0.70138888888888884</v>
      </c>
      <c r="G712" s="262" t="s">
        <v>6282</v>
      </c>
      <c r="H712" s="264" t="s">
        <v>6268</v>
      </c>
      <c r="I712" s="264"/>
      <c r="J712" s="264" t="s">
        <v>353</v>
      </c>
    </row>
    <row r="713" spans="2:13" ht="39" x14ac:dyDescent="0.25">
      <c r="B713" s="267"/>
      <c r="C713" s="124" t="s">
        <v>1789</v>
      </c>
      <c r="D713" s="262" t="s">
        <v>6247</v>
      </c>
      <c r="E713" s="264" t="s">
        <v>6252</v>
      </c>
      <c r="F713" s="266">
        <v>0.05</v>
      </c>
      <c r="G713" s="262" t="s">
        <v>6283</v>
      </c>
      <c r="H713" s="262" t="s">
        <v>6230</v>
      </c>
      <c r="I713" s="264"/>
      <c r="J713" s="264" t="s">
        <v>2186</v>
      </c>
      <c r="L713" s="102">
        <v>10000</v>
      </c>
      <c r="M713" s="102">
        <v>140000</v>
      </c>
    </row>
    <row r="714" spans="2:13" ht="39" x14ac:dyDescent="0.25">
      <c r="B714" s="267"/>
      <c r="C714" s="124" t="s">
        <v>1789</v>
      </c>
      <c r="D714" s="262" t="s">
        <v>6247</v>
      </c>
      <c r="E714" s="264" t="s">
        <v>6252</v>
      </c>
      <c r="F714" s="266">
        <v>9.0277777777777776E-2</v>
      </c>
      <c r="G714" s="262" t="s">
        <v>6283</v>
      </c>
      <c r="H714" s="262" t="s">
        <v>6230</v>
      </c>
      <c r="I714" s="264"/>
      <c r="J714" s="264" t="s">
        <v>2186</v>
      </c>
      <c r="L714" s="102">
        <v>40000</v>
      </c>
      <c r="M714" s="102">
        <v>110000</v>
      </c>
    </row>
    <row r="715" spans="2:13" ht="39" x14ac:dyDescent="0.25">
      <c r="B715" s="267"/>
      <c r="C715" s="124" t="s">
        <v>1789</v>
      </c>
      <c r="D715" s="262" t="s">
        <v>6247</v>
      </c>
      <c r="E715" s="264" t="s">
        <v>6252</v>
      </c>
      <c r="F715" s="266">
        <v>0.37708333333333333</v>
      </c>
      <c r="G715" s="262" t="s">
        <v>6284</v>
      </c>
      <c r="H715" s="264" t="s">
        <v>6268</v>
      </c>
      <c r="I715" s="264"/>
      <c r="J715" s="264" t="s">
        <v>372</v>
      </c>
      <c r="L715" s="102">
        <v>5000</v>
      </c>
      <c r="M715" s="102">
        <v>495000</v>
      </c>
    </row>
    <row r="716" spans="2:13" ht="39" x14ac:dyDescent="0.25">
      <c r="B716" s="267"/>
      <c r="C716" s="124" t="s">
        <v>1789</v>
      </c>
      <c r="D716" s="262" t="s">
        <v>6247</v>
      </c>
      <c r="E716" s="264" t="s">
        <v>6252</v>
      </c>
      <c r="F716" s="266">
        <v>0.53749999999999998</v>
      </c>
      <c r="G716" s="262" t="s">
        <v>6285</v>
      </c>
      <c r="H716" s="264" t="s">
        <v>6268</v>
      </c>
      <c r="I716" s="264"/>
      <c r="J716" s="264" t="s">
        <v>6286</v>
      </c>
      <c r="L716" s="102">
        <v>10000</v>
      </c>
      <c r="M716" s="102">
        <v>40000</v>
      </c>
    </row>
    <row r="717" spans="2:13" ht="58.5" x14ac:dyDescent="0.25">
      <c r="B717" s="267"/>
      <c r="C717" s="124" t="s">
        <v>1789</v>
      </c>
      <c r="D717" s="262" t="s">
        <v>6247</v>
      </c>
      <c r="E717" s="264" t="s">
        <v>6253</v>
      </c>
      <c r="F717" s="266">
        <v>0.70972222222222225</v>
      </c>
      <c r="G717" s="262" t="s">
        <v>6287</v>
      </c>
      <c r="H717" s="264" t="s">
        <v>6268</v>
      </c>
      <c r="I717" s="264"/>
      <c r="J717" s="264" t="s">
        <v>6281</v>
      </c>
      <c r="L717" s="102">
        <v>2000</v>
      </c>
      <c r="M717" s="102">
        <v>198000</v>
      </c>
    </row>
    <row r="718" spans="2:13" ht="58.5" x14ac:dyDescent="0.25">
      <c r="B718" s="267"/>
      <c r="C718" s="124" t="s">
        <v>1789</v>
      </c>
      <c r="D718" s="262" t="s">
        <v>6247</v>
      </c>
      <c r="E718" s="264" t="s">
        <v>6254</v>
      </c>
      <c r="F718" s="266">
        <v>0.44305555555555554</v>
      </c>
      <c r="G718" s="262" t="s">
        <v>6288</v>
      </c>
      <c r="H718" s="264" t="s">
        <v>6268</v>
      </c>
      <c r="I718" s="264"/>
      <c r="J718" s="264" t="s">
        <v>372</v>
      </c>
      <c r="L718" s="102">
        <v>1000</v>
      </c>
      <c r="M718" s="102">
        <v>19000</v>
      </c>
    </row>
    <row r="719" spans="2:13" ht="39" x14ac:dyDescent="0.25">
      <c r="B719" s="267"/>
      <c r="C719" s="124" t="s">
        <v>1789</v>
      </c>
      <c r="D719" s="262" t="s">
        <v>6247</v>
      </c>
      <c r="E719" s="264" t="s">
        <v>6255</v>
      </c>
      <c r="F719" s="266">
        <v>0.36736111111111114</v>
      </c>
      <c r="G719" s="262" t="s">
        <v>6289</v>
      </c>
      <c r="H719" s="262" t="s">
        <v>6230</v>
      </c>
      <c r="I719" s="264"/>
      <c r="J719" s="264" t="s">
        <v>6290</v>
      </c>
      <c r="L719" s="102">
        <v>980500</v>
      </c>
      <c r="M719" s="102">
        <v>3019500</v>
      </c>
    </row>
    <row r="720" spans="2:13" ht="39" x14ac:dyDescent="0.25">
      <c r="B720" s="267"/>
      <c r="C720" s="124" t="s">
        <v>1789</v>
      </c>
      <c r="D720" s="262" t="s">
        <v>6247</v>
      </c>
      <c r="E720" s="264" t="s">
        <v>6256</v>
      </c>
      <c r="F720" s="266">
        <v>0.18194444444444444</v>
      </c>
      <c r="G720" s="262" t="s">
        <v>6291</v>
      </c>
      <c r="H720" s="262" t="s">
        <v>6230</v>
      </c>
      <c r="I720" s="264"/>
      <c r="J720" s="264" t="s">
        <v>6286</v>
      </c>
      <c r="L720" s="102">
        <v>300000</v>
      </c>
      <c r="M720" s="102">
        <v>700000</v>
      </c>
    </row>
    <row r="721" spans="2:13" ht="39" x14ac:dyDescent="0.25">
      <c r="B721" s="267"/>
      <c r="C721" s="124" t="s">
        <v>1789</v>
      </c>
      <c r="D721" s="262" t="s">
        <v>6247</v>
      </c>
      <c r="E721" s="264" t="s">
        <v>6257</v>
      </c>
      <c r="F721" s="266">
        <v>0.90694444444444444</v>
      </c>
      <c r="G721" s="262" t="s">
        <v>6292</v>
      </c>
      <c r="H721" s="264" t="s">
        <v>6268</v>
      </c>
      <c r="I721" s="264"/>
      <c r="J721" s="264" t="s">
        <v>6276</v>
      </c>
      <c r="L721" s="102">
        <v>5000</v>
      </c>
      <c r="M721" s="102">
        <v>45000</v>
      </c>
    </row>
    <row r="722" spans="2:13" ht="117" x14ac:dyDescent="0.25">
      <c r="B722" s="267"/>
      <c r="C722" s="124" t="s">
        <v>1789</v>
      </c>
      <c r="D722" s="262" t="s">
        <v>6247</v>
      </c>
      <c r="E722" s="265">
        <v>45297</v>
      </c>
      <c r="F722" s="266">
        <v>0.58819444444444446</v>
      </c>
      <c r="G722" s="262" t="s">
        <v>6293</v>
      </c>
      <c r="H722" s="264"/>
      <c r="I722" s="264"/>
      <c r="J722" s="264" t="s">
        <v>2448</v>
      </c>
      <c r="L722" s="102">
        <v>20000</v>
      </c>
      <c r="M722" s="102">
        <v>1480000</v>
      </c>
    </row>
    <row r="723" spans="2:13" ht="97.5" x14ac:dyDescent="0.25">
      <c r="B723" s="267"/>
      <c r="C723" s="124" t="s">
        <v>1789</v>
      </c>
      <c r="D723" s="262" t="s">
        <v>6247</v>
      </c>
      <c r="E723" s="265">
        <v>45571</v>
      </c>
      <c r="F723" s="266">
        <v>0.85277777777777775</v>
      </c>
      <c r="G723" s="262" t="s">
        <v>6294</v>
      </c>
      <c r="H723" s="264"/>
      <c r="I723" s="264"/>
      <c r="J723" s="264" t="s">
        <v>2448</v>
      </c>
      <c r="L723" s="102">
        <v>10000</v>
      </c>
      <c r="M723" s="102">
        <v>99000</v>
      </c>
    </row>
    <row r="724" spans="2:13" ht="117" x14ac:dyDescent="0.25">
      <c r="B724" s="267"/>
      <c r="C724" s="124" t="s">
        <v>1789</v>
      </c>
      <c r="D724" s="262" t="s">
        <v>6247</v>
      </c>
      <c r="E724" s="265">
        <v>45602</v>
      </c>
      <c r="F724" s="266">
        <v>0.83125000000000004</v>
      </c>
      <c r="G724" s="262" t="s">
        <v>6295</v>
      </c>
      <c r="H724" s="264"/>
      <c r="I724" s="264"/>
      <c r="J724" s="264" t="s">
        <v>2448</v>
      </c>
      <c r="L724" s="102">
        <v>2000</v>
      </c>
      <c r="M724" s="102">
        <v>398000</v>
      </c>
    </row>
    <row r="725" spans="2:13" ht="117" x14ac:dyDescent="0.25">
      <c r="B725" s="267"/>
      <c r="C725" s="124" t="s">
        <v>1789</v>
      </c>
      <c r="D725" s="262" t="s">
        <v>6247</v>
      </c>
      <c r="E725" s="264" t="s">
        <v>6248</v>
      </c>
      <c r="F725" s="266">
        <v>0.87222222222222223</v>
      </c>
      <c r="G725" s="262" t="s">
        <v>6296</v>
      </c>
      <c r="H725" s="264"/>
      <c r="I725" s="264"/>
      <c r="J725" s="264" t="s">
        <v>2448</v>
      </c>
      <c r="L725" s="102">
        <v>5000</v>
      </c>
      <c r="M725" s="102">
        <v>795000</v>
      </c>
    </row>
    <row r="726" spans="2:13" ht="117" x14ac:dyDescent="0.25">
      <c r="B726" s="267"/>
      <c r="C726" s="124" t="s">
        <v>1789</v>
      </c>
      <c r="D726" s="262" t="s">
        <v>6247</v>
      </c>
      <c r="E726" s="264" t="s">
        <v>6250</v>
      </c>
      <c r="F726" s="266">
        <v>0.71944444444444444</v>
      </c>
      <c r="G726" s="262" t="s">
        <v>6297</v>
      </c>
      <c r="H726" s="264"/>
      <c r="I726" s="264"/>
      <c r="J726" s="264" t="s">
        <v>2448</v>
      </c>
      <c r="L726" s="102">
        <v>10000</v>
      </c>
      <c r="M726" s="102">
        <v>190000</v>
      </c>
    </row>
    <row r="727" spans="2:13" ht="117" x14ac:dyDescent="0.25">
      <c r="B727" s="267"/>
      <c r="C727" s="124" t="s">
        <v>1789</v>
      </c>
      <c r="D727" s="262" t="s">
        <v>6247</v>
      </c>
      <c r="E727" s="264" t="s">
        <v>6252</v>
      </c>
      <c r="F727" s="266">
        <v>0.89861111111111114</v>
      </c>
      <c r="G727" s="262" t="s">
        <v>6298</v>
      </c>
      <c r="H727" s="264"/>
      <c r="I727" s="264"/>
      <c r="J727" s="264" t="s">
        <v>2448</v>
      </c>
      <c r="L727" s="102">
        <v>2000</v>
      </c>
      <c r="M727" s="102">
        <v>8000</v>
      </c>
    </row>
    <row r="728" spans="2:13" ht="117" x14ac:dyDescent="0.25">
      <c r="B728" s="267"/>
      <c r="C728" s="124" t="s">
        <v>1789</v>
      </c>
      <c r="D728" s="262" t="s">
        <v>6247</v>
      </c>
      <c r="E728" s="264" t="s">
        <v>6253</v>
      </c>
      <c r="F728" s="266">
        <v>0.54305555555555551</v>
      </c>
      <c r="G728" s="262" t="s">
        <v>6299</v>
      </c>
      <c r="H728" s="264"/>
      <c r="I728" s="264"/>
      <c r="J728" s="264" t="s">
        <v>2448</v>
      </c>
      <c r="L728" s="102">
        <v>10000</v>
      </c>
      <c r="M728" s="102">
        <v>190000</v>
      </c>
    </row>
    <row r="729" spans="2:13" ht="117" x14ac:dyDescent="0.25">
      <c r="C729" s="270" t="s">
        <v>1789</v>
      </c>
      <c r="D729" s="271" t="s">
        <v>5714</v>
      </c>
      <c r="E729" s="272">
        <v>45328</v>
      </c>
      <c r="F729" s="274">
        <v>0.64236111111111116</v>
      </c>
      <c r="G729" s="271" t="s">
        <v>6300</v>
      </c>
      <c r="H729" s="269"/>
      <c r="I729" s="269"/>
      <c r="J729" s="264" t="s">
        <v>2448</v>
      </c>
      <c r="L729" s="30">
        <v>150000</v>
      </c>
      <c r="M729" s="30">
        <v>4850000</v>
      </c>
    </row>
    <row r="730" spans="2:13" ht="117" x14ac:dyDescent="0.25">
      <c r="C730" s="270" t="s">
        <v>1789</v>
      </c>
      <c r="D730" s="271" t="s">
        <v>5714</v>
      </c>
      <c r="E730" s="272">
        <v>45357</v>
      </c>
      <c r="F730" s="274">
        <v>0.85763888888888884</v>
      </c>
      <c r="G730" s="271" t="s">
        <v>6301</v>
      </c>
      <c r="H730" s="269"/>
      <c r="I730" s="269"/>
      <c r="J730" s="264" t="s">
        <v>2448</v>
      </c>
      <c r="L730" s="30">
        <v>10000</v>
      </c>
      <c r="M730" s="30">
        <v>490000</v>
      </c>
    </row>
    <row r="731" spans="2:13" ht="117" x14ac:dyDescent="0.25">
      <c r="C731" s="270" t="s">
        <v>1789</v>
      </c>
      <c r="D731" s="271" t="s">
        <v>5714</v>
      </c>
      <c r="E731" s="272">
        <v>45388</v>
      </c>
      <c r="F731" s="274">
        <v>0.63541666666666663</v>
      </c>
      <c r="G731" s="271" t="s">
        <v>6302</v>
      </c>
      <c r="H731" s="269"/>
      <c r="I731" s="269"/>
      <c r="J731" s="264" t="s">
        <v>2448</v>
      </c>
      <c r="L731" s="30">
        <v>500000</v>
      </c>
      <c r="M731" s="30">
        <v>4500000</v>
      </c>
    </row>
    <row r="732" spans="2:13" ht="117" x14ac:dyDescent="0.25">
      <c r="C732" s="270" t="s">
        <v>1789</v>
      </c>
      <c r="D732" s="271" t="s">
        <v>5714</v>
      </c>
      <c r="E732" s="272">
        <v>45602</v>
      </c>
      <c r="F732" s="274">
        <v>0.64861111111111114</v>
      </c>
      <c r="G732" s="271" t="s">
        <v>6303</v>
      </c>
      <c r="H732" s="269"/>
      <c r="I732" s="269"/>
      <c r="J732" s="264" t="s">
        <v>2448</v>
      </c>
      <c r="L732" s="30">
        <v>10000</v>
      </c>
      <c r="M732" s="30">
        <v>190000</v>
      </c>
    </row>
    <row r="733" spans="2:13" ht="117" x14ac:dyDescent="0.25">
      <c r="C733" s="270" t="s">
        <v>1789</v>
      </c>
      <c r="D733" s="271" t="s">
        <v>5714</v>
      </c>
      <c r="E733" s="273" t="s">
        <v>6250</v>
      </c>
      <c r="F733" s="274">
        <v>0.4548611111111111</v>
      </c>
      <c r="G733" s="271" t="s">
        <v>6304</v>
      </c>
      <c r="H733" s="269"/>
      <c r="I733" s="269"/>
      <c r="J733" s="264" t="s">
        <v>2448</v>
      </c>
      <c r="L733" s="30">
        <v>10000</v>
      </c>
      <c r="M733" s="30">
        <v>90000</v>
      </c>
    </row>
    <row r="734" spans="2:13" ht="58.5" x14ac:dyDescent="0.25">
      <c r="C734" s="270" t="s">
        <v>1789</v>
      </c>
      <c r="D734" s="271" t="s">
        <v>5714</v>
      </c>
      <c r="E734" s="272">
        <v>45297</v>
      </c>
      <c r="F734" s="274">
        <v>0.70972222222222225</v>
      </c>
      <c r="G734" s="271" t="s">
        <v>6305</v>
      </c>
      <c r="H734" s="269"/>
      <c r="I734" s="269"/>
      <c r="J734" s="264" t="s">
        <v>6306</v>
      </c>
      <c r="L734" s="30"/>
      <c r="M734" s="30"/>
    </row>
    <row r="735" spans="2:13" x14ac:dyDescent="0.25">
      <c r="C735" s="270"/>
      <c r="D735" s="271"/>
      <c r="E735" s="273"/>
      <c r="F735" s="273"/>
      <c r="G735" s="271"/>
      <c r="H735" s="269"/>
      <c r="I735" s="269"/>
      <c r="J735" s="269"/>
    </row>
    <row r="736" spans="2:13" x14ac:dyDescent="0.35">
      <c r="C736" s="124"/>
      <c r="D736" s="263"/>
      <c r="G736" s="262"/>
    </row>
    <row r="737" spans="3:7" x14ac:dyDescent="0.35">
      <c r="C737" s="124"/>
      <c r="D737" s="263"/>
      <c r="G737" s="262"/>
    </row>
    <row r="738" spans="3:7" x14ac:dyDescent="0.35">
      <c r="C738" s="124"/>
      <c r="D738" s="263"/>
      <c r="G738" s="26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Q502"/>
  <sheetViews>
    <sheetView topLeftCell="E495" zoomScale="70" zoomScaleNormal="70" workbookViewId="0">
      <selection activeCell="J215" sqref="J215:Q294"/>
    </sheetView>
  </sheetViews>
  <sheetFormatPr defaultColWidth="9.140625" defaultRowHeight="19.5" x14ac:dyDescent="0.35"/>
  <cols>
    <col min="1" max="1" width="9.140625" style="31"/>
    <col min="2" max="3" width="8.85546875" style="31"/>
    <col min="4" max="4" width="16.7109375" style="103" customWidth="1"/>
    <col min="5" max="5" width="10.85546875" style="31" customWidth="1"/>
    <col min="6" max="6" width="12.7109375" style="30" customWidth="1"/>
    <col min="7" max="7" width="31.85546875" style="31" customWidth="1"/>
    <col min="8" max="8" width="18" style="31" customWidth="1"/>
    <col min="9" max="9" width="24.5703125" style="31" customWidth="1"/>
    <col min="10" max="10" width="17.42578125" style="134" customWidth="1"/>
    <col min="11" max="11" width="9.28515625" style="134" customWidth="1"/>
    <col min="12" max="17" width="8.85546875" style="103" customWidth="1"/>
    <col min="18" max="16384" width="9.140625" style="31"/>
  </cols>
  <sheetData>
    <row r="3" spans="2:17" ht="63.75" customHeight="1" x14ac:dyDescent="0.35">
      <c r="B3" s="27" t="s">
        <v>76</v>
      </c>
      <c r="C3" s="105" t="s">
        <v>77</v>
      </c>
      <c r="D3" s="27" t="s">
        <v>78</v>
      </c>
      <c r="E3" s="27" t="s">
        <v>79</v>
      </c>
      <c r="F3" s="27" t="s">
        <v>80</v>
      </c>
      <c r="G3" s="128" t="s">
        <v>81</v>
      </c>
      <c r="H3" s="128" t="s">
        <v>82</v>
      </c>
      <c r="I3" s="128" t="s">
        <v>83</v>
      </c>
      <c r="J3" s="27" t="s">
        <v>84</v>
      </c>
      <c r="K3" s="27" t="s">
        <v>85</v>
      </c>
      <c r="L3" s="27" t="s">
        <v>86</v>
      </c>
      <c r="M3" s="27" t="s">
        <v>91</v>
      </c>
      <c r="N3" s="27" t="s">
        <v>87</v>
      </c>
      <c r="O3" s="27" t="s">
        <v>90</v>
      </c>
      <c r="P3" s="27" t="s">
        <v>88</v>
      </c>
      <c r="Q3" s="27" t="s">
        <v>89</v>
      </c>
    </row>
    <row r="4" spans="2:17" ht="21" x14ac:dyDescent="0.35">
      <c r="B4" s="27">
        <v>1</v>
      </c>
      <c r="C4" s="27" t="s">
        <v>93</v>
      </c>
      <c r="D4" s="27" t="s">
        <v>94</v>
      </c>
      <c r="E4" s="108">
        <v>45384</v>
      </c>
      <c r="F4" s="109">
        <v>0.64166666666666672</v>
      </c>
      <c r="G4" s="104" t="s">
        <v>95</v>
      </c>
      <c r="H4" s="104" t="s">
        <v>96</v>
      </c>
      <c r="I4" s="104" t="s">
        <v>97</v>
      </c>
      <c r="J4" s="132">
        <v>10000</v>
      </c>
      <c r="K4" s="132">
        <v>4990000</v>
      </c>
      <c r="L4" s="116" t="s">
        <v>20</v>
      </c>
      <c r="M4" s="28" t="s">
        <v>20</v>
      </c>
      <c r="N4" s="28" t="s">
        <v>20</v>
      </c>
      <c r="O4" s="28" t="s">
        <v>20</v>
      </c>
      <c r="P4" s="28" t="s">
        <v>20</v>
      </c>
      <c r="Q4" s="28" t="s">
        <v>20</v>
      </c>
    </row>
    <row r="5" spans="2:17" ht="21" x14ac:dyDescent="0.35">
      <c r="B5" s="27">
        <v>2</v>
      </c>
      <c r="C5" s="27" t="s">
        <v>93</v>
      </c>
      <c r="D5" s="27" t="s">
        <v>94</v>
      </c>
      <c r="E5" s="108">
        <v>45386</v>
      </c>
      <c r="F5" s="109">
        <v>0.8125</v>
      </c>
      <c r="G5" s="104" t="s">
        <v>98</v>
      </c>
      <c r="H5" s="104" t="s">
        <v>99</v>
      </c>
      <c r="I5" s="104" t="s">
        <v>100</v>
      </c>
      <c r="J5" s="132">
        <v>50000</v>
      </c>
      <c r="K5" s="132">
        <v>4950000</v>
      </c>
      <c r="L5" s="28" t="s">
        <v>20</v>
      </c>
      <c r="M5" s="28" t="s">
        <v>20</v>
      </c>
      <c r="N5" s="28" t="s">
        <v>20</v>
      </c>
      <c r="O5" s="28" t="s">
        <v>20</v>
      </c>
      <c r="P5" s="28" t="s">
        <v>20</v>
      </c>
      <c r="Q5" s="28" t="s">
        <v>20</v>
      </c>
    </row>
    <row r="6" spans="2:17" ht="21" x14ac:dyDescent="0.35">
      <c r="B6" s="27">
        <v>3</v>
      </c>
      <c r="C6" s="27" t="s">
        <v>93</v>
      </c>
      <c r="D6" s="27" t="s">
        <v>94</v>
      </c>
      <c r="E6" s="108">
        <v>45388</v>
      </c>
      <c r="F6" s="109">
        <v>0.40625</v>
      </c>
      <c r="G6" s="104" t="s">
        <v>101</v>
      </c>
      <c r="H6" s="104" t="s">
        <v>102</v>
      </c>
      <c r="I6" s="104" t="s">
        <v>103</v>
      </c>
      <c r="J6" s="115" t="s">
        <v>104</v>
      </c>
      <c r="K6" s="132">
        <v>1995000</v>
      </c>
      <c r="L6" s="28" t="s">
        <v>20</v>
      </c>
      <c r="M6" s="28" t="s">
        <v>20</v>
      </c>
      <c r="N6" s="28" t="s">
        <v>20</v>
      </c>
      <c r="O6" s="28" t="s">
        <v>20</v>
      </c>
      <c r="P6" s="28" t="s">
        <v>20</v>
      </c>
      <c r="Q6" s="28" t="s">
        <v>20</v>
      </c>
    </row>
    <row r="7" spans="2:17" ht="21" x14ac:dyDescent="0.35">
      <c r="B7" s="27">
        <v>4</v>
      </c>
      <c r="C7" s="27" t="s">
        <v>93</v>
      </c>
      <c r="D7" s="27" t="s">
        <v>94</v>
      </c>
      <c r="E7" s="108">
        <v>45388</v>
      </c>
      <c r="F7" s="109">
        <v>0.79166666666666663</v>
      </c>
      <c r="G7" s="104" t="s">
        <v>105</v>
      </c>
      <c r="H7" s="104" t="s">
        <v>106</v>
      </c>
      <c r="I7" s="104" t="s">
        <v>107</v>
      </c>
      <c r="J7" s="115">
        <v>5000</v>
      </c>
      <c r="K7" s="132">
        <v>995000</v>
      </c>
      <c r="L7" s="28" t="s">
        <v>20</v>
      </c>
      <c r="M7" s="28" t="s">
        <v>20</v>
      </c>
      <c r="N7" s="28" t="s">
        <v>20</v>
      </c>
      <c r="O7" s="28" t="s">
        <v>20</v>
      </c>
      <c r="P7" s="28" t="s">
        <v>20</v>
      </c>
      <c r="Q7" s="28" t="s">
        <v>20</v>
      </c>
    </row>
    <row r="8" spans="2:17" ht="21" x14ac:dyDescent="0.35">
      <c r="B8" s="27">
        <v>5</v>
      </c>
      <c r="C8" s="27" t="s">
        <v>93</v>
      </c>
      <c r="D8" s="27" t="s">
        <v>94</v>
      </c>
      <c r="E8" s="108">
        <v>45390</v>
      </c>
      <c r="F8" s="109">
        <v>0.1</v>
      </c>
      <c r="G8" s="104" t="s">
        <v>108</v>
      </c>
      <c r="H8" s="104" t="s">
        <v>109</v>
      </c>
      <c r="I8" s="121" t="s">
        <v>110</v>
      </c>
      <c r="J8" s="115">
        <v>500</v>
      </c>
      <c r="K8" s="132">
        <v>9500</v>
      </c>
      <c r="L8" s="28" t="s">
        <v>20</v>
      </c>
      <c r="M8" s="28" t="s">
        <v>20</v>
      </c>
      <c r="N8" s="28" t="s">
        <v>20</v>
      </c>
      <c r="O8" s="28" t="s">
        <v>20</v>
      </c>
      <c r="P8" s="28" t="s">
        <v>20</v>
      </c>
      <c r="Q8" s="28" t="s">
        <v>20</v>
      </c>
    </row>
    <row r="9" spans="2:17" ht="21" x14ac:dyDescent="0.35">
      <c r="B9" s="27">
        <v>6</v>
      </c>
      <c r="C9" s="27" t="s">
        <v>93</v>
      </c>
      <c r="D9" s="27" t="s">
        <v>94</v>
      </c>
      <c r="E9" s="108">
        <v>45390</v>
      </c>
      <c r="F9" s="109">
        <v>0.56180555555555556</v>
      </c>
      <c r="G9" s="119" t="s">
        <v>111</v>
      </c>
      <c r="H9" s="104" t="s">
        <v>112</v>
      </c>
      <c r="I9" s="119" t="s">
        <v>113</v>
      </c>
      <c r="J9" s="115" t="s">
        <v>34</v>
      </c>
      <c r="K9" s="132">
        <v>798000</v>
      </c>
      <c r="L9" s="28" t="s">
        <v>20</v>
      </c>
      <c r="M9" s="28" t="s">
        <v>20</v>
      </c>
      <c r="N9" s="28" t="s">
        <v>20</v>
      </c>
      <c r="O9" s="28" t="s">
        <v>20</v>
      </c>
      <c r="P9" s="28" t="s">
        <v>20</v>
      </c>
      <c r="Q9" s="28" t="s">
        <v>20</v>
      </c>
    </row>
    <row r="10" spans="2:17" ht="21" x14ac:dyDescent="0.35">
      <c r="B10" s="27">
        <v>7</v>
      </c>
      <c r="C10" s="27" t="s">
        <v>93</v>
      </c>
      <c r="D10" s="27" t="s">
        <v>94</v>
      </c>
      <c r="E10" s="108">
        <v>45391</v>
      </c>
      <c r="F10" s="109">
        <v>0.20902777777777778</v>
      </c>
      <c r="G10" s="121" t="s">
        <v>114</v>
      </c>
      <c r="H10" s="104" t="s">
        <v>115</v>
      </c>
      <c r="I10" s="121" t="s">
        <v>116</v>
      </c>
      <c r="J10" s="117" t="s">
        <v>117</v>
      </c>
      <c r="K10" s="132">
        <v>50000</v>
      </c>
      <c r="L10" s="28" t="s">
        <v>20</v>
      </c>
      <c r="M10" s="28" t="s">
        <v>20</v>
      </c>
      <c r="N10" s="28" t="s">
        <v>20</v>
      </c>
      <c r="O10" s="28" t="s">
        <v>20</v>
      </c>
      <c r="P10" s="28" t="s">
        <v>20</v>
      </c>
      <c r="Q10" s="28" t="s">
        <v>20</v>
      </c>
    </row>
    <row r="11" spans="2:17" ht="39" x14ac:dyDescent="0.35">
      <c r="B11" s="106">
        <v>8</v>
      </c>
      <c r="C11" s="27" t="s">
        <v>93</v>
      </c>
      <c r="D11" s="27" t="s">
        <v>94</v>
      </c>
      <c r="E11" s="110">
        <v>45391</v>
      </c>
      <c r="F11" s="109">
        <v>0.2902777777777778</v>
      </c>
      <c r="G11" s="129" t="s">
        <v>3283</v>
      </c>
      <c r="H11" s="118" t="s">
        <v>3284</v>
      </c>
      <c r="I11" s="129" t="s">
        <v>3285</v>
      </c>
      <c r="J11" s="117">
        <v>150000</v>
      </c>
      <c r="K11" s="115" t="s">
        <v>16</v>
      </c>
      <c r="L11" s="28" t="s">
        <v>15</v>
      </c>
      <c r="M11" s="28" t="s">
        <v>15</v>
      </c>
      <c r="N11" s="28" t="s">
        <v>15</v>
      </c>
      <c r="O11" s="28" t="s">
        <v>15</v>
      </c>
      <c r="P11" s="28">
        <v>2</v>
      </c>
      <c r="Q11" s="28"/>
    </row>
    <row r="12" spans="2:17" ht="21" x14ac:dyDescent="0.35">
      <c r="B12" s="27">
        <v>9</v>
      </c>
      <c r="C12" s="27" t="s">
        <v>93</v>
      </c>
      <c r="D12" s="27" t="s">
        <v>94</v>
      </c>
      <c r="E12" s="108">
        <v>45391</v>
      </c>
      <c r="F12" s="109">
        <v>0.7368055555555556</v>
      </c>
      <c r="G12" s="121" t="s">
        <v>3286</v>
      </c>
      <c r="H12" s="119" t="s">
        <v>3287</v>
      </c>
      <c r="I12" s="121" t="s">
        <v>3288</v>
      </c>
      <c r="J12" s="117" t="s">
        <v>20</v>
      </c>
      <c r="K12" s="115" t="s">
        <v>1804</v>
      </c>
      <c r="L12" s="28" t="s">
        <v>15</v>
      </c>
      <c r="M12" s="28" t="s">
        <v>15</v>
      </c>
      <c r="N12" s="28" t="s">
        <v>15</v>
      </c>
      <c r="O12" s="28" t="s">
        <v>15</v>
      </c>
      <c r="P12" s="28" t="s">
        <v>15</v>
      </c>
      <c r="Q12" s="28"/>
    </row>
    <row r="13" spans="2:17" ht="39" x14ac:dyDescent="0.35">
      <c r="B13" s="106">
        <v>10</v>
      </c>
      <c r="C13" s="27" t="s">
        <v>93</v>
      </c>
      <c r="D13" s="27" t="s">
        <v>94</v>
      </c>
      <c r="E13" s="110">
        <v>45392</v>
      </c>
      <c r="F13" s="109">
        <v>0.53194444444444444</v>
      </c>
      <c r="G13" s="129" t="s">
        <v>3289</v>
      </c>
      <c r="H13" s="118" t="s">
        <v>3290</v>
      </c>
      <c r="I13" s="129" t="s">
        <v>3291</v>
      </c>
      <c r="J13" s="117">
        <v>420000</v>
      </c>
      <c r="K13" s="115" t="s">
        <v>17</v>
      </c>
      <c r="L13" s="28" t="s">
        <v>15</v>
      </c>
      <c r="M13" s="28" t="s">
        <v>15</v>
      </c>
      <c r="N13" s="28" t="s">
        <v>15</v>
      </c>
      <c r="O13" s="28" t="s">
        <v>15</v>
      </c>
      <c r="P13" s="28" t="s">
        <v>15</v>
      </c>
      <c r="Q13" s="28"/>
    </row>
    <row r="14" spans="2:17" ht="21" x14ac:dyDescent="0.35">
      <c r="B14" s="106">
        <v>12</v>
      </c>
      <c r="C14" s="27" t="s">
        <v>93</v>
      </c>
      <c r="D14" s="27" t="s">
        <v>94</v>
      </c>
      <c r="E14" s="110">
        <v>45392</v>
      </c>
      <c r="F14" s="109">
        <v>0.53194444444444444</v>
      </c>
      <c r="G14" s="129" t="s">
        <v>3292</v>
      </c>
      <c r="H14" s="118" t="s">
        <v>3293</v>
      </c>
      <c r="I14" s="129" t="s">
        <v>3294</v>
      </c>
      <c r="J14" s="117">
        <v>100000</v>
      </c>
      <c r="K14" s="115">
        <v>900000</v>
      </c>
      <c r="L14" s="28" t="s">
        <v>15</v>
      </c>
      <c r="M14" s="28" t="s">
        <v>15</v>
      </c>
      <c r="N14" s="28" t="s">
        <v>15</v>
      </c>
      <c r="O14" s="28" t="s">
        <v>15</v>
      </c>
      <c r="P14" s="28" t="s">
        <v>15</v>
      </c>
      <c r="Q14" s="28"/>
    </row>
    <row r="15" spans="2:17" ht="21" x14ac:dyDescent="0.35">
      <c r="B15" s="106">
        <v>13</v>
      </c>
      <c r="C15" s="27" t="s">
        <v>93</v>
      </c>
      <c r="D15" s="27" t="s">
        <v>94</v>
      </c>
      <c r="E15" s="110">
        <v>45393</v>
      </c>
      <c r="F15" s="109">
        <v>0.53194444444444444</v>
      </c>
      <c r="G15" s="129" t="s">
        <v>3295</v>
      </c>
      <c r="H15" s="118" t="s">
        <v>3296</v>
      </c>
      <c r="I15" s="129" t="s">
        <v>3297</v>
      </c>
      <c r="J15" s="117">
        <v>15000</v>
      </c>
      <c r="K15" s="115">
        <v>85000</v>
      </c>
      <c r="L15" s="28" t="s">
        <v>15</v>
      </c>
      <c r="M15" s="28" t="s">
        <v>15</v>
      </c>
      <c r="N15" s="28" t="s">
        <v>15</v>
      </c>
      <c r="O15" s="28" t="s">
        <v>15</v>
      </c>
      <c r="P15" s="28">
        <v>3</v>
      </c>
      <c r="Q15" s="28" t="s">
        <v>15</v>
      </c>
    </row>
    <row r="16" spans="2:17" ht="21" x14ac:dyDescent="0.35">
      <c r="B16" s="106">
        <v>14</v>
      </c>
      <c r="C16" s="27" t="s">
        <v>93</v>
      </c>
      <c r="D16" s="27" t="s">
        <v>94</v>
      </c>
      <c r="E16" s="110">
        <v>45395</v>
      </c>
      <c r="F16" s="109">
        <v>9.0277777777777776E-2</v>
      </c>
      <c r="G16" s="129" t="s">
        <v>3295</v>
      </c>
      <c r="H16" s="118" t="s">
        <v>2668</v>
      </c>
      <c r="I16" s="129" t="s">
        <v>3298</v>
      </c>
      <c r="J16" s="117">
        <v>50000</v>
      </c>
      <c r="K16" s="115">
        <v>50000</v>
      </c>
      <c r="L16" s="28" t="s">
        <v>15</v>
      </c>
      <c r="M16" s="28" t="s">
        <v>15</v>
      </c>
      <c r="N16" s="28" t="s">
        <v>15</v>
      </c>
      <c r="O16" s="28" t="s">
        <v>15</v>
      </c>
      <c r="P16" s="28"/>
      <c r="Q16" s="28" t="s">
        <v>15</v>
      </c>
    </row>
    <row r="17" spans="2:17" ht="21" x14ac:dyDescent="0.35">
      <c r="B17" s="106">
        <v>15</v>
      </c>
      <c r="C17" s="27" t="s">
        <v>93</v>
      </c>
      <c r="D17" s="27" t="s">
        <v>94</v>
      </c>
      <c r="E17" s="110">
        <v>45395</v>
      </c>
      <c r="F17" s="109">
        <v>0.11180555555555556</v>
      </c>
      <c r="G17" s="129" t="s">
        <v>3299</v>
      </c>
      <c r="H17" s="118" t="s">
        <v>3300</v>
      </c>
      <c r="I17" s="129" t="s">
        <v>3301</v>
      </c>
      <c r="J17" s="117">
        <v>50000</v>
      </c>
      <c r="K17" s="115">
        <v>150000</v>
      </c>
      <c r="L17" s="28" t="s">
        <v>15</v>
      </c>
      <c r="M17" s="28" t="s">
        <v>15</v>
      </c>
      <c r="N17" s="28" t="s">
        <v>15</v>
      </c>
      <c r="O17" s="28" t="s">
        <v>15</v>
      </c>
      <c r="P17" s="28"/>
      <c r="Q17" s="28" t="s">
        <v>15</v>
      </c>
    </row>
    <row r="18" spans="2:17" ht="21" x14ac:dyDescent="0.35">
      <c r="B18" s="106">
        <v>16</v>
      </c>
      <c r="C18" s="27" t="s">
        <v>93</v>
      </c>
      <c r="D18" s="27" t="s">
        <v>94</v>
      </c>
      <c r="E18" s="110">
        <v>45395</v>
      </c>
      <c r="F18" s="109">
        <v>0.62152777777777779</v>
      </c>
      <c r="G18" s="129" t="s">
        <v>3302</v>
      </c>
      <c r="H18" s="118" t="s">
        <v>2668</v>
      </c>
      <c r="I18" s="129" t="s">
        <v>3303</v>
      </c>
      <c r="J18" s="117" t="s">
        <v>20</v>
      </c>
      <c r="K18" s="115">
        <v>100000</v>
      </c>
      <c r="L18" s="28" t="s">
        <v>15</v>
      </c>
      <c r="M18" s="28" t="s">
        <v>15</v>
      </c>
      <c r="N18" s="28" t="s">
        <v>15</v>
      </c>
      <c r="O18" s="28" t="s">
        <v>15</v>
      </c>
      <c r="P18" s="28"/>
      <c r="Q18" s="28" t="s">
        <v>15</v>
      </c>
    </row>
    <row r="19" spans="2:17" ht="21" x14ac:dyDescent="0.35">
      <c r="B19" s="106">
        <v>17</v>
      </c>
      <c r="C19" s="27" t="s">
        <v>93</v>
      </c>
      <c r="D19" s="27" t="s">
        <v>94</v>
      </c>
      <c r="E19" s="110">
        <v>45397</v>
      </c>
      <c r="F19" s="109">
        <v>0.67083333333333328</v>
      </c>
      <c r="G19" s="129" t="s">
        <v>3304</v>
      </c>
      <c r="H19" s="118" t="s">
        <v>3305</v>
      </c>
      <c r="I19" s="129" t="s">
        <v>3306</v>
      </c>
      <c r="J19" s="117">
        <v>5000</v>
      </c>
      <c r="K19" s="115">
        <v>1495000</v>
      </c>
      <c r="L19" s="28" t="s">
        <v>15</v>
      </c>
      <c r="M19" s="28" t="s">
        <v>15</v>
      </c>
      <c r="N19" s="28" t="s">
        <v>15</v>
      </c>
      <c r="O19" s="28" t="s">
        <v>15</v>
      </c>
      <c r="P19" s="28"/>
      <c r="Q19" s="28" t="s">
        <v>15</v>
      </c>
    </row>
    <row r="20" spans="2:17" ht="21" x14ac:dyDescent="0.35">
      <c r="B20" s="106">
        <v>18</v>
      </c>
      <c r="C20" s="27" t="s">
        <v>93</v>
      </c>
      <c r="D20" s="27" t="s">
        <v>94</v>
      </c>
      <c r="E20" s="110">
        <v>45399</v>
      </c>
      <c r="F20" s="109">
        <v>0.63541666666666663</v>
      </c>
      <c r="G20" s="129" t="s">
        <v>3307</v>
      </c>
      <c r="H20" s="118" t="s">
        <v>3308</v>
      </c>
      <c r="I20" s="129" t="s">
        <v>3309</v>
      </c>
      <c r="J20" s="117">
        <v>20000</v>
      </c>
      <c r="K20" s="115">
        <v>1480000</v>
      </c>
      <c r="L20" s="28" t="s">
        <v>15</v>
      </c>
      <c r="M20" s="28" t="s">
        <v>15</v>
      </c>
      <c r="N20" s="28" t="s">
        <v>15</v>
      </c>
      <c r="O20" s="28" t="s">
        <v>15</v>
      </c>
      <c r="P20" s="28"/>
      <c r="Q20" s="28" t="s">
        <v>15</v>
      </c>
    </row>
    <row r="21" spans="2:17" ht="21" x14ac:dyDescent="0.35">
      <c r="B21" s="106">
        <v>19</v>
      </c>
      <c r="C21" s="27" t="s">
        <v>93</v>
      </c>
      <c r="D21" s="27" t="s">
        <v>94</v>
      </c>
      <c r="E21" s="110">
        <v>45400</v>
      </c>
      <c r="F21" s="109">
        <v>0.70486111111111116</v>
      </c>
      <c r="G21" s="129" t="s">
        <v>3310</v>
      </c>
      <c r="H21" s="118" t="s">
        <v>3305</v>
      </c>
      <c r="I21" s="129" t="s">
        <v>3311</v>
      </c>
      <c r="J21" s="117" t="s">
        <v>20</v>
      </c>
      <c r="K21" s="115">
        <v>500000</v>
      </c>
      <c r="L21" s="28" t="s">
        <v>15</v>
      </c>
      <c r="M21" s="28" t="s">
        <v>15</v>
      </c>
      <c r="N21" s="28" t="s">
        <v>15</v>
      </c>
      <c r="O21" s="28" t="s">
        <v>15</v>
      </c>
      <c r="P21" s="28"/>
      <c r="Q21" s="28" t="s">
        <v>15</v>
      </c>
    </row>
    <row r="22" spans="2:17" ht="21" x14ac:dyDescent="0.35">
      <c r="B22" s="106">
        <v>20</v>
      </c>
      <c r="C22" s="27" t="s">
        <v>93</v>
      </c>
      <c r="D22" s="27" t="s">
        <v>94</v>
      </c>
      <c r="E22" s="110">
        <v>45403</v>
      </c>
      <c r="F22" s="109">
        <v>0.50902777777777775</v>
      </c>
      <c r="G22" s="129" t="s">
        <v>3312</v>
      </c>
      <c r="H22" s="118" t="s">
        <v>3305</v>
      </c>
      <c r="I22" s="129" t="s">
        <v>3313</v>
      </c>
      <c r="J22" s="117" t="s">
        <v>20</v>
      </c>
      <c r="K22" s="115">
        <v>500000</v>
      </c>
      <c r="L22" s="28" t="s">
        <v>15</v>
      </c>
      <c r="M22" s="28" t="s">
        <v>15</v>
      </c>
      <c r="N22" s="28" t="s">
        <v>15</v>
      </c>
      <c r="O22" s="28" t="s">
        <v>15</v>
      </c>
      <c r="P22" s="28"/>
      <c r="Q22" s="28" t="s">
        <v>15</v>
      </c>
    </row>
    <row r="23" spans="2:17" ht="21" x14ac:dyDescent="0.35">
      <c r="B23" s="106">
        <v>21</v>
      </c>
      <c r="C23" s="27" t="s">
        <v>93</v>
      </c>
      <c r="D23" s="27" t="s">
        <v>94</v>
      </c>
      <c r="E23" s="110">
        <v>45403</v>
      </c>
      <c r="F23" s="109">
        <v>0.55000000000000004</v>
      </c>
      <c r="G23" s="129" t="s">
        <v>3314</v>
      </c>
      <c r="H23" s="118" t="s">
        <v>3315</v>
      </c>
      <c r="I23" s="129" t="s">
        <v>3316</v>
      </c>
      <c r="J23" s="117">
        <v>390000</v>
      </c>
      <c r="K23" s="115">
        <v>1610000</v>
      </c>
      <c r="L23" s="28" t="s">
        <v>15</v>
      </c>
      <c r="M23" s="28" t="s">
        <v>15</v>
      </c>
      <c r="N23" s="28" t="s">
        <v>15</v>
      </c>
      <c r="O23" s="28" t="s">
        <v>15</v>
      </c>
      <c r="P23" s="28"/>
      <c r="Q23" s="28" t="s">
        <v>15</v>
      </c>
    </row>
    <row r="24" spans="2:17" ht="21" x14ac:dyDescent="0.35">
      <c r="B24" s="106">
        <v>22</v>
      </c>
      <c r="C24" s="27" t="s">
        <v>93</v>
      </c>
      <c r="D24" s="27" t="s">
        <v>94</v>
      </c>
      <c r="E24" s="110">
        <v>45404</v>
      </c>
      <c r="F24" s="109">
        <v>2.013888888888889E-2</v>
      </c>
      <c r="G24" s="129" t="s">
        <v>3317</v>
      </c>
      <c r="H24" s="118" t="s">
        <v>3287</v>
      </c>
      <c r="I24" s="129" t="s">
        <v>3318</v>
      </c>
      <c r="J24" s="117">
        <v>1500</v>
      </c>
      <c r="K24" s="115">
        <v>1998500</v>
      </c>
      <c r="L24" s="28" t="s">
        <v>15</v>
      </c>
      <c r="M24" s="28" t="s">
        <v>15</v>
      </c>
      <c r="N24" s="28" t="s">
        <v>15</v>
      </c>
      <c r="O24" s="28" t="s">
        <v>15</v>
      </c>
      <c r="P24" s="28"/>
      <c r="Q24" s="28" t="s">
        <v>15</v>
      </c>
    </row>
    <row r="25" spans="2:17" ht="21" x14ac:dyDescent="0.35">
      <c r="B25" s="106">
        <v>23</v>
      </c>
      <c r="C25" s="27" t="s">
        <v>93</v>
      </c>
      <c r="D25" s="27" t="s">
        <v>94</v>
      </c>
      <c r="E25" s="110">
        <v>45404</v>
      </c>
      <c r="F25" s="109">
        <v>0.61875000000000002</v>
      </c>
      <c r="G25" s="129" t="s">
        <v>3319</v>
      </c>
      <c r="H25" s="118" t="s">
        <v>3320</v>
      </c>
      <c r="I25" s="129" t="s">
        <v>3321</v>
      </c>
      <c r="J25" s="117">
        <v>7000</v>
      </c>
      <c r="K25" s="115">
        <v>193000</v>
      </c>
      <c r="L25" s="28" t="s">
        <v>15</v>
      </c>
      <c r="M25" s="28" t="s">
        <v>15</v>
      </c>
      <c r="N25" s="28" t="s">
        <v>15</v>
      </c>
      <c r="O25" s="28" t="s">
        <v>15</v>
      </c>
      <c r="P25" s="28"/>
      <c r="Q25" s="28" t="s">
        <v>15</v>
      </c>
    </row>
    <row r="26" spans="2:17" ht="21" x14ac:dyDescent="0.35">
      <c r="B26" s="106">
        <v>24</v>
      </c>
      <c r="C26" s="27" t="s">
        <v>93</v>
      </c>
      <c r="D26" s="27" t="s">
        <v>94</v>
      </c>
      <c r="E26" s="110">
        <v>45404</v>
      </c>
      <c r="F26" s="109">
        <v>0.66874999999999996</v>
      </c>
      <c r="G26" s="129" t="s">
        <v>3322</v>
      </c>
      <c r="H26" s="118" t="s">
        <v>3323</v>
      </c>
      <c r="I26" s="129" t="s">
        <v>3324</v>
      </c>
      <c r="J26" s="117">
        <v>2000</v>
      </c>
      <c r="K26" s="115">
        <v>1498000</v>
      </c>
      <c r="L26" s="28" t="s">
        <v>15</v>
      </c>
      <c r="M26" s="28" t="s">
        <v>15</v>
      </c>
      <c r="N26" s="28" t="s">
        <v>15</v>
      </c>
      <c r="O26" s="28" t="s">
        <v>15</v>
      </c>
      <c r="P26" s="28"/>
      <c r="Q26" s="28" t="s">
        <v>15</v>
      </c>
    </row>
    <row r="27" spans="2:17" ht="21" x14ac:dyDescent="0.35">
      <c r="B27" s="106">
        <v>25</v>
      </c>
      <c r="C27" s="27" t="s">
        <v>93</v>
      </c>
      <c r="D27" s="27" t="s">
        <v>94</v>
      </c>
      <c r="E27" s="110">
        <v>45405</v>
      </c>
      <c r="F27" s="109">
        <v>6.3194444444444442E-2</v>
      </c>
      <c r="G27" s="129" t="s">
        <v>3325</v>
      </c>
      <c r="H27" s="118" t="s">
        <v>3326</v>
      </c>
      <c r="I27" s="129" t="s">
        <v>3327</v>
      </c>
      <c r="J27" s="117">
        <v>5500</v>
      </c>
      <c r="K27" s="115">
        <v>1194500</v>
      </c>
      <c r="L27" s="28" t="s">
        <v>15</v>
      </c>
      <c r="M27" s="28" t="s">
        <v>15</v>
      </c>
      <c r="N27" s="28" t="s">
        <v>15</v>
      </c>
      <c r="O27" s="28" t="s">
        <v>15</v>
      </c>
      <c r="P27" s="28"/>
      <c r="Q27" s="28" t="s">
        <v>15</v>
      </c>
    </row>
    <row r="28" spans="2:17" ht="21" x14ac:dyDescent="0.35">
      <c r="B28" s="106">
        <v>26</v>
      </c>
      <c r="C28" s="27" t="s">
        <v>93</v>
      </c>
      <c r="D28" s="27" t="s">
        <v>94</v>
      </c>
      <c r="E28" s="110">
        <v>45405</v>
      </c>
      <c r="F28" s="109">
        <v>0.58472222222222225</v>
      </c>
      <c r="G28" s="129" t="s">
        <v>3328</v>
      </c>
      <c r="H28" s="118" t="s">
        <v>3329</v>
      </c>
      <c r="I28" s="129" t="s">
        <v>3330</v>
      </c>
      <c r="J28" s="117" t="s">
        <v>20</v>
      </c>
      <c r="K28" s="115">
        <v>200000</v>
      </c>
      <c r="L28" s="28" t="s">
        <v>15</v>
      </c>
      <c r="M28" s="28" t="s">
        <v>15</v>
      </c>
      <c r="N28" s="28" t="s">
        <v>15</v>
      </c>
      <c r="O28" s="28" t="s">
        <v>15</v>
      </c>
      <c r="P28" s="28"/>
      <c r="Q28" s="28" t="s">
        <v>15</v>
      </c>
    </row>
    <row r="29" spans="2:17" ht="21" x14ac:dyDescent="0.35">
      <c r="B29" s="106">
        <v>27</v>
      </c>
      <c r="C29" s="27" t="s">
        <v>93</v>
      </c>
      <c r="D29" s="27" t="s">
        <v>94</v>
      </c>
      <c r="E29" s="110">
        <v>45408</v>
      </c>
      <c r="F29" s="109">
        <v>0.51180555555555551</v>
      </c>
      <c r="G29" s="129" t="s">
        <v>3331</v>
      </c>
      <c r="H29" s="118" t="s">
        <v>3320</v>
      </c>
      <c r="I29" s="129" t="s">
        <v>3332</v>
      </c>
      <c r="J29" s="117">
        <v>1500</v>
      </c>
      <c r="K29" s="115">
        <v>2998500</v>
      </c>
      <c r="L29" s="28" t="s">
        <v>15</v>
      </c>
      <c r="M29" s="28" t="s">
        <v>15</v>
      </c>
      <c r="N29" s="28" t="s">
        <v>15</v>
      </c>
      <c r="O29" s="28" t="s">
        <v>15</v>
      </c>
      <c r="P29" s="28"/>
      <c r="Q29" s="28" t="s">
        <v>15</v>
      </c>
    </row>
    <row r="30" spans="2:17" ht="21" x14ac:dyDescent="0.35">
      <c r="B30" s="106">
        <v>28</v>
      </c>
      <c r="C30" s="27" t="s">
        <v>93</v>
      </c>
      <c r="D30" s="27" t="s">
        <v>94</v>
      </c>
      <c r="E30" s="110">
        <v>45408</v>
      </c>
      <c r="F30" s="109">
        <v>0.71875</v>
      </c>
      <c r="G30" s="129" t="s">
        <v>3333</v>
      </c>
      <c r="H30" s="118" t="s">
        <v>3334</v>
      </c>
      <c r="I30" s="129" t="s">
        <v>3335</v>
      </c>
      <c r="J30" s="117">
        <v>2500</v>
      </c>
      <c r="K30" s="115">
        <v>997500</v>
      </c>
      <c r="L30" s="28" t="s">
        <v>15</v>
      </c>
      <c r="M30" s="28" t="s">
        <v>15</v>
      </c>
      <c r="N30" s="28" t="s">
        <v>15</v>
      </c>
      <c r="O30" s="28" t="s">
        <v>15</v>
      </c>
      <c r="P30" s="28"/>
      <c r="Q30" s="28" t="s">
        <v>15</v>
      </c>
    </row>
    <row r="31" spans="2:17" ht="21" x14ac:dyDescent="0.35">
      <c r="B31" s="106">
        <v>29</v>
      </c>
      <c r="C31" s="27" t="s">
        <v>93</v>
      </c>
      <c r="D31" s="27" t="s">
        <v>94</v>
      </c>
      <c r="E31" s="110">
        <v>45410</v>
      </c>
      <c r="F31" s="109">
        <v>0.27569444444444446</v>
      </c>
      <c r="G31" s="129" t="s">
        <v>3336</v>
      </c>
      <c r="H31" s="118" t="s">
        <v>3337</v>
      </c>
      <c r="I31" s="121"/>
      <c r="J31" s="117">
        <v>5000</v>
      </c>
      <c r="K31" s="115">
        <v>795000</v>
      </c>
      <c r="L31" s="28" t="s">
        <v>15</v>
      </c>
      <c r="M31" s="28" t="s">
        <v>15</v>
      </c>
      <c r="N31" s="28" t="s">
        <v>15</v>
      </c>
      <c r="O31" s="28" t="s">
        <v>15</v>
      </c>
      <c r="P31" s="28"/>
      <c r="Q31" s="28" t="s">
        <v>15</v>
      </c>
    </row>
    <row r="32" spans="2:17" ht="21" x14ac:dyDescent="0.35">
      <c r="B32" s="106"/>
      <c r="C32" s="27" t="s">
        <v>93</v>
      </c>
      <c r="D32" s="27" t="s">
        <v>94</v>
      </c>
      <c r="E32" s="110"/>
      <c r="F32" s="109"/>
      <c r="G32" s="129"/>
      <c r="H32" s="118"/>
      <c r="I32" s="121" t="s">
        <v>3338</v>
      </c>
      <c r="J32" s="117"/>
      <c r="K32" s="115"/>
      <c r="L32" s="28"/>
      <c r="M32" s="28"/>
      <c r="N32" s="28"/>
      <c r="O32" s="28"/>
      <c r="P32" s="28" t="s">
        <v>20</v>
      </c>
      <c r="Q32" s="28"/>
    </row>
    <row r="33" spans="2:17" ht="21" x14ac:dyDescent="0.35">
      <c r="B33" s="106">
        <v>30</v>
      </c>
      <c r="C33" s="27" t="s">
        <v>93</v>
      </c>
      <c r="D33" s="27" t="s">
        <v>584</v>
      </c>
      <c r="E33" s="110">
        <v>45384</v>
      </c>
      <c r="F33" s="109">
        <v>0.57499999999999996</v>
      </c>
      <c r="G33" s="113" t="s">
        <v>3339</v>
      </c>
      <c r="H33" s="113" t="s">
        <v>3340</v>
      </c>
      <c r="I33" s="113" t="s">
        <v>3341</v>
      </c>
      <c r="J33" s="115">
        <v>5000</v>
      </c>
      <c r="K33" s="115">
        <v>95000</v>
      </c>
      <c r="L33" s="28" t="s">
        <v>23</v>
      </c>
      <c r="M33" s="28" t="s">
        <v>23</v>
      </c>
      <c r="N33" s="28" t="s">
        <v>23</v>
      </c>
      <c r="O33" s="28" t="s">
        <v>23</v>
      </c>
      <c r="P33" s="28" t="s">
        <v>23</v>
      </c>
      <c r="Q33" s="28" t="s">
        <v>23</v>
      </c>
    </row>
    <row r="34" spans="2:17" ht="21" x14ac:dyDescent="0.35">
      <c r="B34" s="106">
        <v>31</v>
      </c>
      <c r="C34" s="27" t="s">
        <v>93</v>
      </c>
      <c r="D34" s="27" t="s">
        <v>584</v>
      </c>
      <c r="E34" s="110">
        <v>45384</v>
      </c>
      <c r="F34" s="109">
        <v>0.62430555555555556</v>
      </c>
      <c r="G34" s="113" t="s">
        <v>3342</v>
      </c>
      <c r="H34" s="113" t="s">
        <v>2567</v>
      </c>
      <c r="I34" s="104" t="s">
        <v>3343</v>
      </c>
      <c r="J34" s="115">
        <v>10000</v>
      </c>
      <c r="K34" s="115">
        <v>90000</v>
      </c>
      <c r="L34" s="28" t="s">
        <v>23</v>
      </c>
      <c r="M34" s="28" t="s">
        <v>23</v>
      </c>
      <c r="N34" s="28" t="s">
        <v>23</v>
      </c>
      <c r="O34" s="28" t="s">
        <v>23</v>
      </c>
      <c r="P34" s="28" t="s">
        <v>23</v>
      </c>
      <c r="Q34" s="28" t="s">
        <v>23</v>
      </c>
    </row>
    <row r="35" spans="2:17" ht="21" x14ac:dyDescent="0.35">
      <c r="B35" s="106">
        <v>32</v>
      </c>
      <c r="C35" s="27" t="s">
        <v>93</v>
      </c>
      <c r="D35" s="27" t="s">
        <v>584</v>
      </c>
      <c r="E35" s="110">
        <v>45385</v>
      </c>
      <c r="F35" s="109">
        <v>0.59722222222222221</v>
      </c>
      <c r="G35" s="113" t="s">
        <v>3344</v>
      </c>
      <c r="H35" s="113" t="s">
        <v>3345</v>
      </c>
      <c r="I35" s="113" t="s">
        <v>3346</v>
      </c>
      <c r="J35" s="115">
        <v>50000</v>
      </c>
      <c r="K35" s="115">
        <v>11950000</v>
      </c>
      <c r="L35" s="28" t="s">
        <v>23</v>
      </c>
      <c r="M35" s="28" t="s">
        <v>23</v>
      </c>
      <c r="N35" s="28" t="s">
        <v>23</v>
      </c>
      <c r="O35" s="28" t="s">
        <v>23</v>
      </c>
      <c r="P35" s="28" t="s">
        <v>23</v>
      </c>
      <c r="Q35" s="28" t="s">
        <v>23</v>
      </c>
    </row>
    <row r="36" spans="2:17" ht="21" x14ac:dyDescent="0.35">
      <c r="B36" s="106">
        <v>33</v>
      </c>
      <c r="C36" s="27" t="s">
        <v>93</v>
      </c>
      <c r="D36" s="27" t="s">
        <v>584</v>
      </c>
      <c r="E36" s="110">
        <v>45394</v>
      </c>
      <c r="F36" s="28">
        <v>0.52968749999999998</v>
      </c>
      <c r="G36" s="113" t="s">
        <v>3347</v>
      </c>
      <c r="H36" s="113" t="s">
        <v>3348</v>
      </c>
      <c r="I36" s="104" t="s">
        <v>3349</v>
      </c>
      <c r="J36" s="115">
        <v>480164</v>
      </c>
      <c r="K36" s="115">
        <v>369836</v>
      </c>
      <c r="L36" s="28" t="s">
        <v>23</v>
      </c>
      <c r="M36" s="28" t="s">
        <v>23</v>
      </c>
      <c r="N36" s="28" t="s">
        <v>23</v>
      </c>
      <c r="O36" s="28" t="s">
        <v>23</v>
      </c>
      <c r="P36" s="28" t="s">
        <v>23</v>
      </c>
      <c r="Q36" s="28" t="s">
        <v>23</v>
      </c>
    </row>
    <row r="37" spans="2:17" ht="21" x14ac:dyDescent="0.35">
      <c r="B37" s="106">
        <v>34</v>
      </c>
      <c r="C37" s="27" t="s">
        <v>93</v>
      </c>
      <c r="D37" s="27" t="s">
        <v>584</v>
      </c>
      <c r="E37" s="110">
        <v>45396</v>
      </c>
      <c r="F37" s="28">
        <v>7.2337962962962965E-2</v>
      </c>
      <c r="G37" s="113" t="s">
        <v>3350</v>
      </c>
      <c r="H37" s="104" t="s">
        <v>3351</v>
      </c>
      <c r="I37" s="113" t="s">
        <v>3027</v>
      </c>
      <c r="J37" s="115">
        <v>10000</v>
      </c>
      <c r="K37" s="115">
        <v>5990000</v>
      </c>
      <c r="L37" s="28" t="s">
        <v>23</v>
      </c>
      <c r="M37" s="28" t="s">
        <v>23</v>
      </c>
      <c r="N37" s="28" t="s">
        <v>23</v>
      </c>
      <c r="O37" s="28" t="s">
        <v>23</v>
      </c>
      <c r="P37" s="28" t="s">
        <v>23</v>
      </c>
      <c r="Q37" s="28" t="s">
        <v>23</v>
      </c>
    </row>
    <row r="38" spans="2:17" ht="21" x14ac:dyDescent="0.35">
      <c r="B38" s="106">
        <v>35</v>
      </c>
      <c r="C38" s="27" t="s">
        <v>93</v>
      </c>
      <c r="D38" s="27" t="s">
        <v>584</v>
      </c>
      <c r="E38" s="110">
        <v>45398</v>
      </c>
      <c r="F38" s="28">
        <v>6.9988425925925926E-2</v>
      </c>
      <c r="G38" s="113" t="s">
        <v>3352</v>
      </c>
      <c r="H38" s="113" t="s">
        <v>2567</v>
      </c>
      <c r="I38" s="113" t="s">
        <v>3353</v>
      </c>
      <c r="J38" s="115">
        <v>60000</v>
      </c>
      <c r="K38" s="115">
        <v>9040000</v>
      </c>
      <c r="L38" s="28" t="s">
        <v>23</v>
      </c>
      <c r="M38" s="28" t="s">
        <v>23</v>
      </c>
      <c r="N38" s="28" t="s">
        <v>23</v>
      </c>
      <c r="O38" s="28" t="s">
        <v>23</v>
      </c>
      <c r="P38" s="28" t="s">
        <v>23</v>
      </c>
      <c r="Q38" s="28" t="s">
        <v>23</v>
      </c>
    </row>
    <row r="39" spans="2:17" ht="21" x14ac:dyDescent="0.35">
      <c r="B39" s="106">
        <v>36</v>
      </c>
      <c r="C39" s="27" t="s">
        <v>93</v>
      </c>
      <c r="D39" s="27" t="s">
        <v>584</v>
      </c>
      <c r="E39" s="110">
        <v>45399</v>
      </c>
      <c r="F39" s="28">
        <v>7.2627314814814811E-2</v>
      </c>
      <c r="G39" s="113" t="s">
        <v>3354</v>
      </c>
      <c r="H39" s="113" t="s">
        <v>3355</v>
      </c>
      <c r="I39" s="113" t="s">
        <v>3356</v>
      </c>
      <c r="J39" s="115">
        <v>2000</v>
      </c>
      <c r="K39" s="115">
        <v>23000</v>
      </c>
      <c r="L39" s="28" t="s">
        <v>23</v>
      </c>
      <c r="M39" s="28" t="s">
        <v>23</v>
      </c>
      <c r="N39" s="28" t="s">
        <v>23</v>
      </c>
      <c r="O39" s="28" t="s">
        <v>23</v>
      </c>
      <c r="P39" s="28" t="s">
        <v>23</v>
      </c>
      <c r="Q39" s="28" t="s">
        <v>23</v>
      </c>
    </row>
    <row r="40" spans="2:17" ht="21" x14ac:dyDescent="0.35">
      <c r="B40" s="27">
        <v>37</v>
      </c>
      <c r="C40" s="27" t="s">
        <v>93</v>
      </c>
      <c r="D40" s="27" t="s">
        <v>584</v>
      </c>
      <c r="E40" s="110">
        <v>45400</v>
      </c>
      <c r="F40" s="28">
        <v>7.1168981481481486E-2</v>
      </c>
      <c r="G40" s="113" t="s">
        <v>3357</v>
      </c>
      <c r="H40" s="104" t="s">
        <v>3358</v>
      </c>
      <c r="I40" s="104" t="s">
        <v>3027</v>
      </c>
      <c r="J40" s="115">
        <v>1000</v>
      </c>
      <c r="K40" s="115">
        <v>99000</v>
      </c>
      <c r="L40" s="28" t="s">
        <v>23</v>
      </c>
      <c r="M40" s="28" t="s">
        <v>23</v>
      </c>
      <c r="N40" s="28" t="s">
        <v>23</v>
      </c>
      <c r="O40" s="28" t="s">
        <v>23</v>
      </c>
      <c r="P40" s="28" t="s">
        <v>23</v>
      </c>
      <c r="Q40" s="28" t="s">
        <v>23</v>
      </c>
    </row>
    <row r="41" spans="2:17" ht="21" x14ac:dyDescent="0.35">
      <c r="B41" s="27">
        <v>38</v>
      </c>
      <c r="C41" s="27" t="s">
        <v>93</v>
      </c>
      <c r="D41" s="27" t="s">
        <v>584</v>
      </c>
      <c r="E41" s="110">
        <v>45401</v>
      </c>
      <c r="F41" s="28">
        <v>6.637731481481482E-2</v>
      </c>
      <c r="G41" s="113" t="s">
        <v>3359</v>
      </c>
      <c r="H41" s="104" t="s">
        <v>2997</v>
      </c>
      <c r="I41" s="104" t="s">
        <v>3360</v>
      </c>
      <c r="J41" s="115">
        <v>70000</v>
      </c>
      <c r="K41" s="115">
        <v>30000</v>
      </c>
      <c r="L41" s="28" t="s">
        <v>23</v>
      </c>
      <c r="M41" s="28" t="s">
        <v>23</v>
      </c>
      <c r="N41" s="28" t="s">
        <v>23</v>
      </c>
      <c r="O41" s="28" t="s">
        <v>23</v>
      </c>
      <c r="P41" s="28" t="s">
        <v>23</v>
      </c>
      <c r="Q41" s="28" t="s">
        <v>23</v>
      </c>
    </row>
    <row r="42" spans="2:17" ht="21" x14ac:dyDescent="0.35">
      <c r="B42" s="27">
        <v>39</v>
      </c>
      <c r="C42" s="27" t="s">
        <v>93</v>
      </c>
      <c r="D42" s="27" t="s">
        <v>584</v>
      </c>
      <c r="E42" s="110">
        <v>45402</v>
      </c>
      <c r="F42" s="28">
        <v>7.2685185185185186E-2</v>
      </c>
      <c r="G42" s="113" t="s">
        <v>3361</v>
      </c>
      <c r="H42" s="104" t="s">
        <v>406</v>
      </c>
      <c r="I42" s="104" t="s">
        <v>3013</v>
      </c>
      <c r="J42" s="115">
        <v>30000</v>
      </c>
      <c r="K42" s="115">
        <v>520000</v>
      </c>
      <c r="L42" s="28" t="s">
        <v>23</v>
      </c>
      <c r="M42" s="28" t="s">
        <v>23</v>
      </c>
      <c r="N42" s="28" t="s">
        <v>23</v>
      </c>
      <c r="O42" s="28" t="s">
        <v>23</v>
      </c>
      <c r="P42" s="28" t="s">
        <v>23</v>
      </c>
      <c r="Q42" s="28" t="s">
        <v>23</v>
      </c>
    </row>
    <row r="43" spans="2:17" ht="21" x14ac:dyDescent="0.35">
      <c r="B43" s="27">
        <v>40</v>
      </c>
      <c r="C43" s="27" t="s">
        <v>93</v>
      </c>
      <c r="D43" s="27" t="s">
        <v>584</v>
      </c>
      <c r="E43" s="110">
        <v>45403</v>
      </c>
      <c r="F43" s="28">
        <v>7.2025462962962958E-2</v>
      </c>
      <c r="G43" s="113" t="s">
        <v>3362</v>
      </c>
      <c r="H43" s="104" t="s">
        <v>3358</v>
      </c>
      <c r="I43" s="104" t="s">
        <v>3027</v>
      </c>
      <c r="J43" s="115">
        <v>1000</v>
      </c>
      <c r="K43" s="115">
        <v>199000</v>
      </c>
      <c r="L43" s="28" t="s">
        <v>23</v>
      </c>
      <c r="M43" s="28" t="s">
        <v>23</v>
      </c>
      <c r="N43" s="28" t="s">
        <v>23</v>
      </c>
      <c r="O43" s="28" t="s">
        <v>23</v>
      </c>
      <c r="P43" s="28" t="s">
        <v>23</v>
      </c>
      <c r="Q43" s="28" t="s">
        <v>23</v>
      </c>
    </row>
    <row r="44" spans="2:17" ht="21" x14ac:dyDescent="0.35">
      <c r="B44" s="106">
        <v>41</v>
      </c>
      <c r="C44" s="27" t="s">
        <v>93</v>
      </c>
      <c r="D44" s="27" t="s">
        <v>584</v>
      </c>
      <c r="E44" s="110">
        <v>45403</v>
      </c>
      <c r="F44" s="109">
        <v>0.60833333333333328</v>
      </c>
      <c r="G44" s="113" t="s">
        <v>3363</v>
      </c>
      <c r="H44" s="113" t="s">
        <v>3364</v>
      </c>
      <c r="I44" s="113" t="s">
        <v>396</v>
      </c>
      <c r="J44" s="115">
        <v>170000</v>
      </c>
      <c r="K44" s="115">
        <v>330000</v>
      </c>
      <c r="L44" s="28" t="s">
        <v>23</v>
      </c>
      <c r="M44" s="28" t="s">
        <v>23</v>
      </c>
      <c r="N44" s="28" t="s">
        <v>23</v>
      </c>
      <c r="O44" s="28" t="s">
        <v>23</v>
      </c>
      <c r="P44" s="28" t="s">
        <v>23</v>
      </c>
      <c r="Q44" s="28" t="s">
        <v>23</v>
      </c>
    </row>
    <row r="45" spans="2:17" ht="21" x14ac:dyDescent="0.35">
      <c r="B45" s="27">
        <v>42</v>
      </c>
      <c r="C45" s="27" t="s">
        <v>93</v>
      </c>
      <c r="D45" s="27" t="s">
        <v>584</v>
      </c>
      <c r="E45" s="110">
        <v>45403</v>
      </c>
      <c r="F45" s="109">
        <v>0.87291666666666667</v>
      </c>
      <c r="G45" s="113" t="s">
        <v>3365</v>
      </c>
      <c r="H45" s="104" t="s">
        <v>2554</v>
      </c>
      <c r="I45" s="104" t="s">
        <v>2555</v>
      </c>
      <c r="J45" s="115" t="s">
        <v>23</v>
      </c>
      <c r="K45" s="115">
        <v>5000000</v>
      </c>
      <c r="L45" s="28" t="s">
        <v>23</v>
      </c>
      <c r="M45" s="28" t="s">
        <v>23</v>
      </c>
      <c r="N45" s="28" t="s">
        <v>23</v>
      </c>
      <c r="O45" s="28" t="s">
        <v>23</v>
      </c>
      <c r="P45" s="28">
        <v>15</v>
      </c>
      <c r="Q45" s="28" t="s">
        <v>23</v>
      </c>
    </row>
    <row r="46" spans="2:17" ht="21" x14ac:dyDescent="0.35">
      <c r="B46" s="27">
        <v>43</v>
      </c>
      <c r="C46" s="27" t="s">
        <v>93</v>
      </c>
      <c r="D46" s="27" t="s">
        <v>584</v>
      </c>
      <c r="E46" s="110">
        <v>45404</v>
      </c>
      <c r="F46" s="109">
        <v>0.60763888888888884</v>
      </c>
      <c r="G46" s="113" t="s">
        <v>3366</v>
      </c>
      <c r="H46" s="104" t="s">
        <v>2567</v>
      </c>
      <c r="I46" s="104" t="s">
        <v>3367</v>
      </c>
      <c r="J46" s="115">
        <v>5000</v>
      </c>
      <c r="K46" s="115">
        <v>495000</v>
      </c>
      <c r="L46" s="28" t="s">
        <v>23</v>
      </c>
      <c r="M46" s="28" t="s">
        <v>23</v>
      </c>
      <c r="N46" s="28" t="s">
        <v>23</v>
      </c>
      <c r="O46" s="28" t="s">
        <v>23</v>
      </c>
      <c r="P46" s="28" t="s">
        <v>23</v>
      </c>
      <c r="Q46" s="28" t="s">
        <v>23</v>
      </c>
    </row>
    <row r="47" spans="2:17" ht="21" x14ac:dyDescent="0.35">
      <c r="B47" s="27">
        <v>44</v>
      </c>
      <c r="C47" s="27" t="s">
        <v>93</v>
      </c>
      <c r="D47" s="27" t="s">
        <v>584</v>
      </c>
      <c r="E47" s="110">
        <v>45405</v>
      </c>
      <c r="F47" s="109">
        <v>0.65763888888888888</v>
      </c>
      <c r="G47" s="113" t="s">
        <v>3347</v>
      </c>
      <c r="H47" s="104" t="s">
        <v>2997</v>
      </c>
      <c r="I47" s="104" t="s">
        <v>3368</v>
      </c>
      <c r="J47" s="115">
        <v>50000</v>
      </c>
      <c r="K47" s="115">
        <v>150000</v>
      </c>
      <c r="L47" s="28" t="s">
        <v>23</v>
      </c>
      <c r="M47" s="28" t="s">
        <v>23</v>
      </c>
      <c r="N47" s="28" t="s">
        <v>23</v>
      </c>
      <c r="O47" s="28" t="s">
        <v>23</v>
      </c>
      <c r="P47" s="28" t="s">
        <v>23</v>
      </c>
      <c r="Q47" s="28" t="s">
        <v>23</v>
      </c>
    </row>
    <row r="48" spans="2:17" ht="21" x14ac:dyDescent="0.35">
      <c r="B48" s="106">
        <v>45</v>
      </c>
      <c r="C48" s="27" t="s">
        <v>93</v>
      </c>
      <c r="D48" s="27" t="s">
        <v>584</v>
      </c>
      <c r="E48" s="110">
        <v>45407</v>
      </c>
      <c r="F48" s="28">
        <v>6.7488425925925924E-2</v>
      </c>
      <c r="G48" s="113" t="s">
        <v>3369</v>
      </c>
      <c r="H48" s="113" t="s">
        <v>2567</v>
      </c>
      <c r="I48" s="113" t="s">
        <v>3370</v>
      </c>
      <c r="J48" s="115">
        <v>100000</v>
      </c>
      <c r="K48" s="115">
        <v>9900000</v>
      </c>
      <c r="L48" s="28" t="s">
        <v>23</v>
      </c>
      <c r="M48" s="28" t="s">
        <v>23</v>
      </c>
      <c r="N48" s="28" t="s">
        <v>23</v>
      </c>
      <c r="O48" s="28" t="s">
        <v>23</v>
      </c>
      <c r="P48" s="28" t="s">
        <v>23</v>
      </c>
      <c r="Q48" s="28" t="s">
        <v>23</v>
      </c>
    </row>
    <row r="49" spans="2:17" ht="21" x14ac:dyDescent="0.35">
      <c r="B49" s="106"/>
      <c r="C49" s="27" t="s">
        <v>93</v>
      </c>
      <c r="D49" s="27" t="s">
        <v>584</v>
      </c>
      <c r="E49" s="110"/>
      <c r="F49" s="112"/>
      <c r="G49" s="113" t="s">
        <v>3371</v>
      </c>
      <c r="H49" s="113"/>
      <c r="I49" s="113"/>
      <c r="J49" s="115"/>
      <c r="K49" s="115"/>
      <c r="L49" s="28"/>
      <c r="M49" s="28"/>
      <c r="N49" s="28"/>
      <c r="O49" s="28"/>
      <c r="P49" s="28"/>
      <c r="Q49" s="28"/>
    </row>
    <row r="50" spans="2:17" ht="21" x14ac:dyDescent="0.35">
      <c r="B50" s="27">
        <v>46</v>
      </c>
      <c r="C50" s="27" t="s">
        <v>93</v>
      </c>
      <c r="D50" s="27" t="s">
        <v>584</v>
      </c>
      <c r="E50" s="110">
        <v>45407</v>
      </c>
      <c r="F50" s="109">
        <v>0.80972222222222223</v>
      </c>
      <c r="G50" s="113" t="s">
        <v>2553</v>
      </c>
      <c r="H50" s="104" t="s">
        <v>2554</v>
      </c>
      <c r="I50" s="104" t="s">
        <v>2555</v>
      </c>
      <c r="J50" s="115">
        <v>10000</v>
      </c>
      <c r="K50" s="115">
        <v>990000</v>
      </c>
      <c r="L50" s="28" t="s">
        <v>23</v>
      </c>
      <c r="M50" s="28" t="s">
        <v>23</v>
      </c>
      <c r="N50" s="28" t="s">
        <v>23</v>
      </c>
      <c r="O50" s="28" t="s">
        <v>23</v>
      </c>
      <c r="P50" s="28" t="s">
        <v>23</v>
      </c>
      <c r="Q50" s="28" t="s">
        <v>23</v>
      </c>
    </row>
    <row r="51" spans="2:17" ht="21" x14ac:dyDescent="0.35">
      <c r="B51" s="27">
        <v>47</v>
      </c>
      <c r="C51" s="27" t="s">
        <v>93</v>
      </c>
      <c r="D51" s="27" t="s">
        <v>584</v>
      </c>
      <c r="E51" s="110">
        <v>45408</v>
      </c>
      <c r="F51" s="28">
        <v>6.6111111111111107E-2</v>
      </c>
      <c r="G51" s="113" t="s">
        <v>2556</v>
      </c>
      <c r="H51" s="104" t="s">
        <v>406</v>
      </c>
      <c r="I51" s="104" t="s">
        <v>2557</v>
      </c>
      <c r="J51" s="115">
        <v>250000</v>
      </c>
      <c r="K51" s="115">
        <v>24750000</v>
      </c>
      <c r="L51" s="28" t="s">
        <v>23</v>
      </c>
      <c r="M51" s="28" t="s">
        <v>23</v>
      </c>
      <c r="N51" s="28" t="s">
        <v>23</v>
      </c>
      <c r="O51" s="28" t="s">
        <v>23</v>
      </c>
      <c r="P51" s="28" t="s">
        <v>23</v>
      </c>
      <c r="Q51" s="28" t="s">
        <v>23</v>
      </c>
    </row>
    <row r="52" spans="2:17" ht="21" x14ac:dyDescent="0.35">
      <c r="B52" s="27">
        <v>48</v>
      </c>
      <c r="C52" s="27" t="s">
        <v>93</v>
      </c>
      <c r="D52" s="27" t="s">
        <v>584</v>
      </c>
      <c r="E52" s="110">
        <v>45408</v>
      </c>
      <c r="F52" s="28">
        <v>7.1932870370370369E-2</v>
      </c>
      <c r="G52" s="113" t="s">
        <v>2558</v>
      </c>
      <c r="H52" s="104" t="s">
        <v>2559</v>
      </c>
      <c r="I52" s="104" t="s">
        <v>2560</v>
      </c>
      <c r="J52" s="115">
        <v>5000</v>
      </c>
      <c r="K52" s="115">
        <v>45000</v>
      </c>
      <c r="L52" s="28" t="s">
        <v>23</v>
      </c>
      <c r="M52" s="28" t="s">
        <v>23</v>
      </c>
      <c r="N52" s="28" t="s">
        <v>23</v>
      </c>
      <c r="O52" s="28" t="s">
        <v>23</v>
      </c>
      <c r="P52" s="28" t="s">
        <v>23</v>
      </c>
      <c r="Q52" s="28" t="s">
        <v>23</v>
      </c>
    </row>
    <row r="53" spans="2:17" ht="21" x14ac:dyDescent="0.35">
      <c r="B53" s="27">
        <v>49</v>
      </c>
      <c r="C53" s="27" t="s">
        <v>93</v>
      </c>
      <c r="D53" s="27" t="s">
        <v>584</v>
      </c>
      <c r="E53" s="110">
        <v>45408</v>
      </c>
      <c r="F53" s="28">
        <v>0.61024305555555558</v>
      </c>
      <c r="G53" s="113" t="s">
        <v>2561</v>
      </c>
      <c r="H53" s="104" t="s">
        <v>406</v>
      </c>
      <c r="I53" s="104" t="s">
        <v>2562</v>
      </c>
      <c r="J53" s="115">
        <v>160000</v>
      </c>
      <c r="K53" s="115">
        <v>200000</v>
      </c>
      <c r="L53" s="28" t="s">
        <v>23</v>
      </c>
      <c r="M53" s="28" t="s">
        <v>23</v>
      </c>
      <c r="N53" s="28" t="s">
        <v>23</v>
      </c>
      <c r="O53" s="28" t="s">
        <v>23</v>
      </c>
      <c r="P53" s="28" t="s">
        <v>23</v>
      </c>
      <c r="Q53" s="28" t="s">
        <v>23</v>
      </c>
    </row>
    <row r="54" spans="2:17" ht="21" x14ac:dyDescent="0.35">
      <c r="B54" s="27">
        <v>50</v>
      </c>
      <c r="C54" s="27" t="s">
        <v>93</v>
      </c>
      <c r="D54" s="27" t="s">
        <v>584</v>
      </c>
      <c r="E54" s="110">
        <v>45411</v>
      </c>
      <c r="F54" s="28">
        <v>7.2662037037037039E-2</v>
      </c>
      <c r="G54" s="113" t="s">
        <v>2563</v>
      </c>
      <c r="H54" s="104" t="s">
        <v>2564</v>
      </c>
      <c r="I54" s="104" t="s">
        <v>2565</v>
      </c>
      <c r="J54" s="115">
        <v>20000</v>
      </c>
      <c r="K54" s="115">
        <v>480000</v>
      </c>
      <c r="L54" s="28" t="s">
        <v>23</v>
      </c>
      <c r="M54" s="28" t="s">
        <v>23</v>
      </c>
      <c r="N54" s="28" t="s">
        <v>23</v>
      </c>
      <c r="O54" s="28" t="s">
        <v>23</v>
      </c>
      <c r="P54" s="28" t="s">
        <v>23</v>
      </c>
      <c r="Q54" s="28" t="s">
        <v>23</v>
      </c>
    </row>
    <row r="55" spans="2:17" ht="21" x14ac:dyDescent="0.35">
      <c r="B55" s="27">
        <v>51</v>
      </c>
      <c r="C55" s="27" t="s">
        <v>93</v>
      </c>
      <c r="D55" s="27" t="s">
        <v>584</v>
      </c>
      <c r="E55" s="110">
        <v>45411</v>
      </c>
      <c r="F55" s="109">
        <v>0.6479166666666667</v>
      </c>
      <c r="G55" s="113" t="s">
        <v>2566</v>
      </c>
      <c r="H55" s="104" t="s">
        <v>2567</v>
      </c>
      <c r="I55" s="104" t="s">
        <v>2568</v>
      </c>
      <c r="J55" s="115">
        <v>80000</v>
      </c>
      <c r="K55" s="115">
        <v>420000</v>
      </c>
      <c r="L55" s="28" t="s">
        <v>23</v>
      </c>
      <c r="M55" s="28" t="s">
        <v>23</v>
      </c>
      <c r="N55" s="28" t="s">
        <v>23</v>
      </c>
      <c r="O55" s="28" t="s">
        <v>23</v>
      </c>
      <c r="P55" s="28">
        <v>4</v>
      </c>
      <c r="Q55" s="28" t="s">
        <v>23</v>
      </c>
    </row>
    <row r="56" spans="2:17" ht="21" x14ac:dyDescent="0.35">
      <c r="B56" s="27">
        <v>52</v>
      </c>
      <c r="C56" s="27" t="s">
        <v>93</v>
      </c>
      <c r="D56" s="27" t="s">
        <v>1792</v>
      </c>
      <c r="E56" s="110">
        <v>45386</v>
      </c>
      <c r="F56" s="109">
        <v>0.62916666666666665</v>
      </c>
      <c r="G56" s="113" t="s">
        <v>2569</v>
      </c>
      <c r="H56" s="104" t="s">
        <v>2570</v>
      </c>
      <c r="I56" s="104" t="s">
        <v>2571</v>
      </c>
      <c r="J56" s="115" t="s">
        <v>1807</v>
      </c>
      <c r="K56" s="115" t="s">
        <v>1808</v>
      </c>
      <c r="L56" s="28" t="s">
        <v>23</v>
      </c>
      <c r="M56" s="28" t="s">
        <v>23</v>
      </c>
      <c r="N56" s="28" t="s">
        <v>23</v>
      </c>
      <c r="O56" s="28" t="s">
        <v>23</v>
      </c>
      <c r="P56" s="28" t="s">
        <v>23</v>
      </c>
      <c r="Q56" s="28" t="s">
        <v>23</v>
      </c>
    </row>
    <row r="57" spans="2:17" ht="21" x14ac:dyDescent="0.35">
      <c r="B57" s="27">
        <v>53</v>
      </c>
      <c r="C57" s="27" t="s">
        <v>93</v>
      </c>
      <c r="D57" s="27" t="s">
        <v>1792</v>
      </c>
      <c r="E57" s="110">
        <v>45388</v>
      </c>
      <c r="F57" s="109">
        <v>0.33333333333333331</v>
      </c>
      <c r="G57" s="113" t="s">
        <v>2572</v>
      </c>
      <c r="H57" s="104" t="s">
        <v>2573</v>
      </c>
      <c r="I57" s="104" t="s">
        <v>2574</v>
      </c>
      <c r="J57" s="115" t="s">
        <v>1809</v>
      </c>
      <c r="K57" s="115" t="s">
        <v>1810</v>
      </c>
      <c r="L57" s="28" t="s">
        <v>23</v>
      </c>
      <c r="M57" s="28" t="s">
        <v>23</v>
      </c>
      <c r="N57" s="28" t="s">
        <v>23</v>
      </c>
      <c r="O57" s="28" t="s">
        <v>23</v>
      </c>
      <c r="P57" s="28" t="s">
        <v>23</v>
      </c>
      <c r="Q57" s="28" t="s">
        <v>23</v>
      </c>
    </row>
    <row r="58" spans="2:17" ht="21" x14ac:dyDescent="0.35">
      <c r="B58" s="27">
        <v>54</v>
      </c>
      <c r="C58" s="27" t="s">
        <v>93</v>
      </c>
      <c r="D58" s="27" t="s">
        <v>1792</v>
      </c>
      <c r="E58" s="110">
        <v>45388</v>
      </c>
      <c r="F58" s="109">
        <v>0.79861111111111116</v>
      </c>
      <c r="G58" s="113" t="s">
        <v>2575</v>
      </c>
      <c r="H58" s="104" t="s">
        <v>406</v>
      </c>
      <c r="I58" s="104" t="s">
        <v>2576</v>
      </c>
      <c r="J58" s="115" t="s">
        <v>1811</v>
      </c>
      <c r="K58" s="115" t="s">
        <v>1812</v>
      </c>
      <c r="L58" s="28" t="s">
        <v>23</v>
      </c>
      <c r="M58" s="28" t="s">
        <v>23</v>
      </c>
      <c r="N58" s="28" t="s">
        <v>23</v>
      </c>
      <c r="O58" s="28" t="s">
        <v>23</v>
      </c>
      <c r="P58" s="28" t="s">
        <v>23</v>
      </c>
      <c r="Q58" s="28" t="s">
        <v>23</v>
      </c>
    </row>
    <row r="59" spans="2:17" ht="21" x14ac:dyDescent="0.35">
      <c r="B59" s="27">
        <v>55</v>
      </c>
      <c r="C59" s="27" t="s">
        <v>93</v>
      </c>
      <c r="D59" s="27" t="s">
        <v>1792</v>
      </c>
      <c r="E59" s="110">
        <v>45398</v>
      </c>
      <c r="F59" s="109">
        <v>0.51597222222222228</v>
      </c>
      <c r="G59" s="113" t="s">
        <v>2577</v>
      </c>
      <c r="H59" s="104" t="s">
        <v>2578</v>
      </c>
      <c r="I59" s="104" t="s">
        <v>2579</v>
      </c>
      <c r="J59" s="115" t="s">
        <v>1813</v>
      </c>
      <c r="K59" s="115" t="s">
        <v>1814</v>
      </c>
      <c r="L59" s="28" t="s">
        <v>23</v>
      </c>
      <c r="M59" s="28" t="s">
        <v>23</v>
      </c>
      <c r="N59" s="28" t="s">
        <v>23</v>
      </c>
      <c r="O59" s="28" t="s">
        <v>23</v>
      </c>
      <c r="P59" s="28" t="s">
        <v>23</v>
      </c>
      <c r="Q59" s="28" t="s">
        <v>23</v>
      </c>
    </row>
    <row r="60" spans="2:17" ht="21" x14ac:dyDescent="0.35">
      <c r="B60" s="27">
        <v>56</v>
      </c>
      <c r="C60" s="27" t="s">
        <v>93</v>
      </c>
      <c r="D60" s="27" t="s">
        <v>1792</v>
      </c>
      <c r="E60" s="110">
        <v>45399</v>
      </c>
      <c r="F60" s="109">
        <v>0.60763888888888884</v>
      </c>
      <c r="G60" s="113" t="s">
        <v>2580</v>
      </c>
      <c r="H60" s="127" t="s">
        <v>2581</v>
      </c>
      <c r="I60" s="127"/>
      <c r="J60" s="120"/>
      <c r="K60" s="120"/>
      <c r="L60" s="27"/>
      <c r="M60" s="27"/>
      <c r="N60" s="27"/>
      <c r="O60" s="27"/>
      <c r="P60" s="27"/>
      <c r="Q60" s="27"/>
    </row>
    <row r="61" spans="2:17" ht="21" x14ac:dyDescent="0.35">
      <c r="B61" s="27">
        <v>57</v>
      </c>
      <c r="C61" s="27" t="s">
        <v>93</v>
      </c>
      <c r="D61" s="27" t="s">
        <v>1792</v>
      </c>
      <c r="E61" s="110">
        <v>45400</v>
      </c>
      <c r="F61" s="109">
        <v>0.60138888888888886</v>
      </c>
      <c r="G61" s="113" t="s">
        <v>2582</v>
      </c>
      <c r="H61" s="104" t="s">
        <v>2570</v>
      </c>
      <c r="I61" s="104" t="s">
        <v>2583</v>
      </c>
      <c r="J61" s="115" t="s">
        <v>1815</v>
      </c>
      <c r="K61" s="115" t="s">
        <v>1816</v>
      </c>
      <c r="L61" s="28" t="s">
        <v>23</v>
      </c>
      <c r="M61" s="28" t="s">
        <v>23</v>
      </c>
      <c r="N61" s="28" t="s">
        <v>23</v>
      </c>
      <c r="O61" s="28" t="s">
        <v>23</v>
      </c>
      <c r="P61" s="28" t="s">
        <v>23</v>
      </c>
      <c r="Q61" s="28" t="s">
        <v>23</v>
      </c>
    </row>
    <row r="62" spans="2:17" ht="21" x14ac:dyDescent="0.35">
      <c r="B62" s="27">
        <v>58</v>
      </c>
      <c r="C62" s="27" t="s">
        <v>93</v>
      </c>
      <c r="D62" s="27" t="s">
        <v>1792</v>
      </c>
      <c r="E62" s="110">
        <v>45405</v>
      </c>
      <c r="F62" s="109">
        <v>0.65694444444444444</v>
      </c>
      <c r="G62" s="113" t="s">
        <v>2584</v>
      </c>
      <c r="H62" s="104" t="s">
        <v>2585</v>
      </c>
      <c r="I62" s="104" t="s">
        <v>2586</v>
      </c>
      <c r="J62" s="115" t="s">
        <v>1817</v>
      </c>
      <c r="K62" s="115" t="s">
        <v>1818</v>
      </c>
      <c r="L62" s="28" t="s">
        <v>23</v>
      </c>
      <c r="M62" s="28" t="s">
        <v>23</v>
      </c>
      <c r="N62" s="27">
        <v>1</v>
      </c>
      <c r="O62" s="27">
        <v>1</v>
      </c>
      <c r="P62" s="27">
        <v>1</v>
      </c>
      <c r="Q62" s="27">
        <v>1</v>
      </c>
    </row>
    <row r="63" spans="2:17" ht="21" x14ac:dyDescent="0.35">
      <c r="B63" s="27">
        <v>59</v>
      </c>
      <c r="C63" s="27" t="s">
        <v>93</v>
      </c>
      <c r="D63" s="27" t="s">
        <v>1792</v>
      </c>
      <c r="E63" s="110">
        <v>45406</v>
      </c>
      <c r="F63" s="109">
        <v>0.81597222222222221</v>
      </c>
      <c r="G63" s="113" t="s">
        <v>2587</v>
      </c>
      <c r="H63" s="104" t="s">
        <v>2578</v>
      </c>
      <c r="I63" s="104" t="s">
        <v>2588</v>
      </c>
      <c r="J63" s="115" t="s">
        <v>1819</v>
      </c>
      <c r="K63" s="115" t="s">
        <v>1820</v>
      </c>
      <c r="L63" s="28" t="s">
        <v>23</v>
      </c>
      <c r="M63" s="28" t="s">
        <v>23</v>
      </c>
      <c r="N63" s="28" t="s">
        <v>23</v>
      </c>
      <c r="O63" s="28" t="s">
        <v>23</v>
      </c>
      <c r="P63" s="28" t="s">
        <v>23</v>
      </c>
      <c r="Q63" s="28" t="s">
        <v>23</v>
      </c>
    </row>
    <row r="64" spans="2:17" ht="21" x14ac:dyDescent="0.35">
      <c r="B64" s="27">
        <v>60</v>
      </c>
      <c r="C64" s="27" t="s">
        <v>93</v>
      </c>
      <c r="D64" s="27" t="s">
        <v>1792</v>
      </c>
      <c r="E64" s="110">
        <v>45407</v>
      </c>
      <c r="F64" s="109">
        <v>0.52638888888888891</v>
      </c>
      <c r="G64" s="113" t="s">
        <v>2589</v>
      </c>
      <c r="H64" s="104" t="s">
        <v>406</v>
      </c>
      <c r="I64" s="104" t="s">
        <v>2590</v>
      </c>
      <c r="J64" s="115" t="s">
        <v>1821</v>
      </c>
      <c r="K64" s="115" t="s">
        <v>1822</v>
      </c>
      <c r="L64" s="28" t="s">
        <v>23</v>
      </c>
      <c r="M64" s="28" t="s">
        <v>23</v>
      </c>
      <c r="N64" s="28" t="s">
        <v>23</v>
      </c>
      <c r="O64" s="28" t="s">
        <v>23</v>
      </c>
      <c r="P64" s="28" t="s">
        <v>23</v>
      </c>
      <c r="Q64" s="28" t="s">
        <v>23</v>
      </c>
    </row>
    <row r="65" spans="2:17" ht="21" x14ac:dyDescent="0.35">
      <c r="B65" s="27">
        <v>61</v>
      </c>
      <c r="C65" s="27" t="s">
        <v>93</v>
      </c>
      <c r="D65" s="27" t="s">
        <v>1792</v>
      </c>
      <c r="E65" s="110">
        <v>45408</v>
      </c>
      <c r="F65" s="109">
        <v>0.96666666666666667</v>
      </c>
      <c r="G65" s="113" t="s">
        <v>2591</v>
      </c>
      <c r="H65" s="104" t="s">
        <v>2592</v>
      </c>
      <c r="I65" s="104" t="s">
        <v>2593</v>
      </c>
      <c r="J65" s="115" t="s">
        <v>28</v>
      </c>
      <c r="K65" s="115" t="s">
        <v>1808</v>
      </c>
      <c r="L65" s="28" t="s">
        <v>23</v>
      </c>
      <c r="M65" s="28" t="s">
        <v>23</v>
      </c>
      <c r="N65" s="28" t="s">
        <v>23</v>
      </c>
      <c r="O65" s="28" t="s">
        <v>23</v>
      </c>
      <c r="P65" s="28" t="s">
        <v>23</v>
      </c>
      <c r="Q65" s="28" t="s">
        <v>23</v>
      </c>
    </row>
    <row r="66" spans="2:17" ht="21" x14ac:dyDescent="0.35">
      <c r="B66" s="27">
        <v>62</v>
      </c>
      <c r="C66" s="27" t="s">
        <v>93</v>
      </c>
      <c r="D66" s="27" t="s">
        <v>1791</v>
      </c>
      <c r="E66" s="108">
        <v>45383</v>
      </c>
      <c r="F66" s="109">
        <v>0.40277777777777779</v>
      </c>
      <c r="G66" s="104" t="s">
        <v>2594</v>
      </c>
      <c r="H66" s="104" t="s">
        <v>2595</v>
      </c>
      <c r="I66" s="104" t="s">
        <v>20</v>
      </c>
      <c r="J66" s="115" t="s">
        <v>20</v>
      </c>
      <c r="K66" s="115" t="s">
        <v>20</v>
      </c>
      <c r="L66" s="28" t="s">
        <v>23</v>
      </c>
      <c r="M66" s="28" t="s">
        <v>23</v>
      </c>
      <c r="N66" s="28" t="s">
        <v>23</v>
      </c>
      <c r="O66" s="28" t="s">
        <v>23</v>
      </c>
      <c r="P66" s="28" t="s">
        <v>23</v>
      </c>
      <c r="Q66" s="28" t="s">
        <v>23</v>
      </c>
    </row>
    <row r="67" spans="2:17" ht="39" x14ac:dyDescent="0.35">
      <c r="B67" s="106">
        <v>63</v>
      </c>
      <c r="C67" s="27" t="s">
        <v>93</v>
      </c>
      <c r="D67" s="27" t="s">
        <v>1791</v>
      </c>
      <c r="E67" s="110">
        <v>45390</v>
      </c>
      <c r="F67" s="109">
        <v>6.458333333333334E-2</v>
      </c>
      <c r="G67" s="113" t="s">
        <v>3372</v>
      </c>
      <c r="H67" s="113" t="s">
        <v>309</v>
      </c>
      <c r="I67" s="104" t="s">
        <v>3641</v>
      </c>
      <c r="J67" s="115" t="s">
        <v>30</v>
      </c>
      <c r="K67" s="115" t="s">
        <v>31</v>
      </c>
      <c r="L67" s="28" t="s">
        <v>23</v>
      </c>
      <c r="M67" s="28" t="s">
        <v>23</v>
      </c>
      <c r="N67" s="28" t="s">
        <v>23</v>
      </c>
      <c r="O67" s="28" t="s">
        <v>23</v>
      </c>
      <c r="P67" s="28" t="s">
        <v>23</v>
      </c>
      <c r="Q67" s="28" t="s">
        <v>23</v>
      </c>
    </row>
    <row r="68" spans="2:17" ht="39" x14ac:dyDescent="0.35">
      <c r="B68" s="106">
        <v>64</v>
      </c>
      <c r="C68" s="27" t="s">
        <v>93</v>
      </c>
      <c r="D68" s="27" t="s">
        <v>1791</v>
      </c>
      <c r="E68" s="110">
        <v>45391</v>
      </c>
      <c r="F68" s="109">
        <v>0.72638888888888886</v>
      </c>
      <c r="G68" s="113" t="s">
        <v>3373</v>
      </c>
      <c r="H68" s="113" t="s">
        <v>309</v>
      </c>
      <c r="I68" s="104" t="s">
        <v>3642</v>
      </c>
      <c r="J68" s="115" t="s">
        <v>32</v>
      </c>
      <c r="K68" s="115" t="s">
        <v>33</v>
      </c>
      <c r="L68" s="28" t="s">
        <v>23</v>
      </c>
      <c r="M68" s="28" t="s">
        <v>23</v>
      </c>
      <c r="N68" s="28" t="s">
        <v>23</v>
      </c>
      <c r="O68" s="28" t="s">
        <v>23</v>
      </c>
      <c r="P68" s="28">
        <v>3</v>
      </c>
      <c r="Q68" s="28" t="s">
        <v>23</v>
      </c>
    </row>
    <row r="69" spans="2:17" ht="21" x14ac:dyDescent="0.35">
      <c r="B69" s="106">
        <v>65</v>
      </c>
      <c r="C69" s="27" t="s">
        <v>93</v>
      </c>
      <c r="D69" s="27" t="s">
        <v>1791</v>
      </c>
      <c r="E69" s="110">
        <v>45410</v>
      </c>
      <c r="F69" s="109">
        <v>0.85486111111111107</v>
      </c>
      <c r="G69" s="113" t="s">
        <v>3374</v>
      </c>
      <c r="H69" s="113" t="s">
        <v>406</v>
      </c>
      <c r="I69" s="104" t="s">
        <v>3617</v>
      </c>
      <c r="J69" s="115" t="s">
        <v>34</v>
      </c>
      <c r="K69" s="115" t="s">
        <v>35</v>
      </c>
      <c r="L69" s="28" t="s">
        <v>23</v>
      </c>
      <c r="M69" s="28" t="s">
        <v>23</v>
      </c>
      <c r="N69" s="28" t="s">
        <v>23</v>
      </c>
      <c r="O69" s="28" t="s">
        <v>23</v>
      </c>
      <c r="P69" s="28" t="s">
        <v>23</v>
      </c>
      <c r="Q69" s="28" t="s">
        <v>23</v>
      </c>
    </row>
    <row r="70" spans="2:17" ht="21" x14ac:dyDescent="0.35">
      <c r="B70" s="106">
        <v>66</v>
      </c>
      <c r="C70" s="27" t="s">
        <v>93</v>
      </c>
      <c r="D70" s="27" t="s">
        <v>587</v>
      </c>
      <c r="E70" s="110">
        <v>45392</v>
      </c>
      <c r="F70" s="109">
        <v>0.72638888888888886</v>
      </c>
      <c r="G70" s="113" t="s">
        <v>3375</v>
      </c>
      <c r="H70" s="113" t="s">
        <v>3376</v>
      </c>
      <c r="I70" s="113" t="s">
        <v>410</v>
      </c>
      <c r="J70" s="115">
        <v>125000</v>
      </c>
      <c r="K70" s="115">
        <v>175000</v>
      </c>
      <c r="L70" s="28" t="s">
        <v>23</v>
      </c>
      <c r="M70" s="28">
        <v>2</v>
      </c>
      <c r="N70" s="28" t="s">
        <v>23</v>
      </c>
      <c r="O70" s="28" t="s">
        <v>23</v>
      </c>
      <c r="P70" s="28" t="s">
        <v>23</v>
      </c>
      <c r="Q70" s="28" t="s">
        <v>23</v>
      </c>
    </row>
    <row r="71" spans="2:17" ht="21" x14ac:dyDescent="0.35">
      <c r="B71" s="27">
        <v>67</v>
      </c>
      <c r="C71" s="27" t="s">
        <v>93</v>
      </c>
      <c r="D71" s="27" t="s">
        <v>587</v>
      </c>
      <c r="E71" s="110">
        <v>45394</v>
      </c>
      <c r="F71" s="109">
        <v>0.61319444444444449</v>
      </c>
      <c r="G71" s="113" t="s">
        <v>3377</v>
      </c>
      <c r="H71" s="113" t="s">
        <v>3378</v>
      </c>
      <c r="I71" s="104" t="s">
        <v>3379</v>
      </c>
      <c r="J71" s="115">
        <v>1000</v>
      </c>
      <c r="K71" s="115">
        <v>99000</v>
      </c>
      <c r="L71" s="28" t="s">
        <v>23</v>
      </c>
      <c r="M71" s="28" t="s">
        <v>23</v>
      </c>
      <c r="N71" s="28" t="s">
        <v>23</v>
      </c>
      <c r="O71" s="28" t="s">
        <v>23</v>
      </c>
      <c r="P71" s="28" t="s">
        <v>23</v>
      </c>
      <c r="Q71" s="28" t="s">
        <v>23</v>
      </c>
    </row>
    <row r="72" spans="2:17" ht="21" x14ac:dyDescent="0.35">
      <c r="B72" s="27">
        <v>68</v>
      </c>
      <c r="C72" s="27" t="s">
        <v>93</v>
      </c>
      <c r="D72" s="27" t="s">
        <v>587</v>
      </c>
      <c r="E72" s="110">
        <v>45399</v>
      </c>
      <c r="F72" s="109">
        <v>0.75763888888888886</v>
      </c>
      <c r="G72" s="113" t="s">
        <v>3380</v>
      </c>
      <c r="H72" s="113" t="s">
        <v>3381</v>
      </c>
      <c r="I72" s="104" t="s">
        <v>3382</v>
      </c>
      <c r="J72" s="115">
        <v>1000</v>
      </c>
      <c r="K72" s="115">
        <v>599000</v>
      </c>
      <c r="L72" s="28" t="s">
        <v>23</v>
      </c>
      <c r="M72" s="28" t="s">
        <v>23</v>
      </c>
      <c r="N72" s="28" t="s">
        <v>23</v>
      </c>
      <c r="O72" s="28" t="s">
        <v>23</v>
      </c>
      <c r="P72" s="28" t="s">
        <v>23</v>
      </c>
      <c r="Q72" s="28" t="s">
        <v>23</v>
      </c>
    </row>
    <row r="73" spans="2:17" ht="21" x14ac:dyDescent="0.35">
      <c r="B73" s="27">
        <v>69</v>
      </c>
      <c r="C73" s="27" t="s">
        <v>93</v>
      </c>
      <c r="D73" s="27" t="s">
        <v>587</v>
      </c>
      <c r="E73" s="110">
        <v>45400</v>
      </c>
      <c r="F73" s="109">
        <v>0.63194444444444442</v>
      </c>
      <c r="G73" s="113" t="s">
        <v>3383</v>
      </c>
      <c r="H73" s="104" t="s">
        <v>406</v>
      </c>
      <c r="I73" s="104" t="s">
        <v>3384</v>
      </c>
      <c r="J73" s="115">
        <v>80000</v>
      </c>
      <c r="K73" s="115">
        <v>420000</v>
      </c>
      <c r="L73" s="28" t="s">
        <v>23</v>
      </c>
      <c r="M73" s="28" t="s">
        <v>23</v>
      </c>
      <c r="N73" s="28" t="s">
        <v>23</v>
      </c>
      <c r="O73" s="28" t="s">
        <v>23</v>
      </c>
      <c r="P73" s="28" t="s">
        <v>23</v>
      </c>
      <c r="Q73" s="28" t="s">
        <v>23</v>
      </c>
    </row>
    <row r="74" spans="2:17" ht="21" x14ac:dyDescent="0.35">
      <c r="B74" s="27">
        <v>70</v>
      </c>
      <c r="C74" s="27" t="s">
        <v>93</v>
      </c>
      <c r="D74" s="27" t="s">
        <v>587</v>
      </c>
      <c r="E74" s="110">
        <v>45408</v>
      </c>
      <c r="F74" s="109">
        <v>0.64097222222222228</v>
      </c>
      <c r="G74" s="113" t="s">
        <v>2820</v>
      </c>
      <c r="H74" s="113" t="s">
        <v>3385</v>
      </c>
      <c r="I74" s="104" t="s">
        <v>3386</v>
      </c>
      <c r="J74" s="115">
        <v>850000</v>
      </c>
      <c r="K74" s="115">
        <v>150000</v>
      </c>
      <c r="L74" s="28" t="s">
        <v>23</v>
      </c>
      <c r="M74" s="28" t="s">
        <v>23</v>
      </c>
      <c r="N74" s="28" t="s">
        <v>23</v>
      </c>
      <c r="O74" s="28" t="s">
        <v>23</v>
      </c>
      <c r="P74" s="28" t="s">
        <v>23</v>
      </c>
      <c r="Q74" s="28">
        <v>14</v>
      </c>
    </row>
    <row r="75" spans="2:17" ht="21" x14ac:dyDescent="0.35">
      <c r="B75" s="27">
        <v>71</v>
      </c>
      <c r="C75" s="27" t="s">
        <v>93</v>
      </c>
      <c r="D75" s="27" t="s">
        <v>587</v>
      </c>
      <c r="E75" s="110">
        <v>45412</v>
      </c>
      <c r="F75" s="109">
        <v>0.51388888888888884</v>
      </c>
      <c r="G75" s="113" t="s">
        <v>3387</v>
      </c>
      <c r="H75" s="104" t="s">
        <v>1904</v>
      </c>
      <c r="I75" s="104" t="s">
        <v>421</v>
      </c>
      <c r="J75" s="115">
        <v>5000</v>
      </c>
      <c r="K75" s="115">
        <v>75000</v>
      </c>
      <c r="L75" s="28" t="s">
        <v>23</v>
      </c>
      <c r="M75" s="28" t="s">
        <v>23</v>
      </c>
      <c r="N75" s="28" t="s">
        <v>23</v>
      </c>
      <c r="O75" s="28" t="s">
        <v>23</v>
      </c>
      <c r="P75" s="28" t="s">
        <v>23</v>
      </c>
      <c r="Q75" s="28" t="s">
        <v>23</v>
      </c>
    </row>
    <row r="76" spans="2:17" ht="21" x14ac:dyDescent="0.35">
      <c r="B76" s="27">
        <v>1</v>
      </c>
      <c r="C76" s="27" t="s">
        <v>93</v>
      </c>
      <c r="D76" s="27" t="s">
        <v>94</v>
      </c>
      <c r="E76" s="108">
        <v>45505</v>
      </c>
      <c r="F76" s="109">
        <v>0.60277777777777775</v>
      </c>
      <c r="G76" s="104" t="s">
        <v>3200</v>
      </c>
      <c r="H76" s="104" t="s">
        <v>406</v>
      </c>
      <c r="I76" s="104" t="s">
        <v>3388</v>
      </c>
      <c r="J76" s="115" t="s">
        <v>20</v>
      </c>
      <c r="K76" s="115" t="s">
        <v>20</v>
      </c>
      <c r="L76" s="28" t="s">
        <v>20</v>
      </c>
      <c r="M76" s="28" t="s">
        <v>20</v>
      </c>
      <c r="N76" s="28" t="s">
        <v>20</v>
      </c>
      <c r="O76" s="28" t="s">
        <v>20</v>
      </c>
      <c r="P76" s="28" t="s">
        <v>20</v>
      </c>
      <c r="Q76" s="28" t="s">
        <v>20</v>
      </c>
    </row>
    <row r="77" spans="2:17" ht="21" x14ac:dyDescent="0.35">
      <c r="B77" s="106">
        <v>2</v>
      </c>
      <c r="C77" s="27" t="s">
        <v>93</v>
      </c>
      <c r="D77" s="27" t="s">
        <v>94</v>
      </c>
      <c r="E77" s="110">
        <v>45505</v>
      </c>
      <c r="F77" s="109">
        <v>0.72916666666666663</v>
      </c>
      <c r="G77" s="113" t="s">
        <v>3389</v>
      </c>
      <c r="H77" s="113" t="s">
        <v>2634</v>
      </c>
      <c r="I77" s="104" t="s">
        <v>3390</v>
      </c>
      <c r="J77" s="115">
        <v>50000</v>
      </c>
      <c r="K77" s="115">
        <v>150000</v>
      </c>
      <c r="L77" s="28" t="s">
        <v>20</v>
      </c>
      <c r="M77" s="28" t="s">
        <v>20</v>
      </c>
      <c r="N77" s="28" t="s">
        <v>20</v>
      </c>
      <c r="O77" s="28" t="s">
        <v>20</v>
      </c>
      <c r="P77" s="28" t="s">
        <v>20</v>
      </c>
      <c r="Q77" s="28" t="s">
        <v>20</v>
      </c>
    </row>
    <row r="78" spans="2:17" ht="21" x14ac:dyDescent="0.35">
      <c r="B78" s="106"/>
      <c r="C78" s="27" t="s">
        <v>93</v>
      </c>
      <c r="D78" s="27" t="s">
        <v>94</v>
      </c>
      <c r="E78" s="110"/>
      <c r="F78" s="28"/>
      <c r="G78" s="113"/>
      <c r="H78" s="113"/>
      <c r="I78" s="113" t="s">
        <v>3391</v>
      </c>
      <c r="J78" s="115"/>
      <c r="K78" s="115"/>
      <c r="L78" s="28"/>
      <c r="M78" s="28"/>
      <c r="N78" s="28"/>
      <c r="O78" s="28"/>
      <c r="P78" s="28"/>
      <c r="Q78" s="28"/>
    </row>
    <row r="79" spans="2:17" ht="58.5" x14ac:dyDescent="0.35">
      <c r="B79" s="27">
        <v>3</v>
      </c>
      <c r="C79" s="27" t="s">
        <v>93</v>
      </c>
      <c r="D79" s="27" t="s">
        <v>94</v>
      </c>
      <c r="E79" s="108">
        <v>45506</v>
      </c>
      <c r="F79" s="109">
        <v>0.375</v>
      </c>
      <c r="G79" s="104" t="s">
        <v>3392</v>
      </c>
      <c r="H79" s="104" t="s">
        <v>3393</v>
      </c>
      <c r="I79" s="130" t="s">
        <v>3394</v>
      </c>
      <c r="J79" s="115">
        <v>20000</v>
      </c>
      <c r="K79" s="115">
        <v>40000</v>
      </c>
      <c r="L79" s="28" t="s">
        <v>20</v>
      </c>
      <c r="M79" s="28" t="s">
        <v>20</v>
      </c>
      <c r="N79" s="28" t="s">
        <v>20</v>
      </c>
      <c r="O79" s="28" t="s">
        <v>20</v>
      </c>
      <c r="P79" s="28" t="s">
        <v>20</v>
      </c>
      <c r="Q79" s="28" t="s">
        <v>20</v>
      </c>
    </row>
    <row r="80" spans="2:17" ht="58.5" x14ac:dyDescent="0.35">
      <c r="B80" s="27">
        <v>4</v>
      </c>
      <c r="C80" s="27" t="s">
        <v>93</v>
      </c>
      <c r="D80" s="27" t="s">
        <v>94</v>
      </c>
      <c r="E80" s="108">
        <v>45508</v>
      </c>
      <c r="F80" s="109">
        <v>4.3055555555555555E-2</v>
      </c>
      <c r="G80" s="104" t="s">
        <v>3395</v>
      </c>
      <c r="H80" s="104" t="s">
        <v>3396</v>
      </c>
      <c r="I80" s="130" t="s">
        <v>3397</v>
      </c>
      <c r="J80" s="115">
        <v>5000</v>
      </c>
      <c r="K80" s="115">
        <v>85000</v>
      </c>
      <c r="L80" s="28" t="s">
        <v>20</v>
      </c>
      <c r="M80" s="28" t="s">
        <v>20</v>
      </c>
      <c r="N80" s="28" t="s">
        <v>20</v>
      </c>
      <c r="O80" s="28" t="s">
        <v>20</v>
      </c>
      <c r="P80" s="28" t="s">
        <v>20</v>
      </c>
      <c r="Q80" s="28" t="s">
        <v>20</v>
      </c>
    </row>
    <row r="81" spans="2:17" ht="58.5" x14ac:dyDescent="0.35">
      <c r="B81" s="27">
        <v>5</v>
      </c>
      <c r="C81" s="27" t="s">
        <v>93</v>
      </c>
      <c r="D81" s="27" t="s">
        <v>94</v>
      </c>
      <c r="E81" s="108">
        <v>45508</v>
      </c>
      <c r="F81" s="109">
        <v>0.35555555555555557</v>
      </c>
      <c r="G81" s="104" t="s">
        <v>3398</v>
      </c>
      <c r="H81" s="104" t="s">
        <v>3399</v>
      </c>
      <c r="I81" s="130" t="s">
        <v>3400</v>
      </c>
      <c r="J81" s="115">
        <v>2000</v>
      </c>
      <c r="K81" s="115" t="s">
        <v>1823</v>
      </c>
      <c r="L81" s="28" t="s">
        <v>20</v>
      </c>
      <c r="M81" s="28" t="s">
        <v>20</v>
      </c>
      <c r="N81" s="28" t="s">
        <v>20</v>
      </c>
      <c r="O81" s="28" t="s">
        <v>20</v>
      </c>
      <c r="P81" s="28" t="s">
        <v>20</v>
      </c>
      <c r="Q81" s="28" t="s">
        <v>20</v>
      </c>
    </row>
    <row r="82" spans="2:17" ht="78" x14ac:dyDescent="0.35">
      <c r="B82" s="27">
        <v>6</v>
      </c>
      <c r="C82" s="27" t="s">
        <v>93</v>
      </c>
      <c r="D82" s="27" t="s">
        <v>94</v>
      </c>
      <c r="E82" s="108">
        <v>45510</v>
      </c>
      <c r="F82" s="109">
        <v>0.20694444444444443</v>
      </c>
      <c r="G82" s="104" t="s">
        <v>3401</v>
      </c>
      <c r="H82" s="104" t="s">
        <v>3402</v>
      </c>
      <c r="I82" s="130" t="s">
        <v>3403</v>
      </c>
      <c r="J82" s="115">
        <v>70000</v>
      </c>
      <c r="K82" s="115" t="s">
        <v>1824</v>
      </c>
      <c r="L82" s="28" t="s">
        <v>20</v>
      </c>
      <c r="M82" s="28" t="s">
        <v>20</v>
      </c>
      <c r="N82" s="28" t="s">
        <v>20</v>
      </c>
      <c r="O82" s="28" t="s">
        <v>20</v>
      </c>
      <c r="P82" s="28">
        <v>9</v>
      </c>
      <c r="Q82" s="28" t="s">
        <v>20</v>
      </c>
    </row>
    <row r="83" spans="2:17" ht="42" x14ac:dyDescent="0.35">
      <c r="B83" s="27">
        <v>7</v>
      </c>
      <c r="C83" s="27" t="s">
        <v>93</v>
      </c>
      <c r="D83" s="27" t="s">
        <v>94</v>
      </c>
      <c r="E83" s="108">
        <v>45510</v>
      </c>
      <c r="F83" s="109">
        <v>0.20694444444444443</v>
      </c>
      <c r="G83" s="104" t="s">
        <v>3404</v>
      </c>
      <c r="H83" s="127" t="s">
        <v>2714</v>
      </c>
      <c r="I83" s="127"/>
      <c r="J83" s="120"/>
      <c r="K83" s="120"/>
      <c r="L83" s="27" t="s">
        <v>2714</v>
      </c>
      <c r="M83" s="27"/>
      <c r="N83" s="27"/>
      <c r="O83" s="27"/>
      <c r="P83" s="27"/>
      <c r="Q83" s="27"/>
    </row>
    <row r="84" spans="2:17" ht="21" x14ac:dyDescent="0.35">
      <c r="B84" s="27">
        <v>8</v>
      </c>
      <c r="C84" s="27" t="s">
        <v>93</v>
      </c>
      <c r="D84" s="27" t="s">
        <v>94</v>
      </c>
      <c r="E84" s="108">
        <v>45521</v>
      </c>
      <c r="F84" s="109">
        <v>0.91041666666666665</v>
      </c>
      <c r="G84" s="104" t="s">
        <v>3405</v>
      </c>
      <c r="H84" s="104" t="s">
        <v>3406</v>
      </c>
      <c r="I84" s="104" t="s">
        <v>3407</v>
      </c>
      <c r="J84" s="115">
        <v>5000</v>
      </c>
      <c r="K84" s="115">
        <v>3495000</v>
      </c>
      <c r="L84" s="28" t="s">
        <v>20</v>
      </c>
      <c r="M84" s="28" t="s">
        <v>20</v>
      </c>
      <c r="N84" s="28" t="s">
        <v>20</v>
      </c>
      <c r="O84" s="28" t="s">
        <v>20</v>
      </c>
      <c r="P84" s="28" t="s">
        <v>20</v>
      </c>
      <c r="Q84" s="28" t="s">
        <v>20</v>
      </c>
    </row>
    <row r="85" spans="2:17" ht="21" x14ac:dyDescent="0.35">
      <c r="B85" s="27">
        <v>9</v>
      </c>
      <c r="C85" s="27" t="s">
        <v>93</v>
      </c>
      <c r="D85" s="27" t="s">
        <v>94</v>
      </c>
      <c r="E85" s="108">
        <v>45522</v>
      </c>
      <c r="F85" s="28">
        <v>0.60954861111111114</v>
      </c>
      <c r="G85" s="104" t="s">
        <v>3408</v>
      </c>
      <c r="H85" s="104" t="s">
        <v>3409</v>
      </c>
      <c r="I85" s="104" t="s">
        <v>3410</v>
      </c>
      <c r="J85" s="115">
        <v>25000</v>
      </c>
      <c r="K85" s="115">
        <v>2975000</v>
      </c>
      <c r="L85" s="28" t="s">
        <v>20</v>
      </c>
      <c r="M85" s="28" t="s">
        <v>20</v>
      </c>
      <c r="N85" s="28" t="s">
        <v>20</v>
      </c>
      <c r="O85" s="28" t="s">
        <v>20</v>
      </c>
      <c r="P85" s="28" t="s">
        <v>20</v>
      </c>
      <c r="Q85" s="28" t="s">
        <v>20</v>
      </c>
    </row>
    <row r="86" spans="2:17" ht="21" x14ac:dyDescent="0.35">
      <c r="B86" s="27">
        <v>10</v>
      </c>
      <c r="C86" s="27" t="s">
        <v>93</v>
      </c>
      <c r="D86" s="27" t="s">
        <v>94</v>
      </c>
      <c r="E86" s="108">
        <v>45522</v>
      </c>
      <c r="F86" s="28">
        <v>6.9768518518518521E-2</v>
      </c>
      <c r="G86" s="104" t="s">
        <v>3411</v>
      </c>
      <c r="H86" s="104" t="s">
        <v>3412</v>
      </c>
      <c r="I86" s="104" t="s">
        <v>3413</v>
      </c>
      <c r="J86" s="115">
        <v>260000</v>
      </c>
      <c r="K86" s="115">
        <v>1240000</v>
      </c>
      <c r="L86" s="28" t="s">
        <v>20</v>
      </c>
      <c r="M86" s="28" t="s">
        <v>20</v>
      </c>
      <c r="N86" s="28">
        <v>1</v>
      </c>
      <c r="O86" s="28" t="s">
        <v>20</v>
      </c>
      <c r="P86" s="28">
        <v>1</v>
      </c>
      <c r="Q86" s="28" t="s">
        <v>20</v>
      </c>
    </row>
    <row r="87" spans="2:17" ht="21" x14ac:dyDescent="0.35">
      <c r="B87" s="27">
        <v>11</v>
      </c>
      <c r="C87" s="27" t="s">
        <v>93</v>
      </c>
      <c r="D87" s="28" t="s">
        <v>584</v>
      </c>
      <c r="E87" s="110">
        <v>45505</v>
      </c>
      <c r="F87" s="28">
        <v>0.52482638888888888</v>
      </c>
      <c r="G87" s="113" t="s">
        <v>3414</v>
      </c>
      <c r="H87" s="104" t="s">
        <v>3415</v>
      </c>
      <c r="I87" s="113" t="s">
        <v>3416</v>
      </c>
      <c r="J87" s="115">
        <v>30000</v>
      </c>
      <c r="K87" s="115">
        <v>370000</v>
      </c>
      <c r="L87" s="28" t="s">
        <v>75</v>
      </c>
      <c r="M87" s="28" t="s">
        <v>75</v>
      </c>
      <c r="N87" s="28" t="s">
        <v>75</v>
      </c>
      <c r="O87" s="28" t="s">
        <v>75</v>
      </c>
      <c r="P87" s="28">
        <v>3</v>
      </c>
      <c r="Q87" s="28" t="s">
        <v>75</v>
      </c>
    </row>
    <row r="88" spans="2:17" ht="21" x14ac:dyDescent="0.35">
      <c r="B88" s="27">
        <v>12</v>
      </c>
      <c r="C88" s="27" t="s">
        <v>93</v>
      </c>
      <c r="D88" s="28" t="s">
        <v>584</v>
      </c>
      <c r="E88" s="110">
        <v>45505</v>
      </c>
      <c r="F88" s="28">
        <v>7.3425925925925922E-2</v>
      </c>
      <c r="G88" s="113" t="s">
        <v>3417</v>
      </c>
      <c r="H88" s="104" t="s">
        <v>3418</v>
      </c>
      <c r="I88" s="113" t="s">
        <v>3419</v>
      </c>
      <c r="J88" s="115">
        <v>50000</v>
      </c>
      <c r="K88" s="115">
        <v>30000</v>
      </c>
      <c r="L88" s="28" t="s">
        <v>75</v>
      </c>
      <c r="M88" s="28" t="s">
        <v>75</v>
      </c>
      <c r="N88" s="28" t="s">
        <v>75</v>
      </c>
      <c r="O88" s="28" t="s">
        <v>75</v>
      </c>
      <c r="P88" s="28">
        <v>1</v>
      </c>
      <c r="Q88" s="28" t="s">
        <v>75</v>
      </c>
    </row>
    <row r="89" spans="2:17" ht="21" x14ac:dyDescent="0.35">
      <c r="B89" s="27">
        <v>13</v>
      </c>
      <c r="C89" s="27" t="s">
        <v>93</v>
      </c>
      <c r="D89" s="28" t="s">
        <v>584</v>
      </c>
      <c r="E89" s="110">
        <v>45505</v>
      </c>
      <c r="F89" s="109">
        <v>0.5625</v>
      </c>
      <c r="G89" s="113" t="s">
        <v>3420</v>
      </c>
      <c r="H89" s="104" t="s">
        <v>3415</v>
      </c>
      <c r="I89" s="113" t="s">
        <v>3419</v>
      </c>
      <c r="J89" s="115">
        <v>40000</v>
      </c>
      <c r="K89" s="115">
        <v>260000</v>
      </c>
      <c r="L89" s="28" t="s">
        <v>75</v>
      </c>
      <c r="M89" s="28" t="s">
        <v>75</v>
      </c>
      <c r="N89" s="28" t="s">
        <v>75</v>
      </c>
      <c r="O89" s="28" t="s">
        <v>75</v>
      </c>
      <c r="P89" s="28">
        <v>2</v>
      </c>
      <c r="Q89" s="28" t="s">
        <v>75</v>
      </c>
    </row>
    <row r="90" spans="2:17" ht="21" x14ac:dyDescent="0.35">
      <c r="B90" s="27">
        <v>14</v>
      </c>
      <c r="C90" s="27" t="s">
        <v>93</v>
      </c>
      <c r="D90" s="28" t="s">
        <v>584</v>
      </c>
      <c r="E90" s="110">
        <v>45512</v>
      </c>
      <c r="F90" s="28">
        <v>6.6875000000000004E-2</v>
      </c>
      <c r="G90" s="113" t="s">
        <v>3421</v>
      </c>
      <c r="H90" s="104" t="s">
        <v>2997</v>
      </c>
      <c r="I90" s="113" t="s">
        <v>3276</v>
      </c>
      <c r="J90" s="115">
        <v>5000</v>
      </c>
      <c r="K90" s="115">
        <v>1995000</v>
      </c>
      <c r="L90" s="28" t="s">
        <v>75</v>
      </c>
      <c r="M90" s="28" t="s">
        <v>75</v>
      </c>
      <c r="N90" s="28" t="s">
        <v>75</v>
      </c>
      <c r="O90" s="28" t="s">
        <v>75</v>
      </c>
      <c r="P90" s="28">
        <v>3</v>
      </c>
      <c r="Q90" s="28" t="s">
        <v>75</v>
      </c>
    </row>
    <row r="91" spans="2:17" ht="21" x14ac:dyDescent="0.35">
      <c r="B91" s="106">
        <v>15</v>
      </c>
      <c r="C91" s="27" t="s">
        <v>93</v>
      </c>
      <c r="D91" s="28" t="s">
        <v>584</v>
      </c>
      <c r="E91" s="110">
        <v>45528</v>
      </c>
      <c r="F91" s="28">
        <v>7.0995370370370375E-2</v>
      </c>
      <c r="G91" s="113" t="s">
        <v>3422</v>
      </c>
      <c r="H91" s="113" t="s">
        <v>3423</v>
      </c>
      <c r="I91" s="113" t="s">
        <v>3424</v>
      </c>
      <c r="J91" s="115">
        <v>40000</v>
      </c>
      <c r="K91" s="133">
        <v>19966000</v>
      </c>
      <c r="L91" s="28" t="s">
        <v>75</v>
      </c>
      <c r="M91" s="28" t="s">
        <v>75</v>
      </c>
      <c r="N91" s="28" t="s">
        <v>75</v>
      </c>
      <c r="O91" s="28" t="s">
        <v>75</v>
      </c>
      <c r="P91" s="28">
        <v>25</v>
      </c>
      <c r="Q91" s="28" t="s">
        <v>75</v>
      </c>
    </row>
    <row r="92" spans="2:17" ht="21" x14ac:dyDescent="0.35">
      <c r="B92" s="27">
        <v>16</v>
      </c>
      <c r="C92" s="27" t="s">
        <v>93</v>
      </c>
      <c r="D92" s="28" t="s">
        <v>584</v>
      </c>
      <c r="E92" s="110">
        <v>45530</v>
      </c>
      <c r="F92" s="109">
        <v>0.94236111111111109</v>
      </c>
      <c r="G92" s="113" t="s">
        <v>3425</v>
      </c>
      <c r="H92" s="104" t="s">
        <v>3426</v>
      </c>
      <c r="I92" s="113" t="s">
        <v>3427</v>
      </c>
      <c r="J92" s="115">
        <v>200000</v>
      </c>
      <c r="K92" s="115">
        <v>300000</v>
      </c>
      <c r="L92" s="28" t="s">
        <v>75</v>
      </c>
      <c r="M92" s="28" t="s">
        <v>75</v>
      </c>
      <c r="N92" s="28" t="s">
        <v>75</v>
      </c>
      <c r="O92" s="28" t="s">
        <v>75</v>
      </c>
      <c r="P92" s="28" t="s">
        <v>75</v>
      </c>
      <c r="Q92" s="28" t="s">
        <v>75</v>
      </c>
    </row>
    <row r="93" spans="2:17" ht="21" x14ac:dyDescent="0.35">
      <c r="B93" s="27">
        <v>17</v>
      </c>
      <c r="C93" s="27" t="s">
        <v>93</v>
      </c>
      <c r="D93" s="28" t="s">
        <v>584</v>
      </c>
      <c r="E93" s="110">
        <v>45534</v>
      </c>
      <c r="F93" s="28">
        <v>6.5636574074074069E-2</v>
      </c>
      <c r="G93" s="113" t="s">
        <v>3428</v>
      </c>
      <c r="H93" s="104" t="s">
        <v>3429</v>
      </c>
      <c r="I93" s="113" t="s">
        <v>3430</v>
      </c>
      <c r="J93" s="115">
        <v>50000</v>
      </c>
      <c r="K93" s="115">
        <v>350000</v>
      </c>
      <c r="L93" s="28" t="s">
        <v>75</v>
      </c>
      <c r="M93" s="28" t="s">
        <v>75</v>
      </c>
      <c r="N93" s="28" t="s">
        <v>75</v>
      </c>
      <c r="O93" s="28" t="s">
        <v>75</v>
      </c>
      <c r="P93" s="28" t="s">
        <v>75</v>
      </c>
      <c r="Q93" s="28" t="s">
        <v>75</v>
      </c>
    </row>
    <row r="94" spans="2:17" ht="39" x14ac:dyDescent="0.35">
      <c r="B94" s="106">
        <v>18</v>
      </c>
      <c r="C94" s="27" t="s">
        <v>93</v>
      </c>
      <c r="D94" s="28" t="s">
        <v>1791</v>
      </c>
      <c r="E94" s="110">
        <v>45506</v>
      </c>
      <c r="F94" s="109">
        <v>0.14583333333333334</v>
      </c>
      <c r="G94" s="113" t="s">
        <v>3431</v>
      </c>
      <c r="H94" s="113" t="s">
        <v>309</v>
      </c>
      <c r="I94" s="104" t="s">
        <v>3432</v>
      </c>
      <c r="J94" s="115" t="s">
        <v>122</v>
      </c>
      <c r="K94" s="115" t="s">
        <v>123</v>
      </c>
      <c r="L94" s="28" t="s">
        <v>23</v>
      </c>
      <c r="M94" s="28" t="s">
        <v>23</v>
      </c>
      <c r="N94" s="28" t="s">
        <v>23</v>
      </c>
      <c r="O94" s="28" t="s">
        <v>23</v>
      </c>
      <c r="P94" s="28" t="s">
        <v>23</v>
      </c>
      <c r="Q94" s="28" t="s">
        <v>23</v>
      </c>
    </row>
    <row r="95" spans="2:17" ht="21" x14ac:dyDescent="0.35">
      <c r="B95" s="27">
        <v>19</v>
      </c>
      <c r="C95" s="27" t="s">
        <v>93</v>
      </c>
      <c r="D95" s="28" t="s">
        <v>1791</v>
      </c>
      <c r="E95" s="108">
        <v>45510</v>
      </c>
      <c r="F95" s="109">
        <v>6.7361111111111108E-2</v>
      </c>
      <c r="G95" s="113" t="s">
        <v>3433</v>
      </c>
      <c r="H95" s="104" t="s">
        <v>2595</v>
      </c>
      <c r="I95" s="104" t="s">
        <v>20</v>
      </c>
      <c r="J95" s="115" t="s">
        <v>20</v>
      </c>
      <c r="K95" s="115" t="s">
        <v>20</v>
      </c>
      <c r="L95" s="28" t="s">
        <v>23</v>
      </c>
      <c r="M95" s="28" t="s">
        <v>23</v>
      </c>
      <c r="N95" s="28" t="s">
        <v>23</v>
      </c>
      <c r="O95" s="28" t="s">
        <v>23</v>
      </c>
      <c r="P95" s="28" t="s">
        <v>23</v>
      </c>
      <c r="Q95" s="28" t="s">
        <v>23</v>
      </c>
    </row>
    <row r="96" spans="2:17" ht="39" x14ac:dyDescent="0.35">
      <c r="B96" s="106">
        <v>20</v>
      </c>
      <c r="C96" s="27" t="s">
        <v>93</v>
      </c>
      <c r="D96" s="28" t="s">
        <v>1791</v>
      </c>
      <c r="E96" s="110">
        <v>45512</v>
      </c>
      <c r="F96" s="109">
        <v>0.15763888888888888</v>
      </c>
      <c r="G96" s="113" t="s">
        <v>3434</v>
      </c>
      <c r="H96" s="113" t="s">
        <v>309</v>
      </c>
      <c r="I96" s="104" t="s">
        <v>3435</v>
      </c>
      <c r="J96" s="115" t="s">
        <v>125</v>
      </c>
      <c r="K96" s="115" t="s">
        <v>126</v>
      </c>
      <c r="L96" s="28" t="s">
        <v>23</v>
      </c>
      <c r="M96" s="28" t="s">
        <v>23</v>
      </c>
      <c r="N96" s="28" t="s">
        <v>23</v>
      </c>
      <c r="O96" s="28" t="s">
        <v>23</v>
      </c>
      <c r="P96" s="28">
        <v>4</v>
      </c>
      <c r="Q96" s="28" t="s">
        <v>23</v>
      </c>
    </row>
    <row r="97" spans="2:17" ht="39" x14ac:dyDescent="0.35">
      <c r="B97" s="106">
        <v>21</v>
      </c>
      <c r="C97" s="27" t="s">
        <v>93</v>
      </c>
      <c r="D97" s="28" t="s">
        <v>1791</v>
      </c>
      <c r="E97" s="110">
        <v>45527</v>
      </c>
      <c r="F97" s="109">
        <v>0.75347222222222221</v>
      </c>
      <c r="G97" s="113" t="s">
        <v>3436</v>
      </c>
      <c r="H97" s="113" t="s">
        <v>3437</v>
      </c>
      <c r="I97" s="104" t="s">
        <v>3438</v>
      </c>
      <c r="J97" s="115" t="s">
        <v>127</v>
      </c>
      <c r="K97" s="115" t="s">
        <v>128</v>
      </c>
      <c r="L97" s="28" t="s">
        <v>23</v>
      </c>
      <c r="M97" s="28" t="s">
        <v>23</v>
      </c>
      <c r="N97" s="28" t="s">
        <v>23</v>
      </c>
      <c r="O97" s="28" t="s">
        <v>23</v>
      </c>
      <c r="P97" s="28" t="s">
        <v>23</v>
      </c>
      <c r="Q97" s="28" t="s">
        <v>23</v>
      </c>
    </row>
    <row r="98" spans="2:17" ht="21" x14ac:dyDescent="0.35">
      <c r="B98" s="27">
        <v>22</v>
      </c>
      <c r="C98" s="27" t="s">
        <v>93</v>
      </c>
      <c r="D98" s="28" t="s">
        <v>587</v>
      </c>
      <c r="E98" s="108">
        <v>45520</v>
      </c>
      <c r="F98" s="28"/>
      <c r="G98" s="113" t="s">
        <v>3439</v>
      </c>
      <c r="H98" s="113" t="s">
        <v>3440</v>
      </c>
      <c r="I98" s="113"/>
      <c r="J98" s="115"/>
      <c r="K98" s="115"/>
      <c r="L98" s="28"/>
      <c r="M98" s="28"/>
      <c r="N98" s="28"/>
      <c r="O98" s="28"/>
      <c r="P98" s="28"/>
      <c r="Q98" s="28"/>
    </row>
    <row r="99" spans="2:17" ht="21" x14ac:dyDescent="0.35">
      <c r="B99" s="27">
        <v>23</v>
      </c>
      <c r="C99" s="27" t="s">
        <v>93</v>
      </c>
      <c r="D99" s="28" t="s">
        <v>587</v>
      </c>
      <c r="E99" s="110">
        <v>45529</v>
      </c>
      <c r="F99" s="109">
        <v>0.73402777777777772</v>
      </c>
      <c r="G99" s="113" t="s">
        <v>3441</v>
      </c>
      <c r="H99" s="113" t="s">
        <v>2657</v>
      </c>
      <c r="I99" s="113" t="s">
        <v>3442</v>
      </c>
      <c r="J99" s="115">
        <v>350000</v>
      </c>
      <c r="K99" s="115">
        <v>1150000</v>
      </c>
      <c r="L99" s="28" t="s">
        <v>20</v>
      </c>
      <c r="M99" s="28" t="s">
        <v>20</v>
      </c>
      <c r="N99" s="28" t="s">
        <v>20</v>
      </c>
      <c r="O99" s="28" t="s">
        <v>20</v>
      </c>
      <c r="P99" s="28" t="s">
        <v>20</v>
      </c>
      <c r="Q99" s="28" t="s">
        <v>20</v>
      </c>
    </row>
    <row r="100" spans="2:17" ht="21" x14ac:dyDescent="0.35">
      <c r="B100" s="27">
        <v>24</v>
      </c>
      <c r="C100" s="27" t="s">
        <v>93</v>
      </c>
      <c r="D100" s="28" t="s">
        <v>587</v>
      </c>
      <c r="E100" s="110">
        <v>45534</v>
      </c>
      <c r="F100" s="109">
        <v>6.9444444444444441E-3</v>
      </c>
      <c r="G100" s="113" t="s">
        <v>3443</v>
      </c>
      <c r="H100" s="113" t="s">
        <v>3444</v>
      </c>
      <c r="I100" s="113" t="s">
        <v>3445</v>
      </c>
      <c r="J100" s="115">
        <v>800000</v>
      </c>
      <c r="K100" s="115">
        <v>700000</v>
      </c>
      <c r="L100" s="28" t="s">
        <v>20</v>
      </c>
      <c r="M100" s="28" t="s">
        <v>20</v>
      </c>
      <c r="N100" s="28" t="s">
        <v>20</v>
      </c>
      <c r="O100" s="28" t="s">
        <v>20</v>
      </c>
      <c r="P100" s="28" t="s">
        <v>20</v>
      </c>
      <c r="Q100" s="28" t="s">
        <v>20</v>
      </c>
    </row>
    <row r="101" spans="2:17" ht="21" x14ac:dyDescent="0.35">
      <c r="B101" s="27">
        <v>1</v>
      </c>
      <c r="C101" s="27" t="s">
        <v>93</v>
      </c>
      <c r="D101" s="27" t="s">
        <v>94</v>
      </c>
      <c r="E101" s="108">
        <v>45627</v>
      </c>
      <c r="F101" s="109">
        <v>0.65625</v>
      </c>
      <c r="G101" s="113" t="s">
        <v>3446</v>
      </c>
      <c r="H101" s="104" t="s">
        <v>3447</v>
      </c>
      <c r="I101" s="113" t="s">
        <v>3448</v>
      </c>
      <c r="J101" s="115" t="s">
        <v>20</v>
      </c>
      <c r="K101" s="115">
        <v>1500000</v>
      </c>
      <c r="L101" s="28" t="s">
        <v>20</v>
      </c>
      <c r="M101" s="28" t="s">
        <v>20</v>
      </c>
      <c r="N101" s="28" t="s">
        <v>20</v>
      </c>
      <c r="O101" s="28" t="s">
        <v>20</v>
      </c>
      <c r="P101" s="28" t="s">
        <v>20</v>
      </c>
      <c r="Q101" s="28" t="s">
        <v>20</v>
      </c>
    </row>
    <row r="102" spans="2:17" ht="21" x14ac:dyDescent="0.35">
      <c r="B102" s="27">
        <v>2</v>
      </c>
      <c r="C102" s="27" t="s">
        <v>93</v>
      </c>
      <c r="D102" s="27" t="s">
        <v>94</v>
      </c>
      <c r="E102" s="108">
        <v>45628</v>
      </c>
      <c r="F102" s="109">
        <v>0.47986111111111113</v>
      </c>
      <c r="G102" s="113" t="s">
        <v>3449</v>
      </c>
      <c r="H102" s="104" t="s">
        <v>3450</v>
      </c>
      <c r="I102" s="113" t="s">
        <v>3451</v>
      </c>
      <c r="J102" s="115">
        <v>145000</v>
      </c>
      <c r="K102" s="115">
        <v>5000</v>
      </c>
      <c r="L102" s="28" t="s">
        <v>20</v>
      </c>
      <c r="M102" s="28" t="s">
        <v>20</v>
      </c>
      <c r="N102" s="28" t="s">
        <v>20</v>
      </c>
      <c r="O102" s="28" t="s">
        <v>20</v>
      </c>
      <c r="P102" s="28">
        <v>2</v>
      </c>
      <c r="Q102" s="28" t="s">
        <v>20</v>
      </c>
    </row>
    <row r="103" spans="2:17" ht="21" x14ac:dyDescent="0.35">
      <c r="B103" s="27">
        <v>3</v>
      </c>
      <c r="C103" s="27" t="s">
        <v>93</v>
      </c>
      <c r="D103" s="27" t="s">
        <v>94</v>
      </c>
      <c r="E103" s="108">
        <v>45631</v>
      </c>
      <c r="F103" s="109">
        <v>0.59930555555555554</v>
      </c>
      <c r="G103" s="113" t="s">
        <v>3452</v>
      </c>
      <c r="H103" s="104" t="s">
        <v>3453</v>
      </c>
      <c r="I103" s="113" t="s">
        <v>3454</v>
      </c>
      <c r="J103" s="115">
        <v>165000</v>
      </c>
      <c r="K103" s="115">
        <v>6335000</v>
      </c>
      <c r="L103" s="28" t="s">
        <v>20</v>
      </c>
      <c r="M103" s="28" t="s">
        <v>20</v>
      </c>
      <c r="N103" s="28" t="s">
        <v>20</v>
      </c>
      <c r="O103" s="28" t="s">
        <v>20</v>
      </c>
      <c r="P103" s="28">
        <v>5</v>
      </c>
      <c r="Q103" s="28" t="s">
        <v>20</v>
      </c>
    </row>
    <row r="104" spans="2:17" ht="21" x14ac:dyDescent="0.35">
      <c r="B104" s="27">
        <v>4</v>
      </c>
      <c r="C104" s="27" t="s">
        <v>93</v>
      </c>
      <c r="D104" s="27" t="s">
        <v>94</v>
      </c>
      <c r="E104" s="108">
        <v>45632</v>
      </c>
      <c r="F104" s="109">
        <v>0.67361111111111116</v>
      </c>
      <c r="G104" s="113" t="s">
        <v>3455</v>
      </c>
      <c r="H104" s="104" t="s">
        <v>406</v>
      </c>
      <c r="I104" s="113" t="s">
        <v>3448</v>
      </c>
      <c r="J104" s="115">
        <v>3000</v>
      </c>
      <c r="K104" s="115">
        <v>1500000</v>
      </c>
      <c r="L104" s="28" t="s">
        <v>20</v>
      </c>
      <c r="M104" s="28" t="s">
        <v>20</v>
      </c>
      <c r="N104" s="28" t="s">
        <v>20</v>
      </c>
      <c r="O104" s="28" t="s">
        <v>20</v>
      </c>
      <c r="P104" s="28" t="s">
        <v>20</v>
      </c>
      <c r="Q104" s="28" t="s">
        <v>20</v>
      </c>
    </row>
    <row r="105" spans="2:17" ht="21" x14ac:dyDescent="0.35">
      <c r="B105" s="27">
        <v>5</v>
      </c>
      <c r="C105" s="27" t="s">
        <v>93</v>
      </c>
      <c r="D105" s="27" t="s">
        <v>94</v>
      </c>
      <c r="E105" s="108">
        <v>45632</v>
      </c>
      <c r="F105" s="109">
        <v>0.8833333333333333</v>
      </c>
      <c r="G105" s="113" t="s">
        <v>2715</v>
      </c>
      <c r="H105" s="104" t="s">
        <v>3456</v>
      </c>
      <c r="I105" s="113" t="s">
        <v>3457</v>
      </c>
      <c r="J105" s="115">
        <v>5000</v>
      </c>
      <c r="K105" s="115">
        <v>2995000</v>
      </c>
      <c r="L105" s="28" t="s">
        <v>20</v>
      </c>
      <c r="M105" s="28" t="s">
        <v>20</v>
      </c>
      <c r="N105" s="28" t="s">
        <v>20</v>
      </c>
      <c r="O105" s="28" t="s">
        <v>20</v>
      </c>
      <c r="P105" s="28">
        <v>2</v>
      </c>
      <c r="Q105" s="28" t="s">
        <v>20</v>
      </c>
    </row>
    <row r="106" spans="2:17" ht="21" x14ac:dyDescent="0.35">
      <c r="B106" s="27">
        <v>6</v>
      </c>
      <c r="C106" s="27" t="s">
        <v>93</v>
      </c>
      <c r="D106" s="27" t="s">
        <v>94</v>
      </c>
      <c r="E106" s="108">
        <v>45642</v>
      </c>
      <c r="F106" s="109">
        <v>0.81874999999999998</v>
      </c>
      <c r="G106" s="113" t="s">
        <v>3458</v>
      </c>
      <c r="H106" s="104" t="s">
        <v>406</v>
      </c>
      <c r="I106" s="113" t="s">
        <v>3459</v>
      </c>
      <c r="J106" s="115">
        <v>85000</v>
      </c>
      <c r="K106" s="115">
        <v>9915000</v>
      </c>
      <c r="L106" s="28" t="s">
        <v>20</v>
      </c>
      <c r="M106" s="28" t="s">
        <v>20</v>
      </c>
      <c r="N106" s="28" t="s">
        <v>20</v>
      </c>
      <c r="O106" s="28" t="s">
        <v>20</v>
      </c>
      <c r="P106" s="28">
        <v>7</v>
      </c>
      <c r="Q106" s="28">
        <v>35</v>
      </c>
    </row>
    <row r="107" spans="2:17" ht="21" x14ac:dyDescent="0.35">
      <c r="B107" s="27">
        <v>7</v>
      </c>
      <c r="C107" s="27" t="s">
        <v>93</v>
      </c>
      <c r="D107" s="27" t="s">
        <v>94</v>
      </c>
      <c r="E107" s="108">
        <v>45646</v>
      </c>
      <c r="F107" s="109">
        <v>0.55902777777777779</v>
      </c>
      <c r="G107" s="113" t="s">
        <v>3460</v>
      </c>
      <c r="H107" s="104" t="s">
        <v>406</v>
      </c>
      <c r="I107" s="113" t="s">
        <v>3461</v>
      </c>
      <c r="J107" s="115" t="s">
        <v>20</v>
      </c>
      <c r="K107" s="115">
        <v>10000</v>
      </c>
      <c r="L107" s="28" t="s">
        <v>20</v>
      </c>
      <c r="M107" s="28" t="s">
        <v>20</v>
      </c>
      <c r="N107" s="28" t="s">
        <v>20</v>
      </c>
      <c r="O107" s="28" t="s">
        <v>20</v>
      </c>
      <c r="P107" s="28" t="s">
        <v>20</v>
      </c>
      <c r="Q107" s="28" t="s">
        <v>20</v>
      </c>
    </row>
    <row r="108" spans="2:17" ht="21" x14ac:dyDescent="0.35">
      <c r="B108" s="27">
        <v>8</v>
      </c>
      <c r="C108" s="27" t="s">
        <v>93</v>
      </c>
      <c r="D108" s="27" t="s">
        <v>94</v>
      </c>
      <c r="E108" s="108">
        <v>45646</v>
      </c>
      <c r="F108" s="109">
        <v>0.71944444444444444</v>
      </c>
      <c r="G108" s="113" t="s">
        <v>3462</v>
      </c>
      <c r="H108" s="104" t="s">
        <v>3463</v>
      </c>
      <c r="I108" s="113" t="s">
        <v>3464</v>
      </c>
      <c r="J108" s="115">
        <v>1000</v>
      </c>
      <c r="K108" s="115">
        <v>1499000</v>
      </c>
      <c r="L108" s="28" t="s">
        <v>20</v>
      </c>
      <c r="M108" s="28" t="s">
        <v>20</v>
      </c>
      <c r="N108" s="28">
        <v>1</v>
      </c>
      <c r="O108" s="28" t="s">
        <v>20</v>
      </c>
      <c r="P108" s="28" t="s">
        <v>20</v>
      </c>
      <c r="Q108" s="28" t="s">
        <v>20</v>
      </c>
    </row>
    <row r="109" spans="2:17" ht="21" x14ac:dyDescent="0.35">
      <c r="B109" s="27">
        <v>9</v>
      </c>
      <c r="C109" s="27" t="s">
        <v>93</v>
      </c>
      <c r="D109" s="27" t="s">
        <v>94</v>
      </c>
      <c r="E109" s="110">
        <v>45629</v>
      </c>
      <c r="F109" s="109">
        <v>0.78680555555555554</v>
      </c>
      <c r="G109" s="113" t="s">
        <v>3465</v>
      </c>
      <c r="H109" s="104" t="s">
        <v>406</v>
      </c>
      <c r="I109" s="113" t="s">
        <v>3466</v>
      </c>
      <c r="J109" s="115">
        <v>1000</v>
      </c>
      <c r="K109" s="115">
        <v>4999000</v>
      </c>
      <c r="L109" s="28" t="s">
        <v>75</v>
      </c>
      <c r="M109" s="28" t="s">
        <v>75</v>
      </c>
      <c r="N109" s="28" t="s">
        <v>75</v>
      </c>
      <c r="O109" s="28" t="s">
        <v>75</v>
      </c>
      <c r="P109" s="28" t="s">
        <v>75</v>
      </c>
      <c r="Q109" s="28" t="s">
        <v>75</v>
      </c>
    </row>
    <row r="110" spans="2:17" ht="21" x14ac:dyDescent="0.35">
      <c r="B110" s="27">
        <v>10</v>
      </c>
      <c r="C110" s="27" t="s">
        <v>93</v>
      </c>
      <c r="D110" s="27" t="s">
        <v>94</v>
      </c>
      <c r="E110" s="110">
        <v>45629</v>
      </c>
      <c r="F110" s="109">
        <v>9.583333333333334E-2</v>
      </c>
      <c r="G110" s="113" t="s">
        <v>3467</v>
      </c>
      <c r="H110" s="104" t="s">
        <v>3468</v>
      </c>
      <c r="I110" s="113" t="s">
        <v>2186</v>
      </c>
      <c r="J110" s="115">
        <v>750000</v>
      </c>
      <c r="K110" s="115">
        <v>9250000</v>
      </c>
      <c r="L110" s="28" t="s">
        <v>75</v>
      </c>
      <c r="M110" s="28" t="s">
        <v>75</v>
      </c>
      <c r="N110" s="28" t="s">
        <v>75</v>
      </c>
      <c r="O110" s="28" t="s">
        <v>75</v>
      </c>
      <c r="P110" s="28">
        <v>10</v>
      </c>
      <c r="Q110" s="28" t="s">
        <v>75</v>
      </c>
    </row>
    <row r="111" spans="2:17" ht="21" x14ac:dyDescent="0.35">
      <c r="B111" s="27">
        <v>11</v>
      </c>
      <c r="C111" s="27" t="s">
        <v>93</v>
      </c>
      <c r="D111" s="27" t="s">
        <v>584</v>
      </c>
      <c r="E111" s="110">
        <v>45629</v>
      </c>
      <c r="F111" s="109">
        <v>0.54722222222222228</v>
      </c>
      <c r="G111" s="113" t="s">
        <v>3469</v>
      </c>
      <c r="H111" s="113" t="s">
        <v>406</v>
      </c>
      <c r="I111" s="113" t="s">
        <v>3238</v>
      </c>
      <c r="J111" s="115">
        <v>10000</v>
      </c>
      <c r="K111" s="115">
        <v>5000</v>
      </c>
      <c r="L111" s="28" t="s">
        <v>75</v>
      </c>
      <c r="M111" s="28" t="s">
        <v>75</v>
      </c>
      <c r="N111" s="28" t="s">
        <v>75</v>
      </c>
      <c r="O111" s="28" t="s">
        <v>75</v>
      </c>
      <c r="P111" s="28" t="s">
        <v>75</v>
      </c>
      <c r="Q111" s="28" t="s">
        <v>75</v>
      </c>
    </row>
    <row r="112" spans="2:17" ht="21" x14ac:dyDescent="0.35">
      <c r="B112" s="27">
        <v>12</v>
      </c>
      <c r="C112" s="27" t="s">
        <v>93</v>
      </c>
      <c r="D112" s="27" t="s">
        <v>584</v>
      </c>
      <c r="E112" s="110">
        <v>45630</v>
      </c>
      <c r="F112" s="109">
        <v>0.62083333333333335</v>
      </c>
      <c r="G112" s="113" t="s">
        <v>3470</v>
      </c>
      <c r="H112" s="104" t="s">
        <v>309</v>
      </c>
      <c r="I112" s="113" t="s">
        <v>3471</v>
      </c>
      <c r="J112" s="115">
        <v>200000</v>
      </c>
      <c r="K112" s="115">
        <v>2800000</v>
      </c>
      <c r="L112" s="28" t="s">
        <v>75</v>
      </c>
      <c r="M112" s="28" t="s">
        <v>75</v>
      </c>
      <c r="N112" s="28" t="s">
        <v>75</v>
      </c>
      <c r="O112" s="28" t="s">
        <v>75</v>
      </c>
      <c r="P112" s="28">
        <v>2</v>
      </c>
      <c r="Q112" s="28" t="s">
        <v>75</v>
      </c>
    </row>
    <row r="113" spans="2:17" ht="21" x14ac:dyDescent="0.35">
      <c r="B113" s="27">
        <v>13</v>
      </c>
      <c r="C113" s="27" t="s">
        <v>93</v>
      </c>
      <c r="D113" s="27" t="s">
        <v>584</v>
      </c>
      <c r="E113" s="110">
        <v>45633</v>
      </c>
      <c r="F113" s="109">
        <v>0.60763888888888884</v>
      </c>
      <c r="G113" s="113" t="s">
        <v>3472</v>
      </c>
      <c r="H113" s="104" t="s">
        <v>3468</v>
      </c>
      <c r="I113" s="113" t="s">
        <v>3473</v>
      </c>
      <c r="J113" s="115">
        <v>1000</v>
      </c>
      <c r="K113" s="115">
        <v>999000</v>
      </c>
      <c r="L113" s="28" t="s">
        <v>75</v>
      </c>
      <c r="M113" s="28" t="s">
        <v>75</v>
      </c>
      <c r="N113" s="28" t="s">
        <v>75</v>
      </c>
      <c r="O113" s="28" t="s">
        <v>75</v>
      </c>
      <c r="P113" s="28" t="s">
        <v>75</v>
      </c>
      <c r="Q113" s="28" t="s">
        <v>75</v>
      </c>
    </row>
    <row r="114" spans="2:17" ht="21" x14ac:dyDescent="0.35">
      <c r="B114" s="27">
        <v>14</v>
      </c>
      <c r="C114" s="27" t="s">
        <v>93</v>
      </c>
      <c r="D114" s="27" t="s">
        <v>584</v>
      </c>
      <c r="E114" s="110">
        <v>45636</v>
      </c>
      <c r="F114" s="109">
        <v>0.27916666666666667</v>
      </c>
      <c r="G114" s="113" t="s">
        <v>3474</v>
      </c>
      <c r="H114" s="104" t="s">
        <v>3475</v>
      </c>
      <c r="I114" s="113" t="s">
        <v>3476</v>
      </c>
      <c r="J114" s="115">
        <v>200000</v>
      </c>
      <c r="K114" s="115">
        <v>3300000</v>
      </c>
      <c r="L114" s="28" t="s">
        <v>75</v>
      </c>
      <c r="M114" s="28" t="s">
        <v>75</v>
      </c>
      <c r="N114" s="28" t="s">
        <v>75</v>
      </c>
      <c r="O114" s="28" t="s">
        <v>75</v>
      </c>
      <c r="P114" s="28" t="s">
        <v>75</v>
      </c>
      <c r="Q114" s="28" t="s">
        <v>75</v>
      </c>
    </row>
    <row r="115" spans="2:17" ht="39" x14ac:dyDescent="0.35">
      <c r="B115" s="27">
        <v>15</v>
      </c>
      <c r="C115" s="27" t="s">
        <v>93</v>
      </c>
      <c r="D115" s="27" t="s">
        <v>584</v>
      </c>
      <c r="E115" s="110">
        <v>45636</v>
      </c>
      <c r="F115" s="109">
        <v>0.56041666666666667</v>
      </c>
      <c r="G115" s="113" t="s">
        <v>3477</v>
      </c>
      <c r="H115" s="104" t="s">
        <v>3219</v>
      </c>
      <c r="I115" s="113" t="s">
        <v>3219</v>
      </c>
      <c r="J115" s="115" t="s">
        <v>134</v>
      </c>
      <c r="K115" s="115" t="s">
        <v>134</v>
      </c>
      <c r="L115" s="28" t="s">
        <v>75</v>
      </c>
      <c r="M115" s="28" t="s">
        <v>75</v>
      </c>
      <c r="N115" s="28" t="s">
        <v>75</v>
      </c>
      <c r="O115" s="28" t="s">
        <v>75</v>
      </c>
      <c r="P115" s="28" t="s">
        <v>75</v>
      </c>
      <c r="Q115" s="28" t="s">
        <v>75</v>
      </c>
    </row>
    <row r="116" spans="2:17" ht="21" x14ac:dyDescent="0.35">
      <c r="B116" s="27">
        <v>16</v>
      </c>
      <c r="C116" s="27" t="s">
        <v>93</v>
      </c>
      <c r="D116" s="27" t="s">
        <v>584</v>
      </c>
      <c r="E116" s="110">
        <v>45639</v>
      </c>
      <c r="F116" s="109">
        <v>0.78194444444444444</v>
      </c>
      <c r="G116" s="113" t="s">
        <v>3478</v>
      </c>
      <c r="H116" s="104" t="s">
        <v>3479</v>
      </c>
      <c r="I116" s="113" t="s">
        <v>3480</v>
      </c>
      <c r="J116" s="115">
        <v>200000</v>
      </c>
      <c r="K116" s="115" t="s">
        <v>20</v>
      </c>
      <c r="L116" s="28" t="s">
        <v>75</v>
      </c>
      <c r="M116" s="28" t="s">
        <v>75</v>
      </c>
      <c r="N116" s="28" t="s">
        <v>75</v>
      </c>
      <c r="O116" s="28" t="s">
        <v>75</v>
      </c>
      <c r="P116" s="28">
        <v>5</v>
      </c>
      <c r="Q116" s="28" t="s">
        <v>75</v>
      </c>
    </row>
    <row r="117" spans="2:17" ht="21" x14ac:dyDescent="0.35">
      <c r="B117" s="27">
        <v>17</v>
      </c>
      <c r="C117" s="27" t="s">
        <v>93</v>
      </c>
      <c r="D117" s="27" t="s">
        <v>584</v>
      </c>
      <c r="E117" s="110">
        <v>45641</v>
      </c>
      <c r="F117" s="109">
        <v>0.79236111111111107</v>
      </c>
      <c r="G117" s="113" t="s">
        <v>3481</v>
      </c>
      <c r="H117" s="104" t="s">
        <v>3482</v>
      </c>
      <c r="I117" s="113" t="s">
        <v>3483</v>
      </c>
      <c r="J117" s="115">
        <v>20000</v>
      </c>
      <c r="K117" s="115">
        <v>5980000</v>
      </c>
      <c r="L117" s="28" t="s">
        <v>75</v>
      </c>
      <c r="M117" s="28" t="s">
        <v>75</v>
      </c>
      <c r="N117" s="28" t="s">
        <v>75</v>
      </c>
      <c r="O117" s="28" t="s">
        <v>75</v>
      </c>
      <c r="P117" s="28">
        <v>5</v>
      </c>
      <c r="Q117" s="28" t="s">
        <v>75</v>
      </c>
    </row>
    <row r="118" spans="2:17" ht="39" x14ac:dyDescent="0.35">
      <c r="B118" s="27">
        <v>18</v>
      </c>
      <c r="C118" s="27" t="s">
        <v>93</v>
      </c>
      <c r="D118" s="27" t="s">
        <v>584</v>
      </c>
      <c r="E118" s="110">
        <v>45641</v>
      </c>
      <c r="F118" s="109">
        <v>0.89027777777777772</v>
      </c>
      <c r="G118" s="113" t="s">
        <v>3484</v>
      </c>
      <c r="H118" s="104" t="s">
        <v>3219</v>
      </c>
      <c r="I118" s="113" t="s">
        <v>3219</v>
      </c>
      <c r="J118" s="115" t="s">
        <v>134</v>
      </c>
      <c r="K118" s="115" t="s">
        <v>134</v>
      </c>
      <c r="L118" s="28" t="s">
        <v>75</v>
      </c>
      <c r="M118" s="28" t="s">
        <v>75</v>
      </c>
      <c r="N118" s="28" t="s">
        <v>75</v>
      </c>
      <c r="O118" s="28" t="s">
        <v>75</v>
      </c>
      <c r="P118" s="28" t="s">
        <v>75</v>
      </c>
      <c r="Q118" s="28" t="s">
        <v>75</v>
      </c>
    </row>
    <row r="119" spans="2:17" ht="21" x14ac:dyDescent="0.35">
      <c r="B119" s="27">
        <v>19</v>
      </c>
      <c r="C119" s="27" t="s">
        <v>93</v>
      </c>
      <c r="D119" s="27" t="s">
        <v>584</v>
      </c>
      <c r="E119" s="110">
        <v>45645</v>
      </c>
      <c r="F119" s="109">
        <v>2.9166666666666667E-2</v>
      </c>
      <c r="G119" s="113" t="s">
        <v>3485</v>
      </c>
      <c r="H119" s="104" t="s">
        <v>406</v>
      </c>
      <c r="I119" s="113" t="s">
        <v>3486</v>
      </c>
      <c r="J119" s="115">
        <v>5000</v>
      </c>
      <c r="K119" s="115">
        <v>49995000</v>
      </c>
      <c r="L119" s="28" t="s">
        <v>75</v>
      </c>
      <c r="M119" s="28" t="s">
        <v>75</v>
      </c>
      <c r="N119" s="28" t="s">
        <v>75</v>
      </c>
      <c r="O119" s="28" t="s">
        <v>75</v>
      </c>
      <c r="P119" s="28" t="s">
        <v>75</v>
      </c>
      <c r="Q119" s="28" t="s">
        <v>75</v>
      </c>
    </row>
    <row r="120" spans="2:17" ht="21" x14ac:dyDescent="0.35">
      <c r="B120" s="27">
        <v>20</v>
      </c>
      <c r="C120" s="27" t="s">
        <v>93</v>
      </c>
      <c r="D120" s="27" t="s">
        <v>584</v>
      </c>
      <c r="E120" s="110">
        <v>45645</v>
      </c>
      <c r="F120" s="109">
        <v>0.5854166666666667</v>
      </c>
      <c r="G120" s="113" t="s">
        <v>3487</v>
      </c>
      <c r="H120" s="104" t="s">
        <v>406</v>
      </c>
      <c r="I120" s="113" t="s">
        <v>3238</v>
      </c>
      <c r="J120" s="115">
        <v>70000</v>
      </c>
      <c r="K120" s="115">
        <v>10000</v>
      </c>
      <c r="L120" s="28" t="s">
        <v>75</v>
      </c>
      <c r="M120" s="28" t="s">
        <v>75</v>
      </c>
      <c r="N120" s="28" t="s">
        <v>75</v>
      </c>
      <c r="O120" s="28" t="s">
        <v>75</v>
      </c>
      <c r="P120" s="28" t="s">
        <v>75</v>
      </c>
      <c r="Q120" s="28" t="s">
        <v>75</v>
      </c>
    </row>
    <row r="121" spans="2:17" ht="21" x14ac:dyDescent="0.35">
      <c r="B121" s="27">
        <v>21</v>
      </c>
      <c r="C121" s="27" t="s">
        <v>93</v>
      </c>
      <c r="D121" s="27" t="s">
        <v>584</v>
      </c>
      <c r="E121" s="110">
        <v>45648</v>
      </c>
      <c r="F121" s="109">
        <v>0.57430555555555551</v>
      </c>
      <c r="G121" s="113" t="s">
        <v>3488</v>
      </c>
      <c r="H121" s="104" t="s">
        <v>3468</v>
      </c>
      <c r="I121" s="113" t="s">
        <v>3489</v>
      </c>
      <c r="J121" s="115">
        <v>5000</v>
      </c>
      <c r="K121" s="115" t="s">
        <v>20</v>
      </c>
      <c r="L121" s="28" t="s">
        <v>75</v>
      </c>
      <c r="M121" s="28" t="s">
        <v>75</v>
      </c>
      <c r="N121" s="28" t="s">
        <v>75</v>
      </c>
      <c r="O121" s="28" t="s">
        <v>75</v>
      </c>
      <c r="P121" s="28" t="s">
        <v>75</v>
      </c>
      <c r="Q121" s="28" t="s">
        <v>75</v>
      </c>
    </row>
    <row r="122" spans="2:17" ht="21" x14ac:dyDescent="0.35">
      <c r="B122" s="27">
        <v>22</v>
      </c>
      <c r="C122" s="27" t="s">
        <v>93</v>
      </c>
      <c r="D122" s="27" t="s">
        <v>584</v>
      </c>
      <c r="E122" s="110">
        <v>45648</v>
      </c>
      <c r="F122" s="109">
        <v>0.57430555555555551</v>
      </c>
      <c r="G122" s="113" t="s">
        <v>3490</v>
      </c>
      <c r="H122" s="104" t="s">
        <v>3468</v>
      </c>
      <c r="I122" s="113" t="s">
        <v>2523</v>
      </c>
      <c r="J122" s="115">
        <v>5000</v>
      </c>
      <c r="K122" s="115">
        <v>95000</v>
      </c>
      <c r="L122" s="28" t="s">
        <v>75</v>
      </c>
      <c r="M122" s="28" t="s">
        <v>75</v>
      </c>
      <c r="N122" s="28" t="s">
        <v>75</v>
      </c>
      <c r="O122" s="28" t="s">
        <v>75</v>
      </c>
      <c r="P122" s="28" t="s">
        <v>75</v>
      </c>
      <c r="Q122" s="28" t="s">
        <v>75</v>
      </c>
    </row>
    <row r="123" spans="2:17" ht="21" x14ac:dyDescent="0.35">
      <c r="B123" s="27">
        <v>23</v>
      </c>
      <c r="C123" s="27" t="s">
        <v>93</v>
      </c>
      <c r="D123" s="27" t="s">
        <v>584</v>
      </c>
      <c r="E123" s="110">
        <v>45648</v>
      </c>
      <c r="F123" s="109">
        <v>0.5854166666666667</v>
      </c>
      <c r="G123" s="113" t="s">
        <v>3491</v>
      </c>
      <c r="H123" s="104" t="s">
        <v>406</v>
      </c>
      <c r="I123" s="113" t="s">
        <v>2757</v>
      </c>
      <c r="J123" s="115" t="s">
        <v>20</v>
      </c>
      <c r="K123" s="115">
        <v>10000</v>
      </c>
      <c r="L123" s="28" t="s">
        <v>75</v>
      </c>
      <c r="M123" s="28" t="s">
        <v>75</v>
      </c>
      <c r="N123" s="28" t="s">
        <v>75</v>
      </c>
      <c r="O123" s="28" t="s">
        <v>75</v>
      </c>
      <c r="P123" s="28" t="s">
        <v>75</v>
      </c>
      <c r="Q123" s="28" t="s">
        <v>75</v>
      </c>
    </row>
    <row r="124" spans="2:17" ht="21" x14ac:dyDescent="0.35">
      <c r="B124" s="27">
        <v>24</v>
      </c>
      <c r="C124" s="27" t="s">
        <v>93</v>
      </c>
      <c r="D124" s="27" t="s">
        <v>584</v>
      </c>
      <c r="E124" s="110">
        <v>45651</v>
      </c>
      <c r="F124" s="109">
        <v>0.46736111111111112</v>
      </c>
      <c r="G124" s="113" t="s">
        <v>3492</v>
      </c>
      <c r="H124" s="104" t="s">
        <v>406</v>
      </c>
      <c r="I124" s="113" t="s">
        <v>3493</v>
      </c>
      <c r="J124" s="115">
        <v>5000</v>
      </c>
      <c r="K124" s="115">
        <v>2495000</v>
      </c>
      <c r="L124" s="28" t="s">
        <v>75</v>
      </c>
      <c r="M124" s="28" t="s">
        <v>75</v>
      </c>
      <c r="N124" s="28" t="s">
        <v>75</v>
      </c>
      <c r="O124" s="28" t="s">
        <v>75</v>
      </c>
      <c r="P124" s="28" t="s">
        <v>75</v>
      </c>
      <c r="Q124" s="28" t="s">
        <v>75</v>
      </c>
    </row>
    <row r="125" spans="2:17" ht="21" x14ac:dyDescent="0.35">
      <c r="B125" s="27">
        <v>25</v>
      </c>
      <c r="C125" s="27" t="s">
        <v>93</v>
      </c>
      <c r="D125" s="27" t="s">
        <v>584</v>
      </c>
      <c r="E125" s="110">
        <v>45653</v>
      </c>
      <c r="F125" s="109">
        <v>0.78402777777777777</v>
      </c>
      <c r="G125" s="113" t="s">
        <v>3494</v>
      </c>
      <c r="H125" s="104" t="s">
        <v>3468</v>
      </c>
      <c r="I125" s="113" t="s">
        <v>3493</v>
      </c>
      <c r="J125" s="115">
        <v>50000</v>
      </c>
      <c r="K125" s="115">
        <v>4950000</v>
      </c>
      <c r="L125" s="28" t="s">
        <v>75</v>
      </c>
      <c r="M125" s="28" t="s">
        <v>75</v>
      </c>
      <c r="N125" s="28" t="s">
        <v>75</v>
      </c>
      <c r="O125" s="28" t="s">
        <v>75</v>
      </c>
      <c r="P125" s="28" t="s">
        <v>75</v>
      </c>
      <c r="Q125" s="28" t="s">
        <v>75</v>
      </c>
    </row>
    <row r="126" spans="2:17" ht="21" x14ac:dyDescent="0.35">
      <c r="B126" s="27">
        <v>26</v>
      </c>
      <c r="C126" s="27" t="s">
        <v>93</v>
      </c>
      <c r="D126" s="27" t="s">
        <v>584</v>
      </c>
      <c r="E126" s="110">
        <v>45654</v>
      </c>
      <c r="F126" s="109">
        <v>0.62152777777777779</v>
      </c>
      <c r="G126" s="113" t="s">
        <v>3495</v>
      </c>
      <c r="H126" s="104" t="s">
        <v>3468</v>
      </c>
      <c r="I126" s="113" t="s">
        <v>2523</v>
      </c>
      <c r="J126" s="115">
        <v>3000</v>
      </c>
      <c r="K126" s="115">
        <v>7000</v>
      </c>
      <c r="L126" s="28" t="s">
        <v>75</v>
      </c>
      <c r="M126" s="28" t="s">
        <v>75</v>
      </c>
      <c r="N126" s="28" t="s">
        <v>75</v>
      </c>
      <c r="O126" s="28" t="s">
        <v>75</v>
      </c>
      <c r="P126" s="28" t="s">
        <v>75</v>
      </c>
      <c r="Q126" s="28" t="s">
        <v>75</v>
      </c>
    </row>
    <row r="127" spans="2:17" ht="21" x14ac:dyDescent="0.35">
      <c r="B127" s="27">
        <v>27</v>
      </c>
      <c r="C127" s="27" t="s">
        <v>93</v>
      </c>
      <c r="D127" s="27" t="s">
        <v>584</v>
      </c>
      <c r="E127" s="110">
        <v>45655</v>
      </c>
      <c r="F127" s="109">
        <v>0.46805555555555556</v>
      </c>
      <c r="G127" s="113" t="s">
        <v>3496</v>
      </c>
      <c r="H127" s="104" t="s">
        <v>3468</v>
      </c>
      <c r="I127" s="113" t="s">
        <v>3497</v>
      </c>
      <c r="J127" s="115">
        <v>80000</v>
      </c>
      <c r="K127" s="115">
        <v>4920000</v>
      </c>
      <c r="L127" s="28" t="s">
        <v>75</v>
      </c>
      <c r="M127" s="28" t="s">
        <v>75</v>
      </c>
      <c r="N127" s="28" t="s">
        <v>75</v>
      </c>
      <c r="O127" s="28" t="s">
        <v>75</v>
      </c>
      <c r="P127" s="28" t="s">
        <v>75</v>
      </c>
      <c r="Q127" s="28" t="s">
        <v>75</v>
      </c>
    </row>
    <row r="128" spans="2:17" ht="39" x14ac:dyDescent="0.35">
      <c r="B128" s="27">
        <v>28</v>
      </c>
      <c r="C128" s="27" t="s">
        <v>93</v>
      </c>
      <c r="D128" s="27" t="s">
        <v>1791</v>
      </c>
      <c r="E128" s="108">
        <v>45636</v>
      </c>
      <c r="F128" s="109">
        <v>0.49305555555555558</v>
      </c>
      <c r="G128" s="104" t="s">
        <v>3498</v>
      </c>
      <c r="H128" s="113" t="s">
        <v>3499</v>
      </c>
      <c r="I128" s="113" t="s">
        <v>3500</v>
      </c>
      <c r="J128" s="115" t="s">
        <v>139</v>
      </c>
      <c r="K128" s="115" t="s">
        <v>140</v>
      </c>
      <c r="L128" s="28" t="s">
        <v>23</v>
      </c>
      <c r="M128" s="28" t="s">
        <v>23</v>
      </c>
      <c r="N128" s="28" t="s">
        <v>23</v>
      </c>
      <c r="O128" s="28" t="s">
        <v>23</v>
      </c>
      <c r="P128" s="28" t="s">
        <v>23</v>
      </c>
      <c r="Q128" s="28" t="s">
        <v>23</v>
      </c>
    </row>
    <row r="129" spans="2:17" ht="21" x14ac:dyDescent="0.35">
      <c r="B129" s="27">
        <v>29</v>
      </c>
      <c r="C129" s="27" t="s">
        <v>93</v>
      </c>
      <c r="D129" s="27" t="s">
        <v>1791</v>
      </c>
      <c r="E129" s="108">
        <v>45640</v>
      </c>
      <c r="F129" s="109">
        <v>0.71875</v>
      </c>
      <c r="G129" s="104" t="s">
        <v>3501</v>
      </c>
      <c r="H129" s="113" t="s">
        <v>3502</v>
      </c>
      <c r="I129" s="113" t="s">
        <v>3503</v>
      </c>
      <c r="J129" s="115" t="s">
        <v>20</v>
      </c>
      <c r="K129" s="115" t="s">
        <v>20</v>
      </c>
      <c r="L129" s="28" t="s">
        <v>23</v>
      </c>
      <c r="M129" s="28" t="s">
        <v>23</v>
      </c>
      <c r="N129" s="28" t="s">
        <v>23</v>
      </c>
      <c r="O129" s="28" t="s">
        <v>23</v>
      </c>
      <c r="P129" s="28" t="s">
        <v>23</v>
      </c>
      <c r="Q129" s="28" t="s">
        <v>23</v>
      </c>
    </row>
    <row r="130" spans="2:17" ht="21" x14ac:dyDescent="0.35">
      <c r="B130" s="27">
        <v>30</v>
      </c>
      <c r="C130" s="27" t="s">
        <v>93</v>
      </c>
      <c r="D130" s="27" t="s">
        <v>1791</v>
      </c>
      <c r="E130" s="108">
        <v>45647</v>
      </c>
      <c r="F130" s="109">
        <v>0.6430555555555556</v>
      </c>
      <c r="G130" s="104" t="s">
        <v>3504</v>
      </c>
      <c r="H130" s="113" t="s">
        <v>3246</v>
      </c>
      <c r="I130" s="113" t="s">
        <v>3505</v>
      </c>
      <c r="J130" s="115" t="s">
        <v>141</v>
      </c>
      <c r="K130" s="115" t="s">
        <v>142</v>
      </c>
      <c r="L130" s="28" t="s">
        <v>23</v>
      </c>
      <c r="M130" s="28" t="s">
        <v>23</v>
      </c>
      <c r="N130" s="28" t="s">
        <v>23</v>
      </c>
      <c r="O130" s="28" t="s">
        <v>23</v>
      </c>
      <c r="P130" s="28" t="s">
        <v>23</v>
      </c>
      <c r="Q130" s="28" t="s">
        <v>23</v>
      </c>
    </row>
    <row r="131" spans="2:17" ht="39" x14ac:dyDescent="0.35">
      <c r="B131" s="27">
        <v>31</v>
      </c>
      <c r="C131" s="27" t="s">
        <v>93</v>
      </c>
      <c r="D131" s="27" t="s">
        <v>1791</v>
      </c>
      <c r="E131" s="108">
        <v>45649</v>
      </c>
      <c r="F131" s="109">
        <v>0.86736111111111114</v>
      </c>
      <c r="G131" s="104" t="s">
        <v>3506</v>
      </c>
      <c r="H131" s="113" t="s">
        <v>3246</v>
      </c>
      <c r="I131" s="113" t="s">
        <v>3507</v>
      </c>
      <c r="J131" s="115" t="s">
        <v>143</v>
      </c>
      <c r="K131" s="115" t="s">
        <v>144</v>
      </c>
      <c r="L131" s="28" t="s">
        <v>23</v>
      </c>
      <c r="M131" s="28" t="s">
        <v>23</v>
      </c>
      <c r="N131" s="28" t="s">
        <v>23</v>
      </c>
      <c r="O131" s="28" t="s">
        <v>23</v>
      </c>
      <c r="P131" s="28" t="s">
        <v>23</v>
      </c>
      <c r="Q131" s="28" t="s">
        <v>23</v>
      </c>
    </row>
    <row r="132" spans="2:17" ht="21" x14ac:dyDescent="0.35">
      <c r="B132" s="106">
        <v>32</v>
      </c>
      <c r="C132" s="27" t="s">
        <v>93</v>
      </c>
      <c r="D132" s="27" t="s">
        <v>1791</v>
      </c>
      <c r="E132" s="110">
        <v>45653</v>
      </c>
      <c r="F132" s="109">
        <v>0.68125000000000002</v>
      </c>
      <c r="G132" s="113" t="s">
        <v>3508</v>
      </c>
      <c r="H132" s="113" t="s">
        <v>3150</v>
      </c>
      <c r="I132" s="113" t="s">
        <v>3645</v>
      </c>
      <c r="J132" s="115" t="s">
        <v>20</v>
      </c>
      <c r="K132" s="132">
        <v>50000</v>
      </c>
      <c r="L132" s="28" t="s">
        <v>23</v>
      </c>
      <c r="M132" s="28" t="s">
        <v>23</v>
      </c>
      <c r="N132" s="28" t="s">
        <v>23</v>
      </c>
      <c r="O132" s="28" t="s">
        <v>23</v>
      </c>
      <c r="P132" s="28" t="s">
        <v>23</v>
      </c>
      <c r="Q132" s="28" t="s">
        <v>23</v>
      </c>
    </row>
    <row r="133" spans="2:17" ht="21" x14ac:dyDescent="0.35">
      <c r="B133" s="27">
        <v>33</v>
      </c>
      <c r="C133" s="27" t="s">
        <v>93</v>
      </c>
      <c r="D133" s="27" t="s">
        <v>1792</v>
      </c>
      <c r="E133" s="108">
        <v>45631</v>
      </c>
      <c r="F133" s="109">
        <v>0.68611111111111112</v>
      </c>
      <c r="G133" s="104" t="s">
        <v>3509</v>
      </c>
      <c r="H133" s="113" t="s">
        <v>3510</v>
      </c>
      <c r="I133" s="104" t="s">
        <v>3511</v>
      </c>
      <c r="J133" s="115">
        <v>10000</v>
      </c>
      <c r="K133" s="115">
        <v>40000</v>
      </c>
      <c r="L133" s="28" t="s">
        <v>23</v>
      </c>
      <c r="M133" s="28" t="s">
        <v>23</v>
      </c>
      <c r="N133" s="28" t="s">
        <v>23</v>
      </c>
      <c r="O133" s="28" t="s">
        <v>23</v>
      </c>
      <c r="P133" s="28" t="s">
        <v>23</v>
      </c>
      <c r="Q133" s="28" t="s">
        <v>23</v>
      </c>
    </row>
    <row r="134" spans="2:17" ht="21" x14ac:dyDescent="0.35">
      <c r="B134" s="27">
        <v>34</v>
      </c>
      <c r="C134" s="27" t="s">
        <v>93</v>
      </c>
      <c r="D134" s="27" t="s">
        <v>1792</v>
      </c>
      <c r="E134" s="28" t="s">
        <v>585</v>
      </c>
      <c r="F134" s="109">
        <v>0.89027777777777772</v>
      </c>
      <c r="G134" s="104" t="s">
        <v>3512</v>
      </c>
      <c r="H134" s="113" t="s">
        <v>3513</v>
      </c>
      <c r="I134" s="104" t="s">
        <v>3514</v>
      </c>
      <c r="J134" s="115">
        <v>10000</v>
      </c>
      <c r="K134" s="115">
        <v>30000</v>
      </c>
      <c r="L134" s="28" t="s">
        <v>23</v>
      </c>
      <c r="M134" s="28" t="s">
        <v>23</v>
      </c>
      <c r="N134" s="28" t="s">
        <v>23</v>
      </c>
      <c r="O134" s="28" t="s">
        <v>23</v>
      </c>
      <c r="P134" s="28" t="s">
        <v>23</v>
      </c>
      <c r="Q134" s="28" t="s">
        <v>23</v>
      </c>
    </row>
    <row r="135" spans="2:17" ht="21" x14ac:dyDescent="0.35">
      <c r="B135" s="27">
        <v>35</v>
      </c>
      <c r="C135" s="27" t="s">
        <v>93</v>
      </c>
      <c r="D135" s="27" t="s">
        <v>1792</v>
      </c>
      <c r="E135" s="108">
        <v>45656</v>
      </c>
      <c r="F135" s="109">
        <v>0.82361111111111107</v>
      </c>
      <c r="G135" s="104" t="s">
        <v>3512</v>
      </c>
      <c r="H135" s="113" t="s">
        <v>3513</v>
      </c>
      <c r="I135" s="104" t="s">
        <v>3514</v>
      </c>
      <c r="J135" s="115">
        <v>20000</v>
      </c>
      <c r="K135" s="115">
        <v>80000</v>
      </c>
      <c r="L135" s="28" t="s">
        <v>23</v>
      </c>
      <c r="M135" s="28" t="s">
        <v>23</v>
      </c>
      <c r="N135" s="28" t="s">
        <v>23</v>
      </c>
      <c r="O135" s="28" t="s">
        <v>23</v>
      </c>
      <c r="P135" s="28" t="s">
        <v>23</v>
      </c>
      <c r="Q135" s="28" t="s">
        <v>23</v>
      </c>
    </row>
    <row r="136" spans="2:17" ht="21" x14ac:dyDescent="0.35">
      <c r="B136" s="27">
        <v>36</v>
      </c>
      <c r="C136" s="27" t="s">
        <v>93</v>
      </c>
      <c r="D136" s="27" t="s">
        <v>587</v>
      </c>
      <c r="E136" s="108">
        <v>45630</v>
      </c>
      <c r="F136" s="109">
        <v>0.1701388888888889</v>
      </c>
      <c r="G136" s="104" t="s">
        <v>3515</v>
      </c>
      <c r="H136" s="113" t="s">
        <v>3162</v>
      </c>
      <c r="I136" s="104" t="s">
        <v>3516</v>
      </c>
      <c r="J136" s="115">
        <v>5000</v>
      </c>
      <c r="K136" s="115">
        <v>195000</v>
      </c>
      <c r="L136" s="28" t="s">
        <v>23</v>
      </c>
      <c r="M136" s="28" t="s">
        <v>23</v>
      </c>
      <c r="N136" s="28" t="s">
        <v>23</v>
      </c>
      <c r="O136" s="28" t="s">
        <v>23</v>
      </c>
      <c r="P136" s="28" t="s">
        <v>23</v>
      </c>
      <c r="Q136" s="28" t="s">
        <v>23</v>
      </c>
    </row>
    <row r="137" spans="2:17" ht="21" x14ac:dyDescent="0.35">
      <c r="B137" s="27">
        <v>37</v>
      </c>
      <c r="C137" s="27" t="s">
        <v>93</v>
      </c>
      <c r="D137" s="27" t="s">
        <v>587</v>
      </c>
      <c r="E137" s="108">
        <v>45633</v>
      </c>
      <c r="F137" s="109">
        <v>0.61805555555555558</v>
      </c>
      <c r="G137" s="104" t="s">
        <v>3517</v>
      </c>
      <c r="H137" s="113" t="s">
        <v>3518</v>
      </c>
      <c r="I137" s="104" t="s">
        <v>3519</v>
      </c>
      <c r="J137" s="115">
        <v>5000</v>
      </c>
      <c r="K137" s="115">
        <v>595000</v>
      </c>
      <c r="L137" s="28" t="s">
        <v>23</v>
      </c>
      <c r="M137" s="28" t="s">
        <v>23</v>
      </c>
      <c r="N137" s="28" t="s">
        <v>23</v>
      </c>
      <c r="O137" s="28" t="s">
        <v>23</v>
      </c>
      <c r="P137" s="28" t="s">
        <v>23</v>
      </c>
      <c r="Q137" s="28" t="s">
        <v>23</v>
      </c>
    </row>
    <row r="138" spans="2:17" ht="39" x14ac:dyDescent="0.35">
      <c r="B138" s="27">
        <v>1</v>
      </c>
      <c r="C138" s="27" t="s">
        <v>93</v>
      </c>
      <c r="D138" s="27" t="s">
        <v>94</v>
      </c>
      <c r="E138" s="108">
        <v>45323</v>
      </c>
      <c r="F138" s="109">
        <v>0.7729166666666667</v>
      </c>
      <c r="G138" s="104" t="s">
        <v>3520</v>
      </c>
      <c r="H138" s="104" t="s">
        <v>3521</v>
      </c>
      <c r="I138" s="130" t="s">
        <v>3522</v>
      </c>
      <c r="J138" s="115">
        <v>5000</v>
      </c>
      <c r="K138" s="115">
        <v>45000</v>
      </c>
      <c r="L138" s="28" t="s">
        <v>23</v>
      </c>
      <c r="M138" s="28" t="s">
        <v>23</v>
      </c>
      <c r="N138" s="28" t="s">
        <v>23</v>
      </c>
      <c r="O138" s="28" t="s">
        <v>23</v>
      </c>
      <c r="P138" s="28" t="s">
        <v>23</v>
      </c>
      <c r="Q138" s="28" t="s">
        <v>23</v>
      </c>
    </row>
    <row r="139" spans="2:17" ht="42" x14ac:dyDescent="0.35">
      <c r="B139" s="27">
        <v>2</v>
      </c>
      <c r="C139" s="27" t="s">
        <v>93</v>
      </c>
      <c r="D139" s="27" t="s">
        <v>94</v>
      </c>
      <c r="E139" s="108">
        <v>45324</v>
      </c>
      <c r="F139" s="109">
        <v>0.71805555555555556</v>
      </c>
      <c r="G139" s="104" t="s">
        <v>3523</v>
      </c>
      <c r="H139" s="128" t="s">
        <v>2714</v>
      </c>
      <c r="I139" s="130" t="s">
        <v>3524</v>
      </c>
      <c r="J139" s="120" t="s">
        <v>2714</v>
      </c>
      <c r="K139" s="120" t="s">
        <v>2714</v>
      </c>
      <c r="L139" s="28" t="s">
        <v>23</v>
      </c>
      <c r="M139" s="28" t="s">
        <v>23</v>
      </c>
      <c r="N139" s="28" t="s">
        <v>23</v>
      </c>
      <c r="O139" s="28" t="s">
        <v>23</v>
      </c>
      <c r="P139" s="28" t="s">
        <v>23</v>
      </c>
      <c r="Q139" s="28" t="s">
        <v>23</v>
      </c>
    </row>
    <row r="140" spans="2:17" ht="58.5" x14ac:dyDescent="0.35">
      <c r="B140" s="27">
        <v>3</v>
      </c>
      <c r="C140" s="27" t="s">
        <v>93</v>
      </c>
      <c r="D140" s="27" t="s">
        <v>94</v>
      </c>
      <c r="E140" s="108">
        <v>45331</v>
      </c>
      <c r="F140" s="109">
        <v>0.64236111111111116</v>
      </c>
      <c r="G140" s="104" t="s">
        <v>3525</v>
      </c>
      <c r="H140" s="104" t="s">
        <v>3526</v>
      </c>
      <c r="I140" s="130" t="s">
        <v>3527</v>
      </c>
      <c r="J140" s="115">
        <v>150000</v>
      </c>
      <c r="K140" s="115">
        <v>24850000</v>
      </c>
      <c r="L140" s="28" t="s">
        <v>23</v>
      </c>
      <c r="M140" s="28" t="s">
        <v>23</v>
      </c>
      <c r="N140" s="28" t="s">
        <v>23</v>
      </c>
      <c r="O140" s="28" t="s">
        <v>23</v>
      </c>
      <c r="P140" s="28">
        <v>3</v>
      </c>
      <c r="Q140" s="28" t="s">
        <v>23</v>
      </c>
    </row>
    <row r="141" spans="2:17" ht="78" x14ac:dyDescent="0.35">
      <c r="B141" s="27">
        <v>4</v>
      </c>
      <c r="C141" s="27" t="s">
        <v>93</v>
      </c>
      <c r="D141" s="27" t="s">
        <v>94</v>
      </c>
      <c r="E141" s="108">
        <v>45333</v>
      </c>
      <c r="F141" s="109">
        <v>0.54861111111111116</v>
      </c>
      <c r="G141" s="104" t="s">
        <v>3528</v>
      </c>
      <c r="H141" s="104" t="s">
        <v>3529</v>
      </c>
      <c r="I141" s="130" t="s">
        <v>3530</v>
      </c>
      <c r="J141" s="115">
        <v>80000</v>
      </c>
      <c r="K141" s="115">
        <v>420000</v>
      </c>
      <c r="L141" s="28" t="s">
        <v>23</v>
      </c>
      <c r="M141" s="28" t="s">
        <v>23</v>
      </c>
      <c r="N141" s="28" t="s">
        <v>23</v>
      </c>
      <c r="O141" s="28" t="s">
        <v>23</v>
      </c>
      <c r="P141" s="28" t="s">
        <v>23</v>
      </c>
      <c r="Q141" s="28" t="s">
        <v>23</v>
      </c>
    </row>
    <row r="142" spans="2:17" ht="58.5" x14ac:dyDescent="0.35">
      <c r="B142" s="27">
        <v>5</v>
      </c>
      <c r="C142" s="27" t="s">
        <v>93</v>
      </c>
      <c r="D142" s="27" t="s">
        <v>94</v>
      </c>
      <c r="E142" s="108">
        <v>45335</v>
      </c>
      <c r="F142" s="109">
        <v>0.23680555555555555</v>
      </c>
      <c r="G142" s="104" t="s">
        <v>3531</v>
      </c>
      <c r="H142" s="104" t="s">
        <v>3521</v>
      </c>
      <c r="I142" s="130" t="s">
        <v>3532</v>
      </c>
      <c r="J142" s="115">
        <v>150000</v>
      </c>
      <c r="K142" s="115">
        <v>50000</v>
      </c>
      <c r="L142" s="28" t="s">
        <v>23</v>
      </c>
      <c r="M142" s="28" t="s">
        <v>23</v>
      </c>
      <c r="N142" s="28" t="s">
        <v>23</v>
      </c>
      <c r="O142" s="28" t="s">
        <v>23</v>
      </c>
      <c r="P142" s="28" t="s">
        <v>23</v>
      </c>
      <c r="Q142" s="28" t="s">
        <v>23</v>
      </c>
    </row>
    <row r="143" spans="2:17" ht="58.5" x14ac:dyDescent="0.35">
      <c r="B143" s="27">
        <v>6</v>
      </c>
      <c r="C143" s="27" t="s">
        <v>93</v>
      </c>
      <c r="D143" s="27" t="s">
        <v>94</v>
      </c>
      <c r="E143" s="108">
        <v>45335</v>
      </c>
      <c r="F143" s="109">
        <v>0.60902777777777772</v>
      </c>
      <c r="G143" s="104" t="s">
        <v>3533</v>
      </c>
      <c r="H143" s="104" t="s">
        <v>406</v>
      </c>
      <c r="I143" s="130" t="s">
        <v>3534</v>
      </c>
      <c r="J143" s="115">
        <v>15000</v>
      </c>
      <c r="K143" s="115">
        <v>1485000</v>
      </c>
      <c r="L143" s="28" t="s">
        <v>23</v>
      </c>
      <c r="M143" s="28" t="s">
        <v>23</v>
      </c>
      <c r="N143" s="28" t="s">
        <v>23</v>
      </c>
      <c r="O143" s="28" t="s">
        <v>23</v>
      </c>
      <c r="P143" s="28" t="s">
        <v>23</v>
      </c>
      <c r="Q143" s="28" t="s">
        <v>23</v>
      </c>
    </row>
    <row r="144" spans="2:17" ht="39" x14ac:dyDescent="0.35">
      <c r="B144" s="27">
        <v>7</v>
      </c>
      <c r="C144" s="27" t="s">
        <v>93</v>
      </c>
      <c r="D144" s="27" t="s">
        <v>94</v>
      </c>
      <c r="E144" s="108">
        <v>45340</v>
      </c>
      <c r="F144" s="109">
        <v>0.5756944444444444</v>
      </c>
      <c r="G144" s="104" t="s">
        <v>3523</v>
      </c>
      <c r="H144" s="104" t="s">
        <v>3535</v>
      </c>
      <c r="I144" s="130" t="s">
        <v>3536</v>
      </c>
      <c r="J144" s="115">
        <v>3000</v>
      </c>
      <c r="K144" s="115">
        <v>997000</v>
      </c>
      <c r="L144" s="28" t="s">
        <v>23</v>
      </c>
      <c r="M144" s="28" t="s">
        <v>23</v>
      </c>
      <c r="N144" s="28" t="s">
        <v>23</v>
      </c>
      <c r="O144" s="28" t="s">
        <v>23</v>
      </c>
      <c r="P144" s="28" t="s">
        <v>23</v>
      </c>
      <c r="Q144" s="28" t="s">
        <v>23</v>
      </c>
    </row>
    <row r="145" spans="2:17" ht="97.5" x14ac:dyDescent="0.35">
      <c r="B145" s="27">
        <v>8</v>
      </c>
      <c r="C145" s="27" t="s">
        <v>93</v>
      </c>
      <c r="D145" s="27" t="s">
        <v>94</v>
      </c>
      <c r="E145" s="108">
        <v>45344</v>
      </c>
      <c r="F145" s="109">
        <v>0.9</v>
      </c>
      <c r="G145" s="104" t="s">
        <v>3537</v>
      </c>
      <c r="H145" s="104" t="s">
        <v>3526</v>
      </c>
      <c r="I145" s="130" t="s">
        <v>3538</v>
      </c>
      <c r="J145" s="115">
        <v>490000</v>
      </c>
      <c r="K145" s="115">
        <v>99510000</v>
      </c>
      <c r="L145" s="28" t="s">
        <v>23</v>
      </c>
      <c r="M145" s="28" t="s">
        <v>23</v>
      </c>
      <c r="N145" s="28" t="s">
        <v>23</v>
      </c>
      <c r="O145" s="28" t="s">
        <v>23</v>
      </c>
      <c r="P145" s="28">
        <v>28</v>
      </c>
      <c r="Q145" s="28" t="s">
        <v>23</v>
      </c>
    </row>
    <row r="146" spans="2:17" ht="21" x14ac:dyDescent="0.35">
      <c r="B146" s="27">
        <v>9</v>
      </c>
      <c r="C146" s="27" t="s">
        <v>93</v>
      </c>
      <c r="D146" s="27" t="s">
        <v>584</v>
      </c>
      <c r="E146" s="108">
        <v>45324</v>
      </c>
      <c r="F146" s="109">
        <v>0.58402777777777781</v>
      </c>
      <c r="G146" s="113" t="s">
        <v>3539</v>
      </c>
      <c r="H146" s="104" t="s">
        <v>2559</v>
      </c>
      <c r="I146" s="104" t="s">
        <v>2555</v>
      </c>
      <c r="J146" s="115">
        <v>5000</v>
      </c>
      <c r="K146" s="115">
        <v>45000</v>
      </c>
      <c r="L146" s="28" t="s">
        <v>23</v>
      </c>
      <c r="M146" s="28" t="s">
        <v>23</v>
      </c>
      <c r="N146" s="28" t="s">
        <v>23</v>
      </c>
      <c r="O146" s="28" t="s">
        <v>23</v>
      </c>
      <c r="P146" s="28" t="s">
        <v>23</v>
      </c>
      <c r="Q146" s="28" t="s">
        <v>23</v>
      </c>
    </row>
    <row r="147" spans="2:17" ht="21" x14ac:dyDescent="0.35">
      <c r="B147" s="27">
        <v>10</v>
      </c>
      <c r="C147" s="27" t="s">
        <v>93</v>
      </c>
      <c r="D147" s="27" t="s">
        <v>584</v>
      </c>
      <c r="E147" s="108">
        <v>45330</v>
      </c>
      <c r="F147" s="109">
        <v>0.18472222222222223</v>
      </c>
      <c r="G147" s="113" t="s">
        <v>3540</v>
      </c>
      <c r="H147" s="104" t="s">
        <v>2748</v>
      </c>
      <c r="I147" s="104" t="s">
        <v>3276</v>
      </c>
      <c r="J147" s="115">
        <v>350000</v>
      </c>
      <c r="K147" s="115">
        <v>365000</v>
      </c>
      <c r="L147" s="28" t="s">
        <v>23</v>
      </c>
      <c r="M147" s="28" t="s">
        <v>23</v>
      </c>
      <c r="N147" s="28" t="s">
        <v>23</v>
      </c>
      <c r="O147" s="28" t="s">
        <v>23</v>
      </c>
      <c r="P147" s="28">
        <v>12</v>
      </c>
      <c r="Q147" s="28" t="s">
        <v>23</v>
      </c>
    </row>
    <row r="148" spans="2:17" ht="39" x14ac:dyDescent="0.35">
      <c r="B148" s="27">
        <v>11</v>
      </c>
      <c r="C148" s="27" t="s">
        <v>93</v>
      </c>
      <c r="D148" s="27" t="s">
        <v>584</v>
      </c>
      <c r="E148" s="108">
        <v>45332</v>
      </c>
      <c r="F148" s="109">
        <v>0.3</v>
      </c>
      <c r="G148" s="113" t="s">
        <v>3541</v>
      </c>
      <c r="H148" s="130" t="s">
        <v>3542</v>
      </c>
      <c r="I148" s="104" t="s">
        <v>3543</v>
      </c>
      <c r="J148" s="115">
        <v>350000</v>
      </c>
      <c r="K148" s="115">
        <v>4650000</v>
      </c>
      <c r="L148" s="28" t="s">
        <v>23</v>
      </c>
      <c r="M148" s="28" t="s">
        <v>23</v>
      </c>
      <c r="N148" s="28" t="s">
        <v>23</v>
      </c>
      <c r="O148" s="28" t="s">
        <v>23</v>
      </c>
      <c r="P148" s="28" t="s">
        <v>23</v>
      </c>
      <c r="Q148" s="28" t="s">
        <v>23</v>
      </c>
    </row>
    <row r="149" spans="2:17" ht="21" x14ac:dyDescent="0.35">
      <c r="B149" s="106">
        <v>12</v>
      </c>
      <c r="C149" s="27" t="s">
        <v>93</v>
      </c>
      <c r="D149" s="27" t="s">
        <v>584</v>
      </c>
      <c r="E149" s="110">
        <v>45332</v>
      </c>
      <c r="F149" s="109">
        <v>0.88611111111111107</v>
      </c>
      <c r="G149" s="113" t="s">
        <v>3544</v>
      </c>
      <c r="H149" s="113" t="s">
        <v>2751</v>
      </c>
      <c r="I149" s="113" t="s">
        <v>3545</v>
      </c>
      <c r="J149" s="115"/>
      <c r="K149" s="115"/>
      <c r="L149" s="28" t="s">
        <v>23</v>
      </c>
      <c r="M149" s="28" t="s">
        <v>23</v>
      </c>
      <c r="N149" s="28" t="s">
        <v>23</v>
      </c>
      <c r="O149" s="28" t="s">
        <v>23</v>
      </c>
      <c r="P149" s="28">
        <v>10</v>
      </c>
      <c r="Q149" s="28" t="s">
        <v>23</v>
      </c>
    </row>
    <row r="150" spans="2:17" ht="21" x14ac:dyDescent="0.35">
      <c r="B150" s="27">
        <v>13</v>
      </c>
      <c r="C150" s="27" t="s">
        <v>93</v>
      </c>
      <c r="D150" s="27" t="s">
        <v>584</v>
      </c>
      <c r="E150" s="108">
        <v>45335</v>
      </c>
      <c r="F150" s="28">
        <v>6.6122685185185187E-2</v>
      </c>
      <c r="G150" s="113" t="s">
        <v>3546</v>
      </c>
      <c r="H150" s="104" t="s">
        <v>2559</v>
      </c>
      <c r="I150" s="104" t="s">
        <v>2637</v>
      </c>
      <c r="J150" s="115">
        <v>10000</v>
      </c>
      <c r="K150" s="115">
        <v>40000</v>
      </c>
      <c r="L150" s="28" t="s">
        <v>23</v>
      </c>
      <c r="M150" s="28" t="s">
        <v>23</v>
      </c>
      <c r="N150" s="28" t="s">
        <v>23</v>
      </c>
      <c r="O150" s="28" t="s">
        <v>23</v>
      </c>
      <c r="P150" s="28" t="s">
        <v>23</v>
      </c>
      <c r="Q150" s="28" t="s">
        <v>23</v>
      </c>
    </row>
    <row r="151" spans="2:17" ht="21" x14ac:dyDescent="0.35">
      <c r="B151" s="27">
        <v>14</v>
      </c>
      <c r="C151" s="27" t="s">
        <v>93</v>
      </c>
      <c r="D151" s="27" t="s">
        <v>584</v>
      </c>
      <c r="E151" s="108">
        <v>45340</v>
      </c>
      <c r="F151" s="109">
        <v>0.17708333333333334</v>
      </c>
      <c r="G151" s="113" t="s">
        <v>3547</v>
      </c>
      <c r="H151" s="104" t="s">
        <v>3548</v>
      </c>
      <c r="I151" s="104" t="s">
        <v>3549</v>
      </c>
      <c r="J151" s="115" t="s">
        <v>20</v>
      </c>
      <c r="K151" s="115" t="s">
        <v>20</v>
      </c>
      <c r="L151" s="28" t="s">
        <v>23</v>
      </c>
      <c r="M151" s="28" t="s">
        <v>23</v>
      </c>
      <c r="N151" s="28" t="s">
        <v>23</v>
      </c>
      <c r="O151" s="28" t="s">
        <v>23</v>
      </c>
      <c r="P151" s="28" t="s">
        <v>23</v>
      </c>
      <c r="Q151" s="28" t="s">
        <v>23</v>
      </c>
    </row>
    <row r="152" spans="2:17" ht="21" x14ac:dyDescent="0.35">
      <c r="B152" s="106">
        <v>15</v>
      </c>
      <c r="C152" s="27" t="s">
        <v>93</v>
      </c>
      <c r="D152" s="27" t="s">
        <v>584</v>
      </c>
      <c r="E152" s="110">
        <v>45344</v>
      </c>
      <c r="F152" s="109">
        <v>0.61458333333333337</v>
      </c>
      <c r="G152" s="113" t="s">
        <v>3550</v>
      </c>
      <c r="H152" s="113" t="s">
        <v>3551</v>
      </c>
      <c r="I152" s="104" t="s">
        <v>2555</v>
      </c>
      <c r="J152" s="115">
        <v>1000</v>
      </c>
      <c r="K152" s="115">
        <v>1999000</v>
      </c>
      <c r="L152" s="28" t="s">
        <v>23</v>
      </c>
      <c r="M152" s="28" t="s">
        <v>23</v>
      </c>
      <c r="N152" s="28" t="s">
        <v>23</v>
      </c>
      <c r="O152" s="28" t="s">
        <v>23</v>
      </c>
      <c r="P152" s="28">
        <v>8</v>
      </c>
      <c r="Q152" s="28" t="s">
        <v>23</v>
      </c>
    </row>
    <row r="153" spans="2:17" ht="21" x14ac:dyDescent="0.35">
      <c r="B153" s="106">
        <v>16</v>
      </c>
      <c r="C153" s="27" t="s">
        <v>93</v>
      </c>
      <c r="D153" s="27" t="s">
        <v>584</v>
      </c>
      <c r="E153" s="110">
        <v>45346</v>
      </c>
      <c r="F153" s="109">
        <v>0.27430555555555558</v>
      </c>
      <c r="G153" s="113" t="s">
        <v>3552</v>
      </c>
      <c r="H153" s="104" t="s">
        <v>3629</v>
      </c>
      <c r="I153" s="113" t="s">
        <v>3553</v>
      </c>
      <c r="J153" s="115">
        <v>50000</v>
      </c>
      <c r="K153" s="115">
        <v>1450000</v>
      </c>
      <c r="L153" s="28" t="s">
        <v>23</v>
      </c>
      <c r="M153" s="28" t="s">
        <v>23</v>
      </c>
      <c r="N153" s="28" t="s">
        <v>23</v>
      </c>
      <c r="O153" s="28" t="s">
        <v>23</v>
      </c>
      <c r="P153" s="28">
        <v>5</v>
      </c>
      <c r="Q153" s="28" t="s">
        <v>23</v>
      </c>
    </row>
    <row r="154" spans="2:17" ht="21" x14ac:dyDescent="0.35">
      <c r="B154" s="106">
        <v>17</v>
      </c>
      <c r="C154" s="27" t="s">
        <v>93</v>
      </c>
      <c r="D154" s="27" t="s">
        <v>1792</v>
      </c>
      <c r="E154" s="110">
        <v>45350</v>
      </c>
      <c r="F154" s="109">
        <v>0.63402777777777775</v>
      </c>
      <c r="G154" s="113" t="s">
        <v>3554</v>
      </c>
      <c r="H154" s="113" t="s">
        <v>2599</v>
      </c>
      <c r="I154" s="113" t="s">
        <v>3238</v>
      </c>
      <c r="J154" s="115" t="s">
        <v>1807</v>
      </c>
      <c r="K154" s="115" t="s">
        <v>1808</v>
      </c>
      <c r="L154" s="28" t="s">
        <v>23</v>
      </c>
      <c r="M154" s="28" t="s">
        <v>23</v>
      </c>
      <c r="N154" s="28" t="s">
        <v>23</v>
      </c>
      <c r="O154" s="28" t="s">
        <v>23</v>
      </c>
      <c r="P154" s="28" t="s">
        <v>23</v>
      </c>
      <c r="Q154" s="28" t="s">
        <v>23</v>
      </c>
    </row>
    <row r="155" spans="2:17" ht="39" x14ac:dyDescent="0.35">
      <c r="B155" s="106">
        <v>18</v>
      </c>
      <c r="C155" s="27" t="s">
        <v>93</v>
      </c>
      <c r="D155" s="27" t="s">
        <v>1791</v>
      </c>
      <c r="E155" s="110">
        <v>45336</v>
      </c>
      <c r="F155" s="109">
        <v>0.4777777777777778</v>
      </c>
      <c r="G155" s="113" t="s">
        <v>3555</v>
      </c>
      <c r="H155" s="113" t="s">
        <v>2873</v>
      </c>
      <c r="I155" s="104" t="s">
        <v>3628</v>
      </c>
      <c r="J155" s="115" t="s">
        <v>152</v>
      </c>
      <c r="K155" s="115" t="s">
        <v>153</v>
      </c>
      <c r="L155" s="28" t="s">
        <v>23</v>
      </c>
      <c r="M155" s="28" t="s">
        <v>23</v>
      </c>
      <c r="N155" s="28" t="s">
        <v>23</v>
      </c>
      <c r="O155" s="28" t="s">
        <v>23</v>
      </c>
      <c r="P155" s="28" t="s">
        <v>23</v>
      </c>
      <c r="Q155" s="28" t="s">
        <v>23</v>
      </c>
    </row>
    <row r="156" spans="2:17" ht="39" x14ac:dyDescent="0.35">
      <c r="B156" s="106">
        <v>19</v>
      </c>
      <c r="C156" s="27" t="s">
        <v>93</v>
      </c>
      <c r="D156" s="27" t="s">
        <v>1791</v>
      </c>
      <c r="E156" s="110">
        <v>45338</v>
      </c>
      <c r="F156" s="109">
        <v>0.14930555555555555</v>
      </c>
      <c r="G156" s="113" t="s">
        <v>3556</v>
      </c>
      <c r="H156" s="113" t="s">
        <v>2870</v>
      </c>
      <c r="I156" s="104" t="s">
        <v>3627</v>
      </c>
      <c r="J156" s="115" t="s">
        <v>154</v>
      </c>
      <c r="K156" s="115" t="s">
        <v>33</v>
      </c>
      <c r="L156" s="28" t="s">
        <v>23</v>
      </c>
      <c r="M156" s="28" t="s">
        <v>23</v>
      </c>
      <c r="N156" s="28" t="s">
        <v>23</v>
      </c>
      <c r="O156" s="28" t="s">
        <v>23</v>
      </c>
      <c r="P156" s="28" t="s">
        <v>23</v>
      </c>
      <c r="Q156" s="28" t="s">
        <v>23</v>
      </c>
    </row>
    <row r="157" spans="2:17" ht="21" x14ac:dyDescent="0.35">
      <c r="B157" s="106">
        <v>20</v>
      </c>
      <c r="C157" s="27" t="s">
        <v>93</v>
      </c>
      <c r="D157" s="27" t="s">
        <v>1791</v>
      </c>
      <c r="E157" s="110">
        <v>45345</v>
      </c>
      <c r="F157" s="109">
        <v>0.8569444444444444</v>
      </c>
      <c r="G157" s="113" t="s">
        <v>3557</v>
      </c>
      <c r="H157" s="113" t="s">
        <v>2876</v>
      </c>
      <c r="I157" s="104" t="s">
        <v>2877</v>
      </c>
      <c r="J157" s="115" t="s">
        <v>155</v>
      </c>
      <c r="K157" s="115" t="s">
        <v>156</v>
      </c>
      <c r="L157" s="28" t="s">
        <v>23</v>
      </c>
      <c r="M157" s="28" t="s">
        <v>23</v>
      </c>
      <c r="N157" s="28" t="s">
        <v>23</v>
      </c>
      <c r="O157" s="28" t="s">
        <v>23</v>
      </c>
      <c r="P157" s="28" t="s">
        <v>23</v>
      </c>
      <c r="Q157" s="28" t="s">
        <v>23</v>
      </c>
    </row>
    <row r="158" spans="2:17" ht="39" x14ac:dyDescent="0.35">
      <c r="B158" s="106">
        <v>21</v>
      </c>
      <c r="C158" s="27" t="s">
        <v>93</v>
      </c>
      <c r="D158" s="27" t="s">
        <v>1791</v>
      </c>
      <c r="E158" s="110">
        <v>45347</v>
      </c>
      <c r="F158" s="109">
        <v>0.95277777777777772</v>
      </c>
      <c r="G158" s="113" t="s">
        <v>3558</v>
      </c>
      <c r="H158" s="113" t="s">
        <v>2876</v>
      </c>
      <c r="I158" s="104" t="s">
        <v>3626</v>
      </c>
      <c r="J158" s="115" t="s">
        <v>157</v>
      </c>
      <c r="K158" s="115" t="s">
        <v>158</v>
      </c>
      <c r="L158" s="28" t="s">
        <v>23</v>
      </c>
      <c r="M158" s="28" t="s">
        <v>23</v>
      </c>
      <c r="N158" s="28" t="s">
        <v>23</v>
      </c>
      <c r="O158" s="28" t="s">
        <v>23</v>
      </c>
      <c r="P158" s="28" t="s">
        <v>23</v>
      </c>
      <c r="Q158" s="28" t="s">
        <v>23</v>
      </c>
    </row>
    <row r="159" spans="2:17" ht="21" x14ac:dyDescent="0.35">
      <c r="B159" s="27">
        <v>22</v>
      </c>
      <c r="C159" s="27" t="s">
        <v>93</v>
      </c>
      <c r="D159" s="28" t="s">
        <v>587</v>
      </c>
      <c r="E159" s="108">
        <v>45335</v>
      </c>
      <c r="F159" s="109">
        <v>0.59791666666666665</v>
      </c>
      <c r="G159" s="113" t="s">
        <v>3559</v>
      </c>
      <c r="H159" s="113" t="s">
        <v>3560</v>
      </c>
      <c r="I159" s="113" t="s">
        <v>410</v>
      </c>
      <c r="J159" s="115">
        <v>10000</v>
      </c>
      <c r="K159" s="115">
        <v>60000</v>
      </c>
      <c r="L159" s="28" t="s">
        <v>23</v>
      </c>
      <c r="M159" s="28" t="s">
        <v>23</v>
      </c>
      <c r="N159" s="28" t="s">
        <v>23</v>
      </c>
      <c r="O159" s="28" t="s">
        <v>23</v>
      </c>
      <c r="P159" s="28">
        <v>5</v>
      </c>
      <c r="Q159" s="28" t="s">
        <v>23</v>
      </c>
    </row>
    <row r="160" spans="2:17" ht="21" x14ac:dyDescent="0.35">
      <c r="B160" s="106">
        <v>23</v>
      </c>
      <c r="C160" s="27" t="s">
        <v>93</v>
      </c>
      <c r="D160" s="28" t="s">
        <v>587</v>
      </c>
      <c r="E160" s="110">
        <v>45337</v>
      </c>
      <c r="F160" s="109">
        <v>0.40694444444444444</v>
      </c>
      <c r="G160" s="113" t="s">
        <v>3561</v>
      </c>
      <c r="H160" s="113" t="s">
        <v>3562</v>
      </c>
      <c r="I160" s="113" t="s">
        <v>3563</v>
      </c>
      <c r="J160" s="115">
        <v>10000</v>
      </c>
      <c r="K160" s="115">
        <v>30000</v>
      </c>
      <c r="L160" s="28" t="s">
        <v>23</v>
      </c>
      <c r="M160" s="28" t="s">
        <v>23</v>
      </c>
      <c r="N160" s="28" t="s">
        <v>23</v>
      </c>
      <c r="O160" s="28" t="s">
        <v>23</v>
      </c>
      <c r="P160" s="28">
        <v>8</v>
      </c>
      <c r="Q160" s="28" t="s">
        <v>23</v>
      </c>
    </row>
    <row r="161" spans="2:17" ht="21" x14ac:dyDescent="0.35">
      <c r="B161" s="27">
        <v>1</v>
      </c>
      <c r="C161" s="27" t="s">
        <v>93</v>
      </c>
      <c r="D161" s="28" t="s">
        <v>57</v>
      </c>
      <c r="E161" s="108">
        <v>45330</v>
      </c>
      <c r="F161" s="109">
        <v>0.48125000000000001</v>
      </c>
      <c r="G161" s="104" t="s">
        <v>3564</v>
      </c>
      <c r="H161" s="131"/>
      <c r="I161" s="131"/>
      <c r="J161" s="120" t="s">
        <v>341</v>
      </c>
      <c r="K161" s="115" t="s">
        <v>341</v>
      </c>
      <c r="L161" s="28" t="s">
        <v>341</v>
      </c>
      <c r="M161" s="28" t="s">
        <v>341</v>
      </c>
      <c r="N161" s="28" t="s">
        <v>341</v>
      </c>
      <c r="O161" s="28" t="s">
        <v>341</v>
      </c>
      <c r="P161" s="28" t="s">
        <v>341</v>
      </c>
      <c r="Q161" s="28" t="s">
        <v>341</v>
      </c>
    </row>
    <row r="162" spans="2:17" ht="21" x14ac:dyDescent="0.35">
      <c r="B162" s="27">
        <v>2</v>
      </c>
      <c r="C162" s="27" t="s">
        <v>93</v>
      </c>
      <c r="D162" s="28"/>
      <c r="E162" s="108">
        <v>45336</v>
      </c>
      <c r="F162" s="109">
        <v>0.63888888888888884</v>
      </c>
      <c r="G162" s="104" t="s">
        <v>3565</v>
      </c>
      <c r="H162" s="131"/>
      <c r="I162" s="131"/>
      <c r="J162" s="120" t="s">
        <v>341</v>
      </c>
      <c r="K162" s="115" t="s">
        <v>341</v>
      </c>
      <c r="L162" s="28" t="s">
        <v>341</v>
      </c>
      <c r="M162" s="28" t="s">
        <v>341</v>
      </c>
      <c r="N162" s="28" t="s">
        <v>341</v>
      </c>
      <c r="O162" s="28" t="s">
        <v>341</v>
      </c>
      <c r="P162" s="28" t="s">
        <v>341</v>
      </c>
      <c r="Q162" s="28" t="s">
        <v>341</v>
      </c>
    </row>
    <row r="163" spans="2:17" ht="21" x14ac:dyDescent="0.35">
      <c r="B163" s="27">
        <v>3</v>
      </c>
      <c r="C163" s="27" t="s">
        <v>93</v>
      </c>
      <c r="D163" s="28"/>
      <c r="E163" s="108">
        <v>45342</v>
      </c>
      <c r="F163" s="109">
        <v>0.64444444444444449</v>
      </c>
      <c r="G163" s="104" t="s">
        <v>3566</v>
      </c>
      <c r="H163" s="131"/>
      <c r="I163" s="131"/>
      <c r="J163" s="120" t="s">
        <v>341</v>
      </c>
      <c r="K163" s="115" t="s">
        <v>341</v>
      </c>
      <c r="L163" s="28" t="s">
        <v>341</v>
      </c>
      <c r="M163" s="28" t="s">
        <v>341</v>
      </c>
      <c r="N163" s="28" t="s">
        <v>341</v>
      </c>
      <c r="O163" s="28" t="s">
        <v>341</v>
      </c>
      <c r="P163" s="28" t="s">
        <v>341</v>
      </c>
      <c r="Q163" s="28" t="s">
        <v>341</v>
      </c>
    </row>
    <row r="164" spans="2:17" ht="21" x14ac:dyDescent="0.35">
      <c r="B164" s="27">
        <v>4</v>
      </c>
      <c r="C164" s="27" t="s">
        <v>93</v>
      </c>
      <c r="D164" s="28"/>
      <c r="E164" s="108">
        <v>45330</v>
      </c>
      <c r="F164" s="109">
        <v>0.48125000000000001</v>
      </c>
      <c r="G164" s="104" t="s">
        <v>3565</v>
      </c>
      <c r="H164" s="131"/>
      <c r="I164" s="131"/>
      <c r="J164" s="120" t="s">
        <v>341</v>
      </c>
      <c r="K164" s="115" t="s">
        <v>341</v>
      </c>
      <c r="L164" s="28" t="s">
        <v>341</v>
      </c>
      <c r="M164" s="28" t="s">
        <v>341</v>
      </c>
      <c r="N164" s="28" t="s">
        <v>341</v>
      </c>
      <c r="O164" s="28" t="s">
        <v>341</v>
      </c>
      <c r="P164" s="28" t="s">
        <v>341</v>
      </c>
      <c r="Q164" s="28" t="s">
        <v>341</v>
      </c>
    </row>
    <row r="165" spans="2:17" ht="21" x14ac:dyDescent="0.35">
      <c r="B165" s="27">
        <v>7</v>
      </c>
      <c r="C165" s="27" t="s">
        <v>93</v>
      </c>
      <c r="D165" s="28" t="s">
        <v>1791</v>
      </c>
      <c r="E165" s="108">
        <v>45348</v>
      </c>
      <c r="F165" s="28" t="s">
        <v>61</v>
      </c>
      <c r="G165" s="104" t="s">
        <v>3567</v>
      </c>
      <c r="H165" s="131"/>
      <c r="I165" s="131"/>
      <c r="J165" s="115" t="s">
        <v>341</v>
      </c>
      <c r="K165" s="115" t="s">
        <v>341</v>
      </c>
      <c r="L165" s="28" t="s">
        <v>341</v>
      </c>
      <c r="M165" s="28" t="s">
        <v>341</v>
      </c>
      <c r="N165" s="28" t="s">
        <v>341</v>
      </c>
      <c r="O165" s="28" t="s">
        <v>341</v>
      </c>
      <c r="P165" s="28" t="s">
        <v>341</v>
      </c>
      <c r="Q165" s="28" t="s">
        <v>341</v>
      </c>
    </row>
    <row r="166" spans="2:17" ht="39" x14ac:dyDescent="0.35">
      <c r="B166" s="27">
        <v>1</v>
      </c>
      <c r="C166" s="27" t="s">
        <v>93</v>
      </c>
      <c r="D166" s="27" t="s">
        <v>94</v>
      </c>
      <c r="E166" s="108">
        <v>45294</v>
      </c>
      <c r="F166" s="28">
        <v>6.9155092592592587E-2</v>
      </c>
      <c r="G166" s="130" t="s">
        <v>3568</v>
      </c>
      <c r="H166" s="130" t="s">
        <v>3569</v>
      </c>
      <c r="I166" s="130" t="s">
        <v>3570</v>
      </c>
      <c r="J166" s="115">
        <v>40000</v>
      </c>
      <c r="K166" s="115">
        <v>760000</v>
      </c>
      <c r="L166" s="28" t="s">
        <v>20</v>
      </c>
      <c r="M166" s="28" t="s">
        <v>20</v>
      </c>
      <c r="N166" s="28" t="s">
        <v>20</v>
      </c>
      <c r="O166" s="28" t="s">
        <v>20</v>
      </c>
      <c r="P166" s="28" t="s">
        <v>20</v>
      </c>
      <c r="Q166" s="28" t="s">
        <v>20</v>
      </c>
    </row>
    <row r="167" spans="2:17" ht="39" x14ac:dyDescent="0.35">
      <c r="B167" s="27">
        <v>2</v>
      </c>
      <c r="C167" s="27" t="s">
        <v>93</v>
      </c>
      <c r="D167" s="27" t="s">
        <v>94</v>
      </c>
      <c r="E167" s="108">
        <v>45296</v>
      </c>
      <c r="F167" s="28">
        <v>6.9293981481481484E-2</v>
      </c>
      <c r="G167" s="130" t="s">
        <v>3571</v>
      </c>
      <c r="H167" s="130" t="s">
        <v>3572</v>
      </c>
      <c r="I167" s="130" t="s">
        <v>3573</v>
      </c>
      <c r="J167" s="115">
        <v>45000</v>
      </c>
      <c r="K167" s="115">
        <v>4455000</v>
      </c>
      <c r="L167" s="28" t="s">
        <v>20</v>
      </c>
      <c r="M167" s="28" t="s">
        <v>20</v>
      </c>
      <c r="N167" s="28" t="s">
        <v>20</v>
      </c>
      <c r="O167" s="28" t="s">
        <v>20</v>
      </c>
      <c r="P167" s="28" t="s">
        <v>20</v>
      </c>
      <c r="Q167" s="28" t="s">
        <v>20</v>
      </c>
    </row>
    <row r="168" spans="2:17" ht="39" x14ac:dyDescent="0.35">
      <c r="B168" s="27">
        <v>3</v>
      </c>
      <c r="C168" s="27" t="s">
        <v>93</v>
      </c>
      <c r="D168" s="27" t="s">
        <v>94</v>
      </c>
      <c r="E168" s="108">
        <v>45297</v>
      </c>
      <c r="F168" s="28">
        <v>7.1817129629629634E-2</v>
      </c>
      <c r="G168" s="130" t="s">
        <v>3574</v>
      </c>
      <c r="H168" s="130" t="s">
        <v>3575</v>
      </c>
      <c r="I168" s="130" t="s">
        <v>3576</v>
      </c>
      <c r="J168" s="115" t="s">
        <v>20</v>
      </c>
      <c r="K168" s="115">
        <v>1000000</v>
      </c>
      <c r="L168" s="28" t="s">
        <v>20</v>
      </c>
      <c r="M168" s="28" t="s">
        <v>20</v>
      </c>
      <c r="N168" s="28" t="s">
        <v>20</v>
      </c>
      <c r="O168" s="28" t="s">
        <v>20</v>
      </c>
      <c r="P168" s="28" t="s">
        <v>20</v>
      </c>
      <c r="Q168" s="28" t="s">
        <v>20</v>
      </c>
    </row>
    <row r="169" spans="2:17" ht="39" x14ac:dyDescent="0.35">
      <c r="B169" s="27">
        <v>4</v>
      </c>
      <c r="C169" s="27" t="s">
        <v>93</v>
      </c>
      <c r="D169" s="27" t="s">
        <v>94</v>
      </c>
      <c r="E169" s="108">
        <v>45298</v>
      </c>
      <c r="F169" s="28">
        <v>0.94149305555555551</v>
      </c>
      <c r="G169" s="130" t="s">
        <v>3577</v>
      </c>
      <c r="H169" s="130" t="s">
        <v>3526</v>
      </c>
      <c r="I169" s="130" t="s">
        <v>3578</v>
      </c>
      <c r="J169" s="115">
        <v>500</v>
      </c>
      <c r="K169" s="115">
        <v>49500</v>
      </c>
      <c r="L169" s="28" t="s">
        <v>20</v>
      </c>
      <c r="M169" s="28" t="s">
        <v>20</v>
      </c>
      <c r="N169" s="28" t="s">
        <v>20</v>
      </c>
      <c r="O169" s="28" t="s">
        <v>20</v>
      </c>
      <c r="P169" s="27" t="s">
        <v>20</v>
      </c>
      <c r="Q169" s="28" t="s">
        <v>20</v>
      </c>
    </row>
    <row r="170" spans="2:17" ht="39" x14ac:dyDescent="0.35">
      <c r="B170" s="27">
        <v>5</v>
      </c>
      <c r="C170" s="27" t="s">
        <v>93</v>
      </c>
      <c r="D170" s="27" t="s">
        <v>94</v>
      </c>
      <c r="E170" s="108">
        <v>45301</v>
      </c>
      <c r="F170" s="28">
        <v>6.9837962962962963E-2</v>
      </c>
      <c r="G170" s="130" t="s">
        <v>3579</v>
      </c>
      <c r="H170" s="130" t="s">
        <v>3572</v>
      </c>
      <c r="I170" s="130" t="s">
        <v>3578</v>
      </c>
      <c r="J170" s="115">
        <v>10000</v>
      </c>
      <c r="K170" s="115">
        <v>1990000</v>
      </c>
      <c r="L170" s="28" t="s">
        <v>20</v>
      </c>
      <c r="M170" s="28" t="s">
        <v>20</v>
      </c>
      <c r="N170" s="28" t="s">
        <v>20</v>
      </c>
      <c r="O170" s="28" t="s">
        <v>20</v>
      </c>
      <c r="P170" s="28" t="s">
        <v>20</v>
      </c>
      <c r="Q170" s="28" t="s">
        <v>20</v>
      </c>
    </row>
    <row r="171" spans="2:17" ht="39" x14ac:dyDescent="0.35">
      <c r="B171" s="27">
        <v>6</v>
      </c>
      <c r="C171" s="27" t="s">
        <v>93</v>
      </c>
      <c r="D171" s="27" t="s">
        <v>94</v>
      </c>
      <c r="E171" s="108">
        <v>45307</v>
      </c>
      <c r="F171" s="109">
        <v>0.68611111111111112</v>
      </c>
      <c r="G171" s="130" t="s">
        <v>3580</v>
      </c>
      <c r="H171" s="130" t="s">
        <v>3572</v>
      </c>
      <c r="I171" s="130" t="s">
        <v>3578</v>
      </c>
      <c r="J171" s="115">
        <v>1500</v>
      </c>
      <c r="K171" s="115">
        <v>98500</v>
      </c>
      <c r="L171" s="28" t="s">
        <v>20</v>
      </c>
      <c r="M171" s="28" t="s">
        <v>20</v>
      </c>
      <c r="N171" s="28" t="s">
        <v>20</v>
      </c>
      <c r="O171" s="28" t="s">
        <v>20</v>
      </c>
      <c r="P171" s="28" t="s">
        <v>20</v>
      </c>
      <c r="Q171" s="28" t="s">
        <v>20</v>
      </c>
    </row>
    <row r="172" spans="2:17" ht="39" x14ac:dyDescent="0.35">
      <c r="B172" s="27">
        <v>7</v>
      </c>
      <c r="C172" s="27" t="s">
        <v>93</v>
      </c>
      <c r="D172" s="27" t="s">
        <v>94</v>
      </c>
      <c r="E172" s="108">
        <v>45309</v>
      </c>
      <c r="F172" s="109">
        <v>0.86597222222222225</v>
      </c>
      <c r="G172" s="130" t="s">
        <v>3581</v>
      </c>
      <c r="H172" s="130" t="s">
        <v>3582</v>
      </c>
      <c r="I172" s="130" t="s">
        <v>3578</v>
      </c>
      <c r="J172" s="115">
        <v>2000</v>
      </c>
      <c r="K172" s="115">
        <v>1498000</v>
      </c>
      <c r="L172" s="28" t="s">
        <v>20</v>
      </c>
      <c r="M172" s="28" t="s">
        <v>20</v>
      </c>
      <c r="N172" s="28">
        <v>1</v>
      </c>
      <c r="O172" s="28" t="s">
        <v>20</v>
      </c>
      <c r="P172" s="28">
        <v>1</v>
      </c>
      <c r="Q172" s="28" t="s">
        <v>20</v>
      </c>
    </row>
    <row r="173" spans="2:17" ht="39" x14ac:dyDescent="0.35">
      <c r="B173" s="27">
        <v>8</v>
      </c>
      <c r="C173" s="27" t="s">
        <v>93</v>
      </c>
      <c r="D173" s="27" t="s">
        <v>94</v>
      </c>
      <c r="E173" s="108">
        <v>45310</v>
      </c>
      <c r="F173" s="28">
        <v>0.64982638888888888</v>
      </c>
      <c r="G173" s="130" t="s">
        <v>3583</v>
      </c>
      <c r="H173" s="130" t="s">
        <v>3526</v>
      </c>
      <c r="I173" s="130" t="s">
        <v>3584</v>
      </c>
      <c r="J173" s="115">
        <v>150000</v>
      </c>
      <c r="K173" s="115">
        <v>6850000</v>
      </c>
      <c r="L173" s="28" t="s">
        <v>20</v>
      </c>
      <c r="M173" s="28" t="s">
        <v>20</v>
      </c>
      <c r="N173" s="28" t="s">
        <v>20</v>
      </c>
      <c r="O173" s="28" t="s">
        <v>20</v>
      </c>
      <c r="P173" s="28" t="s">
        <v>20</v>
      </c>
      <c r="Q173" s="28" t="s">
        <v>20</v>
      </c>
    </row>
    <row r="174" spans="2:17" ht="39" x14ac:dyDescent="0.35">
      <c r="B174" s="27">
        <v>9</v>
      </c>
      <c r="C174" s="27" t="s">
        <v>93</v>
      </c>
      <c r="D174" s="27" t="s">
        <v>94</v>
      </c>
      <c r="E174" s="108">
        <v>45310</v>
      </c>
      <c r="F174" s="109">
        <v>0.76111111111111107</v>
      </c>
      <c r="G174" s="130" t="s">
        <v>3585</v>
      </c>
      <c r="H174" s="130" t="s">
        <v>3586</v>
      </c>
      <c r="I174" s="130" t="s">
        <v>3587</v>
      </c>
      <c r="J174" s="115">
        <v>380000</v>
      </c>
      <c r="K174" s="115">
        <v>620000</v>
      </c>
      <c r="L174" s="28" t="s">
        <v>20</v>
      </c>
      <c r="M174" s="28" t="s">
        <v>20</v>
      </c>
      <c r="N174" s="28" t="s">
        <v>20</v>
      </c>
      <c r="O174" s="28" t="s">
        <v>20</v>
      </c>
      <c r="P174" s="28">
        <v>19</v>
      </c>
      <c r="Q174" s="28" t="s">
        <v>20</v>
      </c>
    </row>
    <row r="175" spans="2:17" ht="39" x14ac:dyDescent="0.35">
      <c r="B175" s="27">
        <v>10</v>
      </c>
      <c r="C175" s="27" t="s">
        <v>93</v>
      </c>
      <c r="D175" s="27" t="s">
        <v>94</v>
      </c>
      <c r="E175" s="108">
        <v>45313</v>
      </c>
      <c r="F175" s="109">
        <v>0.77500000000000002</v>
      </c>
      <c r="G175" s="130" t="s">
        <v>3588</v>
      </c>
      <c r="H175" s="130" t="s">
        <v>3589</v>
      </c>
      <c r="I175" s="130" t="s">
        <v>3590</v>
      </c>
      <c r="J175" s="115">
        <v>195000</v>
      </c>
      <c r="K175" s="115">
        <v>1305000</v>
      </c>
      <c r="L175" s="28" t="s">
        <v>20</v>
      </c>
      <c r="M175" s="28" t="s">
        <v>20</v>
      </c>
      <c r="N175" s="28" t="s">
        <v>20</v>
      </c>
      <c r="O175" s="28" t="s">
        <v>20</v>
      </c>
      <c r="P175" s="28">
        <v>1</v>
      </c>
      <c r="Q175" s="28" t="s">
        <v>20</v>
      </c>
    </row>
    <row r="176" spans="2:17" ht="39" x14ac:dyDescent="0.35">
      <c r="B176" s="27">
        <v>11</v>
      </c>
      <c r="C176" s="27" t="s">
        <v>93</v>
      </c>
      <c r="D176" s="27" t="s">
        <v>94</v>
      </c>
      <c r="E176" s="108">
        <v>45315</v>
      </c>
      <c r="F176" s="109">
        <v>0.68611111111111112</v>
      </c>
      <c r="G176" s="130" t="s">
        <v>3591</v>
      </c>
      <c r="H176" s="130" t="s">
        <v>3526</v>
      </c>
      <c r="I176" s="130" t="s">
        <v>3578</v>
      </c>
      <c r="J176" s="115">
        <v>250000</v>
      </c>
      <c r="K176" s="115">
        <v>2250000</v>
      </c>
      <c r="L176" s="28" t="s">
        <v>20</v>
      </c>
      <c r="M176" s="28" t="s">
        <v>20</v>
      </c>
      <c r="N176" s="28" t="s">
        <v>20</v>
      </c>
      <c r="O176" s="28" t="s">
        <v>20</v>
      </c>
      <c r="P176" s="28" t="s">
        <v>20</v>
      </c>
      <c r="Q176" s="28" t="s">
        <v>20</v>
      </c>
    </row>
    <row r="177" spans="2:17" ht="21" x14ac:dyDescent="0.35">
      <c r="B177" s="27">
        <v>12</v>
      </c>
      <c r="C177" s="27" t="s">
        <v>93</v>
      </c>
      <c r="D177" s="27" t="s">
        <v>584</v>
      </c>
      <c r="E177" s="108">
        <v>45293</v>
      </c>
      <c r="F177" s="109">
        <v>0.3263888888888889</v>
      </c>
      <c r="G177" s="113" t="s">
        <v>3592</v>
      </c>
      <c r="H177" s="104" t="s">
        <v>3548</v>
      </c>
      <c r="I177" s="104" t="s">
        <v>20</v>
      </c>
      <c r="J177" s="115" t="s">
        <v>20</v>
      </c>
      <c r="K177" s="115" t="s">
        <v>20</v>
      </c>
      <c r="L177" s="28" t="s">
        <v>23</v>
      </c>
      <c r="M177" s="28" t="s">
        <v>23</v>
      </c>
      <c r="N177" s="28" t="s">
        <v>23</v>
      </c>
      <c r="O177" s="28" t="s">
        <v>23</v>
      </c>
      <c r="P177" s="28" t="s">
        <v>23</v>
      </c>
      <c r="Q177" s="28" t="s">
        <v>23</v>
      </c>
    </row>
    <row r="178" spans="2:17" ht="21" x14ac:dyDescent="0.35">
      <c r="B178" s="106">
        <v>13</v>
      </c>
      <c r="C178" s="27" t="s">
        <v>93</v>
      </c>
      <c r="D178" s="27" t="s">
        <v>584</v>
      </c>
      <c r="E178" s="110">
        <v>45293</v>
      </c>
      <c r="F178" s="109">
        <v>0.68402777777777779</v>
      </c>
      <c r="G178" s="113" t="s">
        <v>3625</v>
      </c>
      <c r="H178" s="113" t="s">
        <v>2751</v>
      </c>
      <c r="I178" s="113" t="s">
        <v>20</v>
      </c>
      <c r="J178" s="115" t="s">
        <v>20</v>
      </c>
      <c r="K178" s="115" t="s">
        <v>20</v>
      </c>
      <c r="L178" s="28" t="s">
        <v>23</v>
      </c>
      <c r="M178" s="28" t="s">
        <v>23</v>
      </c>
      <c r="N178" s="28" t="s">
        <v>23</v>
      </c>
      <c r="O178" s="28" t="s">
        <v>23</v>
      </c>
      <c r="P178" s="28" t="s">
        <v>23</v>
      </c>
      <c r="Q178" s="28" t="s">
        <v>23</v>
      </c>
    </row>
    <row r="179" spans="2:17" ht="21" x14ac:dyDescent="0.35">
      <c r="B179" s="27">
        <v>14</v>
      </c>
      <c r="C179" s="27" t="s">
        <v>93</v>
      </c>
      <c r="D179" s="27" t="s">
        <v>584</v>
      </c>
      <c r="E179" s="108">
        <v>45299</v>
      </c>
      <c r="F179" s="109">
        <v>0.16875000000000001</v>
      </c>
      <c r="G179" s="113" t="s">
        <v>3593</v>
      </c>
      <c r="H179" s="104" t="s">
        <v>406</v>
      </c>
      <c r="I179" s="104" t="s">
        <v>3594</v>
      </c>
      <c r="J179" s="115">
        <v>10000</v>
      </c>
      <c r="K179" s="115">
        <v>110000</v>
      </c>
      <c r="L179" s="28" t="s">
        <v>23</v>
      </c>
      <c r="M179" s="28" t="s">
        <v>23</v>
      </c>
      <c r="N179" s="28" t="s">
        <v>23</v>
      </c>
      <c r="O179" s="28" t="s">
        <v>23</v>
      </c>
      <c r="P179" s="28" t="s">
        <v>23</v>
      </c>
      <c r="Q179" s="28" t="s">
        <v>23</v>
      </c>
    </row>
    <row r="180" spans="2:17" ht="21" x14ac:dyDescent="0.35">
      <c r="B180" s="27">
        <v>15</v>
      </c>
      <c r="C180" s="27" t="s">
        <v>93</v>
      </c>
      <c r="D180" s="27" t="s">
        <v>584</v>
      </c>
      <c r="E180" s="108">
        <v>45299</v>
      </c>
      <c r="F180" s="109">
        <v>0.96944444444444444</v>
      </c>
      <c r="G180" s="113" t="s">
        <v>3595</v>
      </c>
      <c r="H180" s="104" t="s">
        <v>406</v>
      </c>
      <c r="I180" s="104" t="s">
        <v>2763</v>
      </c>
      <c r="J180" s="115">
        <v>50000</v>
      </c>
      <c r="K180" s="115">
        <v>450000</v>
      </c>
      <c r="L180" s="28" t="s">
        <v>23</v>
      </c>
      <c r="M180" s="28" t="s">
        <v>23</v>
      </c>
      <c r="N180" s="28" t="s">
        <v>23</v>
      </c>
      <c r="O180" s="28" t="s">
        <v>23</v>
      </c>
      <c r="P180" s="28" t="s">
        <v>23</v>
      </c>
      <c r="Q180" s="28" t="s">
        <v>23</v>
      </c>
    </row>
    <row r="181" spans="2:17" ht="21" x14ac:dyDescent="0.35">
      <c r="B181" s="27">
        <v>16</v>
      </c>
      <c r="C181" s="27" t="s">
        <v>93</v>
      </c>
      <c r="D181" s="27" t="s">
        <v>584</v>
      </c>
      <c r="E181" s="108">
        <v>45307</v>
      </c>
      <c r="F181" s="28">
        <v>6.5451388888888892E-2</v>
      </c>
      <c r="G181" s="113" t="s">
        <v>3596</v>
      </c>
      <c r="H181" s="104" t="s">
        <v>3597</v>
      </c>
      <c r="I181" s="104" t="s">
        <v>2786</v>
      </c>
      <c r="J181" s="115">
        <v>2000</v>
      </c>
      <c r="K181" s="115">
        <v>3000</v>
      </c>
      <c r="L181" s="28" t="s">
        <v>23</v>
      </c>
      <c r="M181" s="28" t="s">
        <v>23</v>
      </c>
      <c r="N181" s="28" t="s">
        <v>23</v>
      </c>
      <c r="O181" s="28" t="s">
        <v>23</v>
      </c>
      <c r="P181" s="28" t="s">
        <v>23</v>
      </c>
      <c r="Q181" s="28" t="s">
        <v>23</v>
      </c>
    </row>
    <row r="182" spans="2:17" ht="21" x14ac:dyDescent="0.35">
      <c r="B182" s="27">
        <v>17</v>
      </c>
      <c r="C182" s="27" t="s">
        <v>93</v>
      </c>
      <c r="D182" s="27" t="s">
        <v>584</v>
      </c>
      <c r="E182" s="108">
        <v>45307</v>
      </c>
      <c r="F182" s="109">
        <v>0.625</v>
      </c>
      <c r="G182" s="113" t="s">
        <v>3598</v>
      </c>
      <c r="H182" s="104" t="s">
        <v>3597</v>
      </c>
      <c r="I182" s="104" t="s">
        <v>3599</v>
      </c>
      <c r="J182" s="115">
        <v>100000</v>
      </c>
      <c r="K182" s="115">
        <v>900000</v>
      </c>
      <c r="L182" s="28" t="s">
        <v>23</v>
      </c>
      <c r="M182" s="28" t="s">
        <v>23</v>
      </c>
      <c r="N182" s="28" t="s">
        <v>23</v>
      </c>
      <c r="O182" s="28" t="s">
        <v>23</v>
      </c>
      <c r="P182" s="28" t="s">
        <v>23</v>
      </c>
      <c r="Q182" s="28" t="s">
        <v>23</v>
      </c>
    </row>
    <row r="183" spans="2:17" ht="21" x14ac:dyDescent="0.35">
      <c r="B183" s="27">
        <v>18</v>
      </c>
      <c r="C183" s="27" t="s">
        <v>93</v>
      </c>
      <c r="D183" s="27" t="s">
        <v>584</v>
      </c>
      <c r="E183" s="108">
        <v>45309</v>
      </c>
      <c r="F183" s="109">
        <v>0.89652777777777781</v>
      </c>
      <c r="G183" s="113" t="s">
        <v>3600</v>
      </c>
      <c r="H183" s="104" t="s">
        <v>3597</v>
      </c>
      <c r="I183" s="104" t="s">
        <v>3601</v>
      </c>
      <c r="J183" s="115">
        <v>50000</v>
      </c>
      <c r="K183" s="115">
        <v>4950000</v>
      </c>
      <c r="L183" s="28" t="s">
        <v>23</v>
      </c>
      <c r="M183" s="28" t="s">
        <v>23</v>
      </c>
      <c r="N183" s="28" t="s">
        <v>23</v>
      </c>
      <c r="O183" s="28" t="s">
        <v>23</v>
      </c>
      <c r="P183" s="28" t="s">
        <v>23</v>
      </c>
      <c r="Q183" s="28" t="s">
        <v>23</v>
      </c>
    </row>
    <row r="184" spans="2:17" ht="21" x14ac:dyDescent="0.35">
      <c r="B184" s="27">
        <v>19</v>
      </c>
      <c r="C184" s="27" t="s">
        <v>93</v>
      </c>
      <c r="D184" s="27" t="s">
        <v>584</v>
      </c>
      <c r="E184" s="108">
        <v>45310</v>
      </c>
      <c r="F184" s="109">
        <v>0.77986111111111112</v>
      </c>
      <c r="G184" s="113" t="s">
        <v>3602</v>
      </c>
      <c r="H184" s="104" t="s">
        <v>3603</v>
      </c>
      <c r="I184" s="104" t="s">
        <v>3601</v>
      </c>
      <c r="J184" s="115">
        <v>50000</v>
      </c>
      <c r="K184" s="115">
        <v>4950000</v>
      </c>
      <c r="L184" s="28" t="s">
        <v>23</v>
      </c>
      <c r="M184" s="28" t="s">
        <v>23</v>
      </c>
      <c r="N184" s="28" t="s">
        <v>23</v>
      </c>
      <c r="O184" s="28" t="s">
        <v>23</v>
      </c>
      <c r="P184" s="28" t="s">
        <v>23</v>
      </c>
      <c r="Q184" s="28" t="s">
        <v>23</v>
      </c>
    </row>
    <row r="185" spans="2:17" ht="21" x14ac:dyDescent="0.35">
      <c r="B185" s="27">
        <v>20</v>
      </c>
      <c r="C185" s="27" t="s">
        <v>93</v>
      </c>
      <c r="D185" s="27" t="s">
        <v>584</v>
      </c>
      <c r="E185" s="108">
        <v>45313</v>
      </c>
      <c r="F185" s="109">
        <v>0.80833333333333335</v>
      </c>
      <c r="G185" s="113" t="s">
        <v>3604</v>
      </c>
      <c r="H185" s="104" t="s">
        <v>3597</v>
      </c>
      <c r="I185" s="104" t="s">
        <v>3041</v>
      </c>
      <c r="J185" s="115">
        <v>1000</v>
      </c>
      <c r="K185" s="115">
        <v>9000</v>
      </c>
      <c r="L185" s="28" t="s">
        <v>23</v>
      </c>
      <c r="M185" s="28" t="s">
        <v>23</v>
      </c>
      <c r="N185" s="28" t="s">
        <v>23</v>
      </c>
      <c r="O185" s="28" t="s">
        <v>23</v>
      </c>
      <c r="P185" s="28" t="s">
        <v>23</v>
      </c>
      <c r="Q185" s="28" t="s">
        <v>23</v>
      </c>
    </row>
    <row r="186" spans="2:17" ht="21" x14ac:dyDescent="0.35">
      <c r="B186" s="106">
        <v>21</v>
      </c>
      <c r="C186" s="27" t="s">
        <v>93</v>
      </c>
      <c r="D186" s="27" t="s">
        <v>584</v>
      </c>
      <c r="E186" s="110">
        <v>45315</v>
      </c>
      <c r="F186" s="28">
        <v>7.0543981481481485E-2</v>
      </c>
      <c r="G186" s="113" t="s">
        <v>3624</v>
      </c>
      <c r="H186" s="113" t="s">
        <v>3605</v>
      </c>
      <c r="I186" s="113" t="s">
        <v>2649</v>
      </c>
      <c r="J186" s="115">
        <v>500</v>
      </c>
      <c r="K186" s="115">
        <v>1999500</v>
      </c>
      <c r="L186" s="28" t="s">
        <v>23</v>
      </c>
      <c r="M186" s="28" t="s">
        <v>23</v>
      </c>
      <c r="N186" s="28" t="s">
        <v>23</v>
      </c>
      <c r="O186" s="28" t="s">
        <v>23</v>
      </c>
      <c r="P186" s="28">
        <v>2</v>
      </c>
      <c r="Q186" s="28" t="s">
        <v>23</v>
      </c>
    </row>
    <row r="187" spans="2:17" ht="21" x14ac:dyDescent="0.35">
      <c r="B187" s="27">
        <v>22</v>
      </c>
      <c r="C187" s="27" t="s">
        <v>93</v>
      </c>
      <c r="D187" s="27" t="s">
        <v>584</v>
      </c>
      <c r="E187" s="108">
        <v>45315</v>
      </c>
      <c r="F187" s="109">
        <v>0.95208333333333328</v>
      </c>
      <c r="G187" s="113" t="s">
        <v>3606</v>
      </c>
      <c r="H187" s="104" t="s">
        <v>2559</v>
      </c>
      <c r="I187" s="113" t="s">
        <v>3607</v>
      </c>
      <c r="J187" s="115">
        <v>1000</v>
      </c>
      <c r="K187" s="115">
        <v>1999000</v>
      </c>
      <c r="L187" s="28" t="s">
        <v>23</v>
      </c>
      <c r="M187" s="28" t="s">
        <v>23</v>
      </c>
      <c r="N187" s="28" t="s">
        <v>23</v>
      </c>
      <c r="O187" s="28" t="s">
        <v>23</v>
      </c>
      <c r="P187" s="28" t="s">
        <v>23</v>
      </c>
      <c r="Q187" s="28" t="s">
        <v>23</v>
      </c>
    </row>
    <row r="188" spans="2:17" ht="21" x14ac:dyDescent="0.35">
      <c r="B188" s="27">
        <v>23</v>
      </c>
      <c r="C188" s="27" t="s">
        <v>93</v>
      </c>
      <c r="D188" s="27" t="s">
        <v>584</v>
      </c>
      <c r="E188" s="108">
        <v>45320</v>
      </c>
      <c r="F188" s="109">
        <v>0.28819444444444442</v>
      </c>
      <c r="G188" s="113" t="s">
        <v>3608</v>
      </c>
      <c r="H188" s="104" t="s">
        <v>3609</v>
      </c>
      <c r="I188" s="113" t="s">
        <v>3610</v>
      </c>
      <c r="J188" s="115">
        <v>80000</v>
      </c>
      <c r="K188" s="115">
        <v>2920000</v>
      </c>
      <c r="L188" s="28" t="s">
        <v>23</v>
      </c>
      <c r="M188" s="28" t="s">
        <v>23</v>
      </c>
      <c r="N188" s="28" t="s">
        <v>23</v>
      </c>
      <c r="O188" s="28" t="s">
        <v>23</v>
      </c>
      <c r="P188" s="28" t="s">
        <v>23</v>
      </c>
      <c r="Q188" s="28" t="s">
        <v>23</v>
      </c>
    </row>
    <row r="189" spans="2:17" ht="21" x14ac:dyDescent="0.35">
      <c r="B189" s="27">
        <v>24</v>
      </c>
      <c r="C189" s="27" t="s">
        <v>93</v>
      </c>
      <c r="D189" s="27" t="s">
        <v>584</v>
      </c>
      <c r="E189" s="108">
        <v>45322</v>
      </c>
      <c r="F189" s="109">
        <v>0.54305555555555551</v>
      </c>
      <c r="G189" s="113" t="s">
        <v>3611</v>
      </c>
      <c r="H189" s="113" t="s">
        <v>2559</v>
      </c>
      <c r="I189" s="113" t="s">
        <v>3612</v>
      </c>
      <c r="J189" s="115">
        <v>30000</v>
      </c>
      <c r="K189" s="115">
        <v>20000</v>
      </c>
      <c r="L189" s="28" t="s">
        <v>23</v>
      </c>
      <c r="M189" s="28" t="s">
        <v>23</v>
      </c>
      <c r="N189" s="28" t="s">
        <v>23</v>
      </c>
      <c r="O189" s="28" t="s">
        <v>23</v>
      </c>
      <c r="P189" s="28" t="s">
        <v>23</v>
      </c>
      <c r="Q189" s="28" t="s">
        <v>23</v>
      </c>
    </row>
    <row r="190" spans="2:17" ht="39" x14ac:dyDescent="0.35">
      <c r="B190" s="106">
        <v>25</v>
      </c>
      <c r="C190" s="27" t="s">
        <v>93</v>
      </c>
      <c r="D190" s="27" t="s">
        <v>1791</v>
      </c>
      <c r="E190" s="110">
        <v>45311</v>
      </c>
      <c r="F190" s="109">
        <v>7.2222222222222215E-2</v>
      </c>
      <c r="G190" s="113" t="s">
        <v>3613</v>
      </c>
      <c r="H190" s="113" t="s">
        <v>3614</v>
      </c>
      <c r="I190" s="104" t="s">
        <v>3622</v>
      </c>
      <c r="J190" s="115" t="s">
        <v>163</v>
      </c>
      <c r="K190" s="115" t="s">
        <v>164</v>
      </c>
      <c r="L190" s="28" t="s">
        <v>23</v>
      </c>
      <c r="M190" s="28" t="s">
        <v>23</v>
      </c>
      <c r="N190" s="28" t="s">
        <v>23</v>
      </c>
      <c r="O190" s="28" t="s">
        <v>23</v>
      </c>
      <c r="P190" s="28" t="s">
        <v>23</v>
      </c>
      <c r="Q190" s="28" t="s">
        <v>23</v>
      </c>
    </row>
    <row r="191" spans="2:17" ht="39" x14ac:dyDescent="0.35">
      <c r="B191" s="106">
        <v>26</v>
      </c>
      <c r="C191" s="27" t="s">
        <v>93</v>
      </c>
      <c r="D191" s="27" t="s">
        <v>1791</v>
      </c>
      <c r="E191" s="110">
        <v>45316</v>
      </c>
      <c r="F191" s="109">
        <v>0.1423611111111111</v>
      </c>
      <c r="G191" s="113" t="s">
        <v>3615</v>
      </c>
      <c r="H191" s="113" t="s">
        <v>2873</v>
      </c>
      <c r="I191" s="104" t="s">
        <v>3623</v>
      </c>
      <c r="J191" s="115" t="s">
        <v>154</v>
      </c>
      <c r="K191" s="115" t="s">
        <v>33</v>
      </c>
      <c r="L191" s="28" t="s">
        <v>23</v>
      </c>
      <c r="M191" s="28" t="s">
        <v>23</v>
      </c>
      <c r="N191" s="28" t="s">
        <v>23</v>
      </c>
      <c r="O191" s="28" t="s">
        <v>23</v>
      </c>
      <c r="P191" s="28" t="s">
        <v>23</v>
      </c>
      <c r="Q191" s="28" t="s">
        <v>23</v>
      </c>
    </row>
    <row r="192" spans="2:17" ht="21" x14ac:dyDescent="0.35">
      <c r="B192" s="27">
        <v>1</v>
      </c>
      <c r="C192" s="27" t="s">
        <v>93</v>
      </c>
      <c r="D192" s="27" t="s">
        <v>94</v>
      </c>
      <c r="E192" s="108">
        <v>45476</v>
      </c>
      <c r="F192" s="109">
        <v>0.15069444444444444</v>
      </c>
      <c r="G192" s="104" t="s">
        <v>2596</v>
      </c>
      <c r="H192" s="104" t="s">
        <v>203</v>
      </c>
      <c r="I192" s="104" t="s">
        <v>2597</v>
      </c>
      <c r="J192" s="115" t="s">
        <v>20</v>
      </c>
      <c r="K192" s="115">
        <v>50000</v>
      </c>
      <c r="L192" s="28" t="s">
        <v>20</v>
      </c>
      <c r="M192" s="28" t="s">
        <v>20</v>
      </c>
      <c r="N192" s="28" t="s">
        <v>20</v>
      </c>
      <c r="O192" s="28" t="s">
        <v>20</v>
      </c>
      <c r="P192" s="28" t="s">
        <v>20</v>
      </c>
      <c r="Q192" s="28" t="s">
        <v>20</v>
      </c>
    </row>
    <row r="193" spans="2:17" ht="21" x14ac:dyDescent="0.35">
      <c r="B193" s="27">
        <v>2</v>
      </c>
      <c r="C193" s="27" t="s">
        <v>93</v>
      </c>
      <c r="D193" s="27" t="s">
        <v>94</v>
      </c>
      <c r="E193" s="108">
        <v>45478</v>
      </c>
      <c r="F193" s="109">
        <v>0.61388888888888893</v>
      </c>
      <c r="G193" s="104" t="s">
        <v>2598</v>
      </c>
      <c r="H193" s="104" t="s">
        <v>2599</v>
      </c>
      <c r="I193" s="104" t="s">
        <v>2600</v>
      </c>
      <c r="J193" s="115">
        <v>105000</v>
      </c>
      <c r="K193" s="115">
        <v>1895000</v>
      </c>
      <c r="L193" s="28" t="s">
        <v>20</v>
      </c>
      <c r="M193" s="28" t="s">
        <v>20</v>
      </c>
      <c r="N193" s="28" t="s">
        <v>20</v>
      </c>
      <c r="O193" s="28" t="s">
        <v>20</v>
      </c>
      <c r="P193" s="28" t="s">
        <v>20</v>
      </c>
      <c r="Q193" s="28" t="s">
        <v>20</v>
      </c>
    </row>
    <row r="194" spans="2:17" ht="21" x14ac:dyDescent="0.35">
      <c r="B194" s="27">
        <v>3</v>
      </c>
      <c r="C194" s="27" t="s">
        <v>93</v>
      </c>
      <c r="D194" s="27" t="s">
        <v>94</v>
      </c>
      <c r="E194" s="108">
        <v>45480</v>
      </c>
      <c r="F194" s="109">
        <v>0.70486111111111116</v>
      </c>
      <c r="G194" s="104" t="s">
        <v>2601</v>
      </c>
      <c r="H194" s="104" t="s">
        <v>2602</v>
      </c>
      <c r="I194" s="104" t="s">
        <v>2603</v>
      </c>
      <c r="J194" s="115">
        <v>110000</v>
      </c>
      <c r="K194" s="115">
        <v>1090000</v>
      </c>
      <c r="L194" s="28" t="s">
        <v>20</v>
      </c>
      <c r="M194" s="28" t="s">
        <v>20</v>
      </c>
      <c r="N194" s="28" t="s">
        <v>20</v>
      </c>
      <c r="O194" s="28" t="s">
        <v>20</v>
      </c>
      <c r="P194" s="28">
        <v>8</v>
      </c>
      <c r="Q194" s="28" t="s">
        <v>20</v>
      </c>
    </row>
    <row r="195" spans="2:17" ht="58.5" x14ac:dyDescent="0.35">
      <c r="B195" s="27">
        <v>4</v>
      </c>
      <c r="C195" s="27" t="s">
        <v>93</v>
      </c>
      <c r="D195" s="27" t="s">
        <v>94</v>
      </c>
      <c r="E195" s="108">
        <v>45483</v>
      </c>
      <c r="F195" s="109">
        <v>0.35972222222222222</v>
      </c>
      <c r="G195" s="104" t="s">
        <v>2604</v>
      </c>
      <c r="H195" s="104" t="s">
        <v>406</v>
      </c>
      <c r="I195" s="130" t="s">
        <v>2605</v>
      </c>
      <c r="J195" s="115">
        <v>5000</v>
      </c>
      <c r="K195" s="115">
        <v>95000</v>
      </c>
      <c r="L195" s="28" t="s">
        <v>20</v>
      </c>
      <c r="M195" s="28" t="s">
        <v>20</v>
      </c>
      <c r="N195" s="28">
        <v>2</v>
      </c>
      <c r="O195" s="28" t="s">
        <v>20</v>
      </c>
      <c r="P195" s="28">
        <v>2</v>
      </c>
      <c r="Q195" s="28" t="s">
        <v>20</v>
      </c>
    </row>
    <row r="196" spans="2:17" ht="21" x14ac:dyDescent="0.35">
      <c r="B196" s="27">
        <v>5</v>
      </c>
      <c r="C196" s="27" t="s">
        <v>93</v>
      </c>
      <c r="D196" s="27" t="s">
        <v>94</v>
      </c>
      <c r="E196" s="108">
        <v>45485</v>
      </c>
      <c r="F196" s="109">
        <v>0.6743055555555556</v>
      </c>
      <c r="G196" s="104" t="s">
        <v>2606</v>
      </c>
      <c r="H196" s="104" t="s">
        <v>2607</v>
      </c>
      <c r="I196" s="104" t="s">
        <v>2608</v>
      </c>
      <c r="J196" s="115" t="s">
        <v>1806</v>
      </c>
      <c r="K196" s="115">
        <v>950000</v>
      </c>
      <c r="L196" s="28" t="s">
        <v>20</v>
      </c>
      <c r="M196" s="28" t="s">
        <v>20</v>
      </c>
      <c r="N196" s="28" t="s">
        <v>20</v>
      </c>
      <c r="O196" s="28" t="s">
        <v>20</v>
      </c>
      <c r="P196" s="28" t="s">
        <v>20</v>
      </c>
      <c r="Q196" s="28" t="s">
        <v>20</v>
      </c>
    </row>
    <row r="197" spans="2:17" ht="21" x14ac:dyDescent="0.35">
      <c r="B197" s="27">
        <v>6</v>
      </c>
      <c r="C197" s="27" t="s">
        <v>93</v>
      </c>
      <c r="D197" s="27" t="s">
        <v>94</v>
      </c>
      <c r="E197" s="108">
        <v>45487</v>
      </c>
      <c r="F197" s="109">
        <v>0.9506944444444444</v>
      </c>
      <c r="G197" s="104" t="s">
        <v>2609</v>
      </c>
      <c r="H197" s="104" t="s">
        <v>2610</v>
      </c>
      <c r="I197" s="104" t="s">
        <v>2611</v>
      </c>
      <c r="J197" s="115">
        <v>500</v>
      </c>
      <c r="K197" s="115">
        <v>499500</v>
      </c>
      <c r="L197" s="28" t="s">
        <v>20</v>
      </c>
      <c r="M197" s="28" t="s">
        <v>20</v>
      </c>
      <c r="N197" s="28" t="s">
        <v>20</v>
      </c>
      <c r="O197" s="28" t="s">
        <v>20</v>
      </c>
      <c r="P197" s="28" t="s">
        <v>20</v>
      </c>
      <c r="Q197" s="28" t="s">
        <v>20</v>
      </c>
    </row>
    <row r="198" spans="2:17" ht="21" x14ac:dyDescent="0.35">
      <c r="B198" s="27">
        <v>7</v>
      </c>
      <c r="C198" s="27" t="s">
        <v>93</v>
      </c>
      <c r="D198" s="27" t="s">
        <v>94</v>
      </c>
      <c r="E198" s="108">
        <v>45490</v>
      </c>
      <c r="F198" s="109">
        <v>4.583333333333333E-2</v>
      </c>
      <c r="G198" s="104" t="s">
        <v>2612</v>
      </c>
      <c r="H198" s="104" t="s">
        <v>2613</v>
      </c>
      <c r="I198" s="104" t="s">
        <v>2614</v>
      </c>
      <c r="J198" s="115">
        <v>4000</v>
      </c>
      <c r="K198" s="115">
        <v>16000</v>
      </c>
      <c r="L198" s="28" t="s">
        <v>20</v>
      </c>
      <c r="M198" s="28" t="s">
        <v>20</v>
      </c>
      <c r="N198" s="28" t="s">
        <v>20</v>
      </c>
      <c r="O198" s="28" t="s">
        <v>20</v>
      </c>
      <c r="P198" s="28" t="s">
        <v>20</v>
      </c>
      <c r="Q198" s="28" t="s">
        <v>20</v>
      </c>
    </row>
    <row r="199" spans="2:17" ht="21" x14ac:dyDescent="0.35">
      <c r="B199" s="27">
        <v>8</v>
      </c>
      <c r="C199" s="27" t="s">
        <v>93</v>
      </c>
      <c r="D199" s="27" t="s">
        <v>94</v>
      </c>
      <c r="E199" s="108">
        <v>45492</v>
      </c>
      <c r="F199" s="109">
        <v>0.96180555555555558</v>
      </c>
      <c r="G199" s="104" t="s">
        <v>2615</v>
      </c>
      <c r="H199" s="104" t="s">
        <v>362</v>
      </c>
      <c r="I199" s="104" t="s">
        <v>2616</v>
      </c>
      <c r="J199" s="115" t="s">
        <v>20</v>
      </c>
      <c r="K199" s="115" t="s">
        <v>20</v>
      </c>
      <c r="L199" s="28" t="s">
        <v>20</v>
      </c>
      <c r="M199" s="28" t="s">
        <v>20</v>
      </c>
      <c r="N199" s="28">
        <v>2</v>
      </c>
      <c r="O199" s="28" t="s">
        <v>20</v>
      </c>
      <c r="P199" s="28">
        <v>2</v>
      </c>
      <c r="Q199" s="28" t="s">
        <v>20</v>
      </c>
    </row>
    <row r="200" spans="2:17" ht="21" x14ac:dyDescent="0.35">
      <c r="B200" s="27">
        <v>9</v>
      </c>
      <c r="C200" s="27" t="s">
        <v>93</v>
      </c>
      <c r="D200" s="27" t="s">
        <v>94</v>
      </c>
      <c r="E200" s="108">
        <v>45493</v>
      </c>
      <c r="F200" s="109">
        <v>0.12847222222222221</v>
      </c>
      <c r="G200" s="104" t="s">
        <v>2617</v>
      </c>
      <c r="H200" s="104" t="s">
        <v>203</v>
      </c>
      <c r="I200" s="104" t="s">
        <v>2618</v>
      </c>
      <c r="J200" s="115">
        <v>5000</v>
      </c>
      <c r="K200" s="115">
        <v>5000</v>
      </c>
      <c r="L200" s="28" t="s">
        <v>20</v>
      </c>
      <c r="M200" s="28" t="s">
        <v>20</v>
      </c>
      <c r="N200" s="28" t="s">
        <v>20</v>
      </c>
      <c r="O200" s="28" t="s">
        <v>20</v>
      </c>
      <c r="P200" s="28" t="s">
        <v>20</v>
      </c>
      <c r="Q200" s="28" t="s">
        <v>20</v>
      </c>
    </row>
    <row r="201" spans="2:17" ht="21" x14ac:dyDescent="0.35">
      <c r="B201" s="27">
        <v>10</v>
      </c>
      <c r="C201" s="27" t="s">
        <v>93</v>
      </c>
      <c r="D201" s="27" t="s">
        <v>94</v>
      </c>
      <c r="E201" s="108">
        <v>45493</v>
      </c>
      <c r="F201" s="109">
        <v>0.99930555555555556</v>
      </c>
      <c r="G201" s="104" t="s">
        <v>2619</v>
      </c>
      <c r="H201" s="104" t="s">
        <v>2620</v>
      </c>
      <c r="I201" s="104" t="s">
        <v>2614</v>
      </c>
      <c r="J201" s="115">
        <v>5000</v>
      </c>
      <c r="K201" s="115">
        <v>2995000</v>
      </c>
      <c r="L201" s="28" t="s">
        <v>20</v>
      </c>
      <c r="M201" s="28" t="s">
        <v>20</v>
      </c>
      <c r="N201" s="28" t="s">
        <v>20</v>
      </c>
      <c r="O201" s="28" t="s">
        <v>20</v>
      </c>
      <c r="P201" s="28" t="s">
        <v>20</v>
      </c>
      <c r="Q201" s="28" t="s">
        <v>20</v>
      </c>
    </row>
    <row r="202" spans="2:17" ht="21" x14ac:dyDescent="0.35">
      <c r="B202" s="27">
        <v>11</v>
      </c>
      <c r="C202" s="27" t="s">
        <v>93</v>
      </c>
      <c r="D202" s="27" t="s">
        <v>94</v>
      </c>
      <c r="E202" s="108">
        <v>45497</v>
      </c>
      <c r="F202" s="109">
        <v>0.62569444444444444</v>
      </c>
      <c r="G202" s="104" t="s">
        <v>2621</v>
      </c>
      <c r="H202" s="104" t="s">
        <v>2622</v>
      </c>
      <c r="I202" s="104" t="s">
        <v>2623</v>
      </c>
      <c r="J202" s="115">
        <v>50000</v>
      </c>
      <c r="K202" s="115">
        <v>7950000</v>
      </c>
      <c r="L202" s="28" t="s">
        <v>20</v>
      </c>
      <c r="M202" s="28" t="s">
        <v>20</v>
      </c>
      <c r="N202" s="28" t="s">
        <v>20</v>
      </c>
      <c r="O202" s="28" t="s">
        <v>20</v>
      </c>
      <c r="P202" s="28" t="s">
        <v>20</v>
      </c>
      <c r="Q202" s="28" t="s">
        <v>20</v>
      </c>
    </row>
    <row r="203" spans="2:17" ht="21" x14ac:dyDescent="0.35">
      <c r="B203" s="27">
        <v>12</v>
      </c>
      <c r="C203" s="27" t="s">
        <v>93</v>
      </c>
      <c r="D203" s="27" t="s">
        <v>94</v>
      </c>
      <c r="E203" s="108">
        <v>45497</v>
      </c>
      <c r="F203" s="109">
        <v>0.77083333333333337</v>
      </c>
      <c r="G203" s="104" t="s">
        <v>2624</v>
      </c>
      <c r="H203" s="104" t="s">
        <v>2625</v>
      </c>
      <c r="I203" s="104" t="s">
        <v>2626</v>
      </c>
      <c r="J203" s="120" t="s">
        <v>2714</v>
      </c>
      <c r="K203" s="115" t="s">
        <v>20</v>
      </c>
      <c r="L203" s="28" t="s">
        <v>20</v>
      </c>
      <c r="M203" s="28" t="s">
        <v>20</v>
      </c>
      <c r="N203" s="28" t="s">
        <v>20</v>
      </c>
      <c r="O203" s="28" t="s">
        <v>20</v>
      </c>
      <c r="P203" s="28" t="s">
        <v>20</v>
      </c>
      <c r="Q203" s="28"/>
    </row>
    <row r="204" spans="2:17" ht="21" x14ac:dyDescent="0.35">
      <c r="B204" s="27">
        <v>13</v>
      </c>
      <c r="C204" s="27" t="s">
        <v>93</v>
      </c>
      <c r="D204" s="27" t="s">
        <v>94</v>
      </c>
      <c r="E204" s="108">
        <v>45499</v>
      </c>
      <c r="F204" s="109">
        <v>0.88124999999999998</v>
      </c>
      <c r="G204" s="104" t="s">
        <v>2627</v>
      </c>
      <c r="H204" s="104" t="s">
        <v>2628</v>
      </c>
      <c r="I204" s="104" t="s">
        <v>2629</v>
      </c>
      <c r="J204" s="115">
        <v>5000</v>
      </c>
      <c r="K204" s="115">
        <v>20000</v>
      </c>
      <c r="L204" s="28" t="s">
        <v>20</v>
      </c>
      <c r="M204" s="28" t="s">
        <v>20</v>
      </c>
      <c r="N204" s="28" t="s">
        <v>20</v>
      </c>
      <c r="O204" s="28" t="s">
        <v>20</v>
      </c>
      <c r="P204" s="28" t="s">
        <v>20</v>
      </c>
      <c r="Q204" s="28" t="s">
        <v>20</v>
      </c>
    </row>
    <row r="205" spans="2:17" ht="21" x14ac:dyDescent="0.35">
      <c r="B205" s="27">
        <v>14</v>
      </c>
      <c r="C205" s="27" t="s">
        <v>93</v>
      </c>
      <c r="D205" s="27" t="s">
        <v>94</v>
      </c>
      <c r="E205" s="108">
        <v>45501</v>
      </c>
      <c r="F205" s="109">
        <v>0.63402777777777775</v>
      </c>
      <c r="G205" s="104" t="s">
        <v>2630</v>
      </c>
      <c r="H205" s="104" t="s">
        <v>2631</v>
      </c>
      <c r="I205" s="104" t="s">
        <v>2632</v>
      </c>
      <c r="J205" s="115">
        <v>100000</v>
      </c>
      <c r="K205" s="115">
        <v>2400000</v>
      </c>
      <c r="L205" s="28" t="s">
        <v>20</v>
      </c>
      <c r="M205" s="28" t="s">
        <v>20</v>
      </c>
      <c r="N205" s="28" t="s">
        <v>20</v>
      </c>
      <c r="O205" s="28" t="s">
        <v>20</v>
      </c>
      <c r="P205" s="28" t="s">
        <v>20</v>
      </c>
      <c r="Q205" s="28" t="s">
        <v>20</v>
      </c>
    </row>
    <row r="206" spans="2:17" ht="21" x14ac:dyDescent="0.35">
      <c r="B206" s="27">
        <v>15</v>
      </c>
      <c r="C206" s="27" t="s">
        <v>93</v>
      </c>
      <c r="D206" s="27" t="s">
        <v>94</v>
      </c>
      <c r="E206" s="108">
        <v>45504</v>
      </c>
      <c r="F206" s="109">
        <v>0.24722222222222223</v>
      </c>
      <c r="G206" s="104" t="s">
        <v>2633</v>
      </c>
      <c r="H206" s="104" t="s">
        <v>2634</v>
      </c>
      <c r="I206" s="104" t="s">
        <v>2635</v>
      </c>
      <c r="J206" s="115">
        <v>250000</v>
      </c>
      <c r="K206" s="115">
        <v>2750000</v>
      </c>
      <c r="L206" s="28" t="s">
        <v>20</v>
      </c>
      <c r="M206" s="28" t="s">
        <v>20</v>
      </c>
      <c r="N206" s="28" t="s">
        <v>20</v>
      </c>
      <c r="O206" s="28" t="s">
        <v>20</v>
      </c>
      <c r="P206" s="28" t="s">
        <v>20</v>
      </c>
      <c r="Q206" s="28" t="s">
        <v>20</v>
      </c>
    </row>
    <row r="207" spans="2:17" ht="21" x14ac:dyDescent="0.35">
      <c r="B207" s="27">
        <v>16</v>
      </c>
      <c r="C207" s="27" t="s">
        <v>93</v>
      </c>
      <c r="D207" s="27" t="s">
        <v>584</v>
      </c>
      <c r="E207" s="110">
        <v>45483</v>
      </c>
      <c r="F207" s="28">
        <v>0.23663194444444444</v>
      </c>
      <c r="G207" s="113" t="s">
        <v>2636</v>
      </c>
      <c r="H207" s="104" t="s">
        <v>406</v>
      </c>
      <c r="I207" s="113" t="s">
        <v>2637</v>
      </c>
      <c r="J207" s="115">
        <v>2000</v>
      </c>
      <c r="K207" s="115">
        <v>13000</v>
      </c>
      <c r="L207" s="28" t="s">
        <v>75</v>
      </c>
      <c r="M207" s="28" t="s">
        <v>75</v>
      </c>
      <c r="N207" s="28" t="s">
        <v>75</v>
      </c>
      <c r="O207" s="28" t="s">
        <v>75</v>
      </c>
      <c r="P207" s="28" t="s">
        <v>75</v>
      </c>
      <c r="Q207" s="28" t="s">
        <v>75</v>
      </c>
    </row>
    <row r="208" spans="2:17" ht="21" x14ac:dyDescent="0.35">
      <c r="B208" s="27">
        <v>17</v>
      </c>
      <c r="C208" s="27" t="s">
        <v>93</v>
      </c>
      <c r="D208" s="27" t="s">
        <v>584</v>
      </c>
      <c r="E208" s="110">
        <v>45488</v>
      </c>
      <c r="F208" s="109">
        <v>0.9770833333333333</v>
      </c>
      <c r="G208" s="113" t="s">
        <v>2638</v>
      </c>
      <c r="H208" s="104" t="s">
        <v>2639</v>
      </c>
      <c r="I208" s="104" t="s">
        <v>2640</v>
      </c>
      <c r="J208" s="115">
        <v>50000</v>
      </c>
      <c r="K208" s="115">
        <v>450000</v>
      </c>
      <c r="L208" s="28">
        <v>1</v>
      </c>
      <c r="M208" s="28" t="s">
        <v>75</v>
      </c>
      <c r="N208" s="28">
        <v>3</v>
      </c>
      <c r="O208" s="28" t="s">
        <v>75</v>
      </c>
      <c r="P208" s="28">
        <v>3</v>
      </c>
      <c r="Q208" s="28" t="s">
        <v>75</v>
      </c>
    </row>
    <row r="209" spans="2:17" ht="21" x14ac:dyDescent="0.35">
      <c r="B209" s="27">
        <v>18</v>
      </c>
      <c r="C209" s="27" t="s">
        <v>93</v>
      </c>
      <c r="D209" s="27" t="s">
        <v>584</v>
      </c>
      <c r="E209" s="110">
        <v>45492</v>
      </c>
      <c r="F209" s="28">
        <v>0.52482638888888888</v>
      </c>
      <c r="G209" s="113" t="s">
        <v>2641</v>
      </c>
      <c r="H209" s="104" t="s">
        <v>2642</v>
      </c>
      <c r="I209" s="104" t="s">
        <v>2643</v>
      </c>
      <c r="J209" s="115">
        <v>180000</v>
      </c>
      <c r="K209" s="115">
        <v>132000</v>
      </c>
      <c r="L209" s="28" t="s">
        <v>75</v>
      </c>
      <c r="M209" s="28" t="s">
        <v>75</v>
      </c>
      <c r="N209" s="28" t="s">
        <v>75</v>
      </c>
      <c r="O209" s="28" t="s">
        <v>75</v>
      </c>
      <c r="P209" s="28">
        <v>3</v>
      </c>
      <c r="Q209" s="28" t="s">
        <v>75</v>
      </c>
    </row>
    <row r="210" spans="2:17" ht="21" x14ac:dyDescent="0.35">
      <c r="B210" s="27">
        <v>19</v>
      </c>
      <c r="C210" s="27" t="s">
        <v>93</v>
      </c>
      <c r="D210" s="27" t="s">
        <v>584</v>
      </c>
      <c r="E210" s="110">
        <v>45498</v>
      </c>
      <c r="F210" s="28">
        <v>6.4942129629629627E-2</v>
      </c>
      <c r="G210" s="113" t="s">
        <v>2644</v>
      </c>
      <c r="H210" s="104" t="s">
        <v>2645</v>
      </c>
      <c r="I210" s="104" t="s">
        <v>2646</v>
      </c>
      <c r="J210" s="115" t="s">
        <v>20</v>
      </c>
      <c r="K210" s="115" t="s">
        <v>20</v>
      </c>
      <c r="L210" s="28" t="s">
        <v>75</v>
      </c>
      <c r="M210" s="28" t="s">
        <v>75</v>
      </c>
      <c r="N210" s="28" t="s">
        <v>75</v>
      </c>
      <c r="O210" s="28" t="s">
        <v>75</v>
      </c>
      <c r="P210" s="28" t="s">
        <v>75</v>
      </c>
      <c r="Q210" s="28" t="s">
        <v>75</v>
      </c>
    </row>
    <row r="211" spans="2:17" ht="21" x14ac:dyDescent="0.35">
      <c r="B211" s="27">
        <v>20</v>
      </c>
      <c r="C211" s="27" t="s">
        <v>93</v>
      </c>
      <c r="D211" s="27" t="s">
        <v>584</v>
      </c>
      <c r="E211" s="110">
        <v>45500</v>
      </c>
      <c r="F211" s="109">
        <v>0.55208333333333337</v>
      </c>
      <c r="G211" s="113" t="s">
        <v>2647</v>
      </c>
      <c r="H211" s="104" t="s">
        <v>2648</v>
      </c>
      <c r="I211" s="104" t="s">
        <v>2649</v>
      </c>
      <c r="J211" s="115">
        <v>1000</v>
      </c>
      <c r="K211" s="115">
        <v>399000</v>
      </c>
      <c r="L211" s="28" t="s">
        <v>75</v>
      </c>
      <c r="M211" s="28" t="s">
        <v>75</v>
      </c>
      <c r="N211" s="28" t="s">
        <v>75</v>
      </c>
      <c r="O211" s="28" t="s">
        <v>75</v>
      </c>
      <c r="P211" s="28">
        <v>10</v>
      </c>
      <c r="Q211" s="28" t="s">
        <v>75</v>
      </c>
    </row>
    <row r="212" spans="2:17" ht="21" x14ac:dyDescent="0.35">
      <c r="B212" s="106">
        <v>21</v>
      </c>
      <c r="C212" s="27" t="s">
        <v>93</v>
      </c>
      <c r="D212" s="27" t="s">
        <v>584</v>
      </c>
      <c r="E212" s="110">
        <v>45503</v>
      </c>
      <c r="F212" s="28">
        <v>6.4861111111111105E-2</v>
      </c>
      <c r="G212" s="113" t="s">
        <v>2650</v>
      </c>
      <c r="H212" s="113" t="s">
        <v>2651</v>
      </c>
      <c r="I212" s="113" t="s">
        <v>2652</v>
      </c>
      <c r="J212" s="115">
        <v>200000</v>
      </c>
      <c r="K212" s="115">
        <v>4800000</v>
      </c>
      <c r="L212" s="28" t="s">
        <v>75</v>
      </c>
      <c r="M212" s="28" t="s">
        <v>75</v>
      </c>
      <c r="N212" s="28" t="s">
        <v>75</v>
      </c>
      <c r="O212" s="28" t="s">
        <v>75</v>
      </c>
      <c r="P212" s="28">
        <v>3</v>
      </c>
      <c r="Q212" s="28" t="s">
        <v>75</v>
      </c>
    </row>
    <row r="213" spans="2:17" ht="21" x14ac:dyDescent="0.35">
      <c r="B213" s="27">
        <v>22</v>
      </c>
      <c r="C213" s="27" t="s">
        <v>93</v>
      </c>
      <c r="D213" s="27" t="s">
        <v>584</v>
      </c>
      <c r="E213" s="110">
        <v>45504</v>
      </c>
      <c r="F213" s="28">
        <v>0.90538194444444442</v>
      </c>
      <c r="G213" s="113" t="s">
        <v>2653</v>
      </c>
      <c r="H213" s="104" t="s">
        <v>2654</v>
      </c>
      <c r="I213" s="104" t="s">
        <v>2655</v>
      </c>
      <c r="J213" s="115">
        <v>5000</v>
      </c>
      <c r="K213" s="115">
        <v>1495000</v>
      </c>
      <c r="L213" s="28" t="s">
        <v>75</v>
      </c>
      <c r="M213" s="28" t="s">
        <v>75</v>
      </c>
      <c r="N213" s="28" t="s">
        <v>75</v>
      </c>
      <c r="O213" s="28" t="s">
        <v>75</v>
      </c>
      <c r="P213" s="28">
        <v>5</v>
      </c>
      <c r="Q213" s="28" t="s">
        <v>75</v>
      </c>
    </row>
    <row r="214" spans="2:17" ht="21" x14ac:dyDescent="0.35">
      <c r="B214" s="27">
        <v>23</v>
      </c>
      <c r="C214" s="27" t="s">
        <v>93</v>
      </c>
      <c r="D214" s="27" t="s">
        <v>587</v>
      </c>
      <c r="E214" s="110">
        <v>45492</v>
      </c>
      <c r="F214" s="109">
        <v>2.0833333333333332E-2</v>
      </c>
      <c r="G214" s="113" t="s">
        <v>2656</v>
      </c>
      <c r="H214" s="113" t="s">
        <v>2657</v>
      </c>
      <c r="I214" s="113" t="s">
        <v>2523</v>
      </c>
      <c r="J214" s="115">
        <v>5000</v>
      </c>
      <c r="K214" s="115">
        <v>145000</v>
      </c>
      <c r="L214" s="28" t="s">
        <v>75</v>
      </c>
      <c r="M214" s="28" t="s">
        <v>75</v>
      </c>
      <c r="N214" s="28" t="s">
        <v>75</v>
      </c>
      <c r="O214" s="28" t="s">
        <v>75</v>
      </c>
      <c r="P214" s="28" t="s">
        <v>75</v>
      </c>
      <c r="Q214" s="28" t="s">
        <v>75</v>
      </c>
    </row>
    <row r="215" spans="2:17" ht="58.5" x14ac:dyDescent="0.35">
      <c r="B215" s="27">
        <v>1</v>
      </c>
      <c r="C215" s="27" t="s">
        <v>93</v>
      </c>
      <c r="D215" s="27" t="s">
        <v>94</v>
      </c>
      <c r="E215" s="108">
        <v>45444</v>
      </c>
      <c r="F215" s="109">
        <v>0.14166666666666666</v>
      </c>
      <c r="G215" s="28" t="s">
        <v>2658</v>
      </c>
      <c r="H215" s="28" t="s">
        <v>2659</v>
      </c>
      <c r="I215" s="28" t="s">
        <v>2660</v>
      </c>
      <c r="J215" s="115" t="s">
        <v>171</v>
      </c>
      <c r="K215" s="115" t="s">
        <v>172</v>
      </c>
      <c r="L215" s="28" t="s">
        <v>20</v>
      </c>
      <c r="M215" s="28" t="s">
        <v>20</v>
      </c>
      <c r="N215" s="28" t="s">
        <v>20</v>
      </c>
      <c r="O215" s="28" t="s">
        <v>20</v>
      </c>
      <c r="P215" s="28" t="s">
        <v>20</v>
      </c>
      <c r="Q215" s="28" t="s">
        <v>20</v>
      </c>
    </row>
    <row r="216" spans="2:17" ht="78" x14ac:dyDescent="0.35">
      <c r="B216" s="27">
        <v>2</v>
      </c>
      <c r="C216" s="27" t="s">
        <v>93</v>
      </c>
      <c r="D216" s="27" t="s">
        <v>94</v>
      </c>
      <c r="E216" s="108">
        <v>45444</v>
      </c>
      <c r="F216" s="109">
        <v>0.15902777777777777</v>
      </c>
      <c r="G216" s="26" t="s">
        <v>2661</v>
      </c>
      <c r="H216" s="28" t="s">
        <v>2662</v>
      </c>
      <c r="I216" s="28"/>
      <c r="J216" s="115" t="s">
        <v>20</v>
      </c>
      <c r="K216" s="115" t="s">
        <v>20</v>
      </c>
      <c r="L216" s="28" t="s">
        <v>20</v>
      </c>
      <c r="M216" s="28" t="s">
        <v>20</v>
      </c>
      <c r="N216" s="28" t="s">
        <v>20</v>
      </c>
      <c r="O216" s="28" t="s">
        <v>20</v>
      </c>
      <c r="P216" s="28" t="s">
        <v>20</v>
      </c>
      <c r="Q216" s="28"/>
    </row>
    <row r="217" spans="2:17" ht="58.5" x14ac:dyDescent="0.35">
      <c r="B217" s="27">
        <v>3</v>
      </c>
      <c r="C217" s="27" t="s">
        <v>93</v>
      </c>
      <c r="D217" s="27" t="s">
        <v>94</v>
      </c>
      <c r="E217" s="108">
        <v>45445</v>
      </c>
      <c r="F217" s="109">
        <v>0.27847222222222223</v>
      </c>
      <c r="G217" s="28" t="s">
        <v>2664</v>
      </c>
      <c r="H217" s="28" t="s">
        <v>2665</v>
      </c>
      <c r="I217" s="28" t="s">
        <v>2666</v>
      </c>
      <c r="J217" s="115" t="s">
        <v>145</v>
      </c>
      <c r="K217" s="115" t="s">
        <v>173</v>
      </c>
      <c r="L217" s="28" t="s">
        <v>20</v>
      </c>
      <c r="M217" s="28" t="s">
        <v>20</v>
      </c>
      <c r="N217" s="28" t="s">
        <v>20</v>
      </c>
      <c r="O217" s="28" t="s">
        <v>20</v>
      </c>
      <c r="P217" s="28" t="s">
        <v>20</v>
      </c>
      <c r="Q217" s="28" t="s">
        <v>20</v>
      </c>
    </row>
    <row r="218" spans="2:17" ht="58.5" x14ac:dyDescent="0.35">
      <c r="B218" s="27">
        <v>4</v>
      </c>
      <c r="C218" s="27" t="s">
        <v>93</v>
      </c>
      <c r="D218" s="27" t="s">
        <v>94</v>
      </c>
      <c r="E218" s="108">
        <v>45445</v>
      </c>
      <c r="F218" s="109">
        <v>0.36458333333333331</v>
      </c>
      <c r="G218" s="28" t="s">
        <v>2667</v>
      </c>
      <c r="H218" s="28" t="s">
        <v>2668</v>
      </c>
      <c r="I218" s="28" t="s">
        <v>2669</v>
      </c>
      <c r="J218" s="115" t="s">
        <v>20</v>
      </c>
      <c r="K218" s="115" t="s">
        <v>174</v>
      </c>
      <c r="L218" s="28" t="s">
        <v>20</v>
      </c>
      <c r="M218" s="28" t="s">
        <v>20</v>
      </c>
      <c r="N218" s="28" t="s">
        <v>20</v>
      </c>
      <c r="O218" s="28" t="s">
        <v>20</v>
      </c>
      <c r="P218" s="28" t="s">
        <v>20</v>
      </c>
      <c r="Q218" s="28" t="s">
        <v>20</v>
      </c>
    </row>
    <row r="219" spans="2:17" ht="58.5" x14ac:dyDescent="0.35">
      <c r="B219" s="27">
        <v>5</v>
      </c>
      <c r="C219" s="27" t="s">
        <v>93</v>
      </c>
      <c r="D219" s="27" t="s">
        <v>94</v>
      </c>
      <c r="E219" s="108">
        <v>45446</v>
      </c>
      <c r="F219" s="109">
        <v>0.61736111111111114</v>
      </c>
      <c r="G219" s="28" t="s">
        <v>2670</v>
      </c>
      <c r="H219" s="28" t="s">
        <v>2671</v>
      </c>
      <c r="I219" s="28" t="s">
        <v>2672</v>
      </c>
      <c r="J219" s="115" t="s">
        <v>20</v>
      </c>
      <c r="K219" s="115" t="s">
        <v>145</v>
      </c>
      <c r="L219" s="28" t="s">
        <v>20</v>
      </c>
      <c r="M219" s="28" t="s">
        <v>20</v>
      </c>
      <c r="N219" s="28" t="s">
        <v>20</v>
      </c>
      <c r="O219" s="28" t="s">
        <v>20</v>
      </c>
      <c r="P219" s="28" t="s">
        <v>20</v>
      </c>
      <c r="Q219" s="28" t="s">
        <v>20</v>
      </c>
    </row>
    <row r="220" spans="2:17" ht="78" x14ac:dyDescent="0.35">
      <c r="B220" s="27">
        <v>6</v>
      </c>
      <c r="C220" s="27" t="s">
        <v>93</v>
      </c>
      <c r="D220" s="27" t="s">
        <v>94</v>
      </c>
      <c r="E220" s="108">
        <v>45447</v>
      </c>
      <c r="F220" s="109">
        <v>0.51388888888888884</v>
      </c>
      <c r="G220" s="28" t="s">
        <v>2673</v>
      </c>
      <c r="H220" s="28" t="s">
        <v>2674</v>
      </c>
      <c r="I220" s="28" t="s">
        <v>2675</v>
      </c>
      <c r="J220" s="115" t="s">
        <v>20</v>
      </c>
      <c r="K220" s="115" t="s">
        <v>176</v>
      </c>
      <c r="L220" s="28" t="s">
        <v>20</v>
      </c>
      <c r="M220" s="28" t="s">
        <v>20</v>
      </c>
      <c r="N220" s="28" t="s">
        <v>20</v>
      </c>
      <c r="O220" s="28" t="s">
        <v>20</v>
      </c>
      <c r="P220" s="28" t="s">
        <v>20</v>
      </c>
      <c r="Q220" s="28" t="s">
        <v>20</v>
      </c>
    </row>
    <row r="221" spans="2:17" ht="58.5" x14ac:dyDescent="0.35">
      <c r="B221" s="27">
        <v>7</v>
      </c>
      <c r="C221" s="27" t="s">
        <v>93</v>
      </c>
      <c r="D221" s="27" t="s">
        <v>94</v>
      </c>
      <c r="E221" s="108">
        <v>45448</v>
      </c>
      <c r="F221" s="109">
        <v>0.79722222222222228</v>
      </c>
      <c r="G221" s="28" t="s">
        <v>2676</v>
      </c>
      <c r="H221" s="28" t="s">
        <v>2677</v>
      </c>
      <c r="I221" s="28" t="s">
        <v>2678</v>
      </c>
      <c r="J221" s="115" t="s">
        <v>20</v>
      </c>
      <c r="K221" s="115" t="s">
        <v>177</v>
      </c>
      <c r="L221" s="28" t="s">
        <v>20</v>
      </c>
      <c r="M221" s="28" t="s">
        <v>20</v>
      </c>
      <c r="N221" s="28" t="s">
        <v>20</v>
      </c>
      <c r="O221" s="28" t="s">
        <v>20</v>
      </c>
      <c r="P221" s="28" t="s">
        <v>20</v>
      </c>
      <c r="Q221" s="28" t="s">
        <v>20</v>
      </c>
    </row>
    <row r="222" spans="2:17" ht="58.5" x14ac:dyDescent="0.35">
      <c r="B222" s="27">
        <v>8</v>
      </c>
      <c r="C222" s="27" t="s">
        <v>93</v>
      </c>
      <c r="D222" s="27" t="s">
        <v>94</v>
      </c>
      <c r="E222" s="108">
        <v>45448</v>
      </c>
      <c r="F222" s="109">
        <v>0.87986111111111109</v>
      </c>
      <c r="G222" s="28" t="s">
        <v>2679</v>
      </c>
      <c r="H222" s="28" t="s">
        <v>2680</v>
      </c>
      <c r="I222" s="28" t="s">
        <v>2681</v>
      </c>
      <c r="J222" s="115" t="s">
        <v>20</v>
      </c>
      <c r="K222" s="115" t="s">
        <v>178</v>
      </c>
      <c r="L222" s="28" t="s">
        <v>20</v>
      </c>
      <c r="M222" s="28" t="s">
        <v>20</v>
      </c>
      <c r="N222" s="28" t="s">
        <v>20</v>
      </c>
      <c r="O222" s="28" t="s">
        <v>20</v>
      </c>
      <c r="P222" s="28" t="s">
        <v>20</v>
      </c>
      <c r="Q222" s="28" t="s">
        <v>20</v>
      </c>
    </row>
    <row r="223" spans="2:17" ht="58.5" x14ac:dyDescent="0.35">
      <c r="B223" s="27">
        <v>9</v>
      </c>
      <c r="C223" s="27" t="s">
        <v>93</v>
      </c>
      <c r="D223" s="27" t="s">
        <v>94</v>
      </c>
      <c r="E223" s="108">
        <v>45451</v>
      </c>
      <c r="F223" s="109">
        <v>0.49861111111111112</v>
      </c>
      <c r="G223" s="28" t="s">
        <v>2682</v>
      </c>
      <c r="H223" s="28" t="s">
        <v>2683</v>
      </c>
      <c r="I223" s="28" t="s">
        <v>2684</v>
      </c>
      <c r="J223" s="115" t="s">
        <v>20</v>
      </c>
      <c r="K223" s="115" t="s">
        <v>20</v>
      </c>
      <c r="L223" s="28" t="s">
        <v>20</v>
      </c>
      <c r="M223" s="28" t="s">
        <v>20</v>
      </c>
      <c r="N223" s="28" t="s">
        <v>20</v>
      </c>
      <c r="O223" s="28" t="s">
        <v>20</v>
      </c>
      <c r="P223" s="28" t="s">
        <v>20</v>
      </c>
      <c r="Q223" s="28" t="s">
        <v>20</v>
      </c>
    </row>
    <row r="224" spans="2:17" ht="58.5" x14ac:dyDescent="0.35">
      <c r="B224" s="27">
        <v>10</v>
      </c>
      <c r="C224" s="27" t="s">
        <v>93</v>
      </c>
      <c r="D224" s="27" t="s">
        <v>94</v>
      </c>
      <c r="E224" s="108">
        <v>45451</v>
      </c>
      <c r="F224" s="109">
        <v>0.81874999999999998</v>
      </c>
      <c r="G224" s="28" t="s">
        <v>2685</v>
      </c>
      <c r="H224" s="28" t="s">
        <v>2677</v>
      </c>
      <c r="I224" s="28" t="s">
        <v>2686</v>
      </c>
      <c r="J224" s="115" t="s">
        <v>20</v>
      </c>
      <c r="K224" s="115" t="s">
        <v>20</v>
      </c>
      <c r="L224" s="28" t="s">
        <v>20</v>
      </c>
      <c r="M224" s="28" t="s">
        <v>20</v>
      </c>
      <c r="N224" s="28" t="s">
        <v>20</v>
      </c>
      <c r="O224" s="28" t="s">
        <v>20</v>
      </c>
      <c r="P224" s="28" t="s">
        <v>20</v>
      </c>
      <c r="Q224" s="28" t="s">
        <v>20</v>
      </c>
    </row>
    <row r="225" spans="2:17" ht="58.5" x14ac:dyDescent="0.35">
      <c r="B225" s="27">
        <v>11</v>
      </c>
      <c r="C225" s="27" t="s">
        <v>93</v>
      </c>
      <c r="D225" s="27" t="s">
        <v>94</v>
      </c>
      <c r="E225" s="108">
        <v>45452</v>
      </c>
      <c r="F225" s="109">
        <v>6.1805555555555558E-2</v>
      </c>
      <c r="G225" s="28" t="s">
        <v>2687</v>
      </c>
      <c r="H225" s="28" t="s">
        <v>2677</v>
      </c>
      <c r="I225" s="28" t="s">
        <v>2688</v>
      </c>
      <c r="J225" s="115" t="s">
        <v>155</v>
      </c>
      <c r="K225" s="115" t="s">
        <v>179</v>
      </c>
      <c r="L225" s="28" t="s">
        <v>20</v>
      </c>
      <c r="M225" s="28" t="s">
        <v>20</v>
      </c>
      <c r="N225" s="28" t="s">
        <v>20</v>
      </c>
      <c r="O225" s="28" t="s">
        <v>20</v>
      </c>
      <c r="P225" s="28" t="s">
        <v>20</v>
      </c>
      <c r="Q225" s="28" t="s">
        <v>20</v>
      </c>
    </row>
    <row r="226" spans="2:17" ht="58.5" x14ac:dyDescent="0.35">
      <c r="B226" s="27">
        <v>12</v>
      </c>
      <c r="C226" s="27" t="s">
        <v>93</v>
      </c>
      <c r="D226" s="27" t="s">
        <v>94</v>
      </c>
      <c r="E226" s="108">
        <v>45452</v>
      </c>
      <c r="F226" s="109">
        <v>0.56180555555555556</v>
      </c>
      <c r="G226" s="28" t="s">
        <v>2689</v>
      </c>
      <c r="H226" s="28" t="s">
        <v>2690</v>
      </c>
      <c r="I226" s="28" t="s">
        <v>2691</v>
      </c>
      <c r="J226" s="115" t="s">
        <v>20</v>
      </c>
      <c r="K226" s="115" t="s">
        <v>20</v>
      </c>
      <c r="L226" s="28" t="s">
        <v>20</v>
      </c>
      <c r="M226" s="28" t="s">
        <v>20</v>
      </c>
      <c r="N226" s="28" t="s">
        <v>20</v>
      </c>
      <c r="O226" s="28" t="s">
        <v>20</v>
      </c>
      <c r="P226" s="28" t="s">
        <v>20</v>
      </c>
      <c r="Q226" s="28" t="s">
        <v>20</v>
      </c>
    </row>
    <row r="227" spans="2:17" ht="39" x14ac:dyDescent="0.35">
      <c r="B227" s="27">
        <v>13</v>
      </c>
      <c r="C227" s="27" t="s">
        <v>93</v>
      </c>
      <c r="D227" s="27" t="s">
        <v>94</v>
      </c>
      <c r="E227" s="108">
        <v>45452</v>
      </c>
      <c r="F227" s="109">
        <v>0.59166666666666667</v>
      </c>
      <c r="G227" s="28" t="s">
        <v>2692</v>
      </c>
      <c r="H227" s="28" t="s">
        <v>2665</v>
      </c>
      <c r="I227" s="28" t="s">
        <v>2669</v>
      </c>
      <c r="J227" s="115" t="s">
        <v>20</v>
      </c>
      <c r="K227" s="115">
        <v>500000</v>
      </c>
      <c r="L227" s="28" t="s">
        <v>20</v>
      </c>
      <c r="M227" s="28" t="s">
        <v>20</v>
      </c>
      <c r="N227" s="28" t="s">
        <v>20</v>
      </c>
      <c r="O227" s="28" t="s">
        <v>20</v>
      </c>
      <c r="P227" s="28" t="s">
        <v>20</v>
      </c>
      <c r="Q227" s="28" t="s">
        <v>20</v>
      </c>
    </row>
    <row r="228" spans="2:17" ht="58.5" x14ac:dyDescent="0.35">
      <c r="B228" s="27">
        <v>14</v>
      </c>
      <c r="C228" s="27" t="s">
        <v>93</v>
      </c>
      <c r="D228" s="27" t="s">
        <v>94</v>
      </c>
      <c r="E228" s="108">
        <v>45452</v>
      </c>
      <c r="F228" s="109">
        <v>0.65625</v>
      </c>
      <c r="G228" s="28" t="s">
        <v>2693</v>
      </c>
      <c r="H228" s="28" t="s">
        <v>2694</v>
      </c>
      <c r="I228" s="28" t="s">
        <v>2695</v>
      </c>
      <c r="J228" s="115">
        <v>350000</v>
      </c>
      <c r="K228" s="115">
        <v>650000</v>
      </c>
      <c r="L228" s="28">
        <v>1</v>
      </c>
      <c r="M228" s="28">
        <v>1</v>
      </c>
      <c r="N228" s="28" t="s">
        <v>20</v>
      </c>
      <c r="O228" s="28" t="s">
        <v>20</v>
      </c>
      <c r="P228" s="28" t="s">
        <v>20</v>
      </c>
      <c r="Q228" s="28" t="s">
        <v>20</v>
      </c>
    </row>
    <row r="229" spans="2:17" ht="58.5" x14ac:dyDescent="0.35">
      <c r="B229" s="27">
        <v>15</v>
      </c>
      <c r="C229" s="27" t="s">
        <v>93</v>
      </c>
      <c r="D229" s="27" t="s">
        <v>94</v>
      </c>
      <c r="E229" s="108">
        <v>45452</v>
      </c>
      <c r="F229" s="109">
        <v>0.70694444444444449</v>
      </c>
      <c r="G229" s="28" t="s">
        <v>2696</v>
      </c>
      <c r="H229" s="28" t="s">
        <v>2697</v>
      </c>
      <c r="I229" s="28" t="s">
        <v>2698</v>
      </c>
      <c r="J229" s="115" t="s">
        <v>20</v>
      </c>
      <c r="K229" s="115">
        <v>100000</v>
      </c>
      <c r="L229" s="28" t="s">
        <v>20</v>
      </c>
      <c r="M229" s="28" t="s">
        <v>20</v>
      </c>
      <c r="N229" s="28" t="s">
        <v>20</v>
      </c>
      <c r="O229" s="28" t="s">
        <v>20</v>
      </c>
      <c r="P229" s="28" t="s">
        <v>20</v>
      </c>
      <c r="Q229" s="28" t="s">
        <v>20</v>
      </c>
    </row>
    <row r="230" spans="2:17" ht="58.5" x14ac:dyDescent="0.35">
      <c r="B230" s="27">
        <v>16</v>
      </c>
      <c r="C230" s="27" t="s">
        <v>93</v>
      </c>
      <c r="D230" s="27" t="s">
        <v>94</v>
      </c>
      <c r="E230" s="108">
        <v>45453</v>
      </c>
      <c r="F230" s="109">
        <v>0.81388888888888888</v>
      </c>
      <c r="G230" s="28" t="s">
        <v>2699</v>
      </c>
      <c r="H230" s="28" t="s">
        <v>2700</v>
      </c>
      <c r="I230" s="28" t="s">
        <v>2701</v>
      </c>
      <c r="J230" s="115" t="s">
        <v>20</v>
      </c>
      <c r="K230" s="115">
        <v>50000</v>
      </c>
      <c r="L230" s="28" t="s">
        <v>20</v>
      </c>
      <c r="M230" s="28" t="s">
        <v>20</v>
      </c>
      <c r="N230" s="28" t="s">
        <v>20</v>
      </c>
      <c r="O230" s="28" t="s">
        <v>20</v>
      </c>
      <c r="P230" s="28" t="s">
        <v>20</v>
      </c>
      <c r="Q230" s="28" t="s">
        <v>20</v>
      </c>
    </row>
    <row r="231" spans="2:17" ht="97.5" x14ac:dyDescent="0.35">
      <c r="B231" s="27">
        <v>17</v>
      </c>
      <c r="C231" s="27" t="s">
        <v>93</v>
      </c>
      <c r="D231" s="27" t="s">
        <v>94</v>
      </c>
      <c r="E231" s="108">
        <v>45454</v>
      </c>
      <c r="F231" s="109">
        <v>8.611111111111111E-2</v>
      </c>
      <c r="G231" s="28" t="s">
        <v>2702</v>
      </c>
      <c r="H231" s="28" t="s">
        <v>2703</v>
      </c>
      <c r="I231" s="28" t="s">
        <v>2704</v>
      </c>
      <c r="J231" s="115">
        <v>180000</v>
      </c>
      <c r="K231" s="115">
        <v>20000</v>
      </c>
      <c r="L231" s="28" t="s">
        <v>20</v>
      </c>
      <c r="M231" s="28" t="s">
        <v>20</v>
      </c>
      <c r="N231" s="28" t="s">
        <v>20</v>
      </c>
      <c r="O231" s="28" t="s">
        <v>20</v>
      </c>
      <c r="P231" s="28" t="s">
        <v>20</v>
      </c>
      <c r="Q231" s="28">
        <v>1</v>
      </c>
    </row>
    <row r="232" spans="2:17" ht="58.5" x14ac:dyDescent="0.35">
      <c r="B232" s="27">
        <v>18</v>
      </c>
      <c r="C232" s="27" t="s">
        <v>93</v>
      </c>
      <c r="D232" s="27" t="s">
        <v>94</v>
      </c>
      <c r="E232" s="108">
        <v>45454</v>
      </c>
      <c r="F232" s="109">
        <v>0.4375</v>
      </c>
      <c r="G232" s="28" t="s">
        <v>2705</v>
      </c>
      <c r="H232" s="28" t="s">
        <v>2706</v>
      </c>
      <c r="I232" s="28" t="s">
        <v>2707</v>
      </c>
      <c r="J232" s="115">
        <v>50000</v>
      </c>
      <c r="K232" s="115">
        <v>450000</v>
      </c>
      <c r="L232" s="28" t="s">
        <v>20</v>
      </c>
      <c r="M232" s="28" t="s">
        <v>20</v>
      </c>
      <c r="N232" s="28" t="s">
        <v>20</v>
      </c>
      <c r="O232" s="28" t="s">
        <v>20</v>
      </c>
      <c r="P232" s="28" t="s">
        <v>20</v>
      </c>
      <c r="Q232" s="28" t="s">
        <v>20</v>
      </c>
    </row>
    <row r="233" spans="2:17" ht="58.5" x14ac:dyDescent="0.35">
      <c r="B233" s="27">
        <v>19</v>
      </c>
      <c r="C233" s="27" t="s">
        <v>93</v>
      </c>
      <c r="D233" s="27" t="s">
        <v>94</v>
      </c>
      <c r="E233" s="108">
        <v>45454</v>
      </c>
      <c r="F233" s="109">
        <v>0.72638888888888886</v>
      </c>
      <c r="G233" s="28" t="s">
        <v>2708</v>
      </c>
      <c r="H233" s="28" t="s">
        <v>2709</v>
      </c>
      <c r="I233" s="28" t="s">
        <v>2710</v>
      </c>
      <c r="J233" s="115" t="s">
        <v>20</v>
      </c>
      <c r="K233" s="115">
        <v>100000</v>
      </c>
      <c r="L233" s="28" t="s">
        <v>20</v>
      </c>
      <c r="M233" s="28" t="s">
        <v>20</v>
      </c>
      <c r="N233" s="28" t="s">
        <v>20</v>
      </c>
      <c r="O233" s="28" t="s">
        <v>20</v>
      </c>
      <c r="P233" s="28" t="s">
        <v>20</v>
      </c>
      <c r="Q233" s="28" t="s">
        <v>20</v>
      </c>
    </row>
    <row r="234" spans="2:17" ht="58.5" x14ac:dyDescent="0.35">
      <c r="B234" s="27">
        <v>20</v>
      </c>
      <c r="C234" s="27" t="s">
        <v>93</v>
      </c>
      <c r="D234" s="27" t="s">
        <v>94</v>
      </c>
      <c r="E234" s="108">
        <v>45454</v>
      </c>
      <c r="F234" s="109">
        <v>0.82708333333333328</v>
      </c>
      <c r="G234" s="28" t="s">
        <v>2711</v>
      </c>
      <c r="H234" s="28" t="s">
        <v>2712</v>
      </c>
      <c r="I234" s="28" t="s">
        <v>2710</v>
      </c>
      <c r="J234" s="115" t="s">
        <v>20</v>
      </c>
      <c r="K234" s="115" t="s">
        <v>20</v>
      </c>
      <c r="L234" s="28" t="s">
        <v>20</v>
      </c>
      <c r="M234" s="28" t="s">
        <v>20</v>
      </c>
      <c r="N234" s="28" t="s">
        <v>20</v>
      </c>
      <c r="O234" s="28" t="s">
        <v>20</v>
      </c>
      <c r="P234" s="28" t="s">
        <v>20</v>
      </c>
      <c r="Q234" s="28" t="s">
        <v>20</v>
      </c>
    </row>
    <row r="235" spans="2:17" ht="39" x14ac:dyDescent="0.35">
      <c r="B235" s="27">
        <v>21</v>
      </c>
      <c r="C235" s="27" t="s">
        <v>93</v>
      </c>
      <c r="D235" s="27" t="s">
        <v>94</v>
      </c>
      <c r="E235" s="108">
        <v>45454</v>
      </c>
      <c r="F235" s="109">
        <v>0.60972222222222228</v>
      </c>
      <c r="G235" s="28" t="s">
        <v>2713</v>
      </c>
      <c r="H235" s="106" t="s">
        <v>2714</v>
      </c>
      <c r="I235" s="106"/>
      <c r="J235" s="120"/>
      <c r="K235" s="120"/>
      <c r="L235" s="28" t="s">
        <v>20</v>
      </c>
      <c r="M235" s="28">
        <v>84</v>
      </c>
      <c r="N235" s="28" t="s">
        <v>20</v>
      </c>
      <c r="O235" s="28" t="s">
        <v>20</v>
      </c>
      <c r="P235" s="28" t="s">
        <v>20</v>
      </c>
      <c r="Q235" s="28">
        <v>200</v>
      </c>
    </row>
    <row r="236" spans="2:17" ht="39" x14ac:dyDescent="0.35">
      <c r="B236" s="27">
        <v>22</v>
      </c>
      <c r="C236" s="27" t="s">
        <v>93</v>
      </c>
      <c r="D236" s="27" t="s">
        <v>94</v>
      </c>
      <c r="E236" s="108">
        <v>45454</v>
      </c>
      <c r="F236" s="109">
        <v>0.96180555555555558</v>
      </c>
      <c r="G236" s="28" t="s">
        <v>2715</v>
      </c>
      <c r="H236" s="28" t="s">
        <v>2610</v>
      </c>
      <c r="I236" s="28" t="s">
        <v>2716</v>
      </c>
      <c r="J236" s="115" t="s">
        <v>20</v>
      </c>
      <c r="K236" s="115">
        <v>1000000</v>
      </c>
      <c r="L236" s="28" t="s">
        <v>20</v>
      </c>
      <c r="M236" s="28" t="s">
        <v>20</v>
      </c>
      <c r="N236" s="28" t="s">
        <v>20</v>
      </c>
      <c r="O236" s="28" t="s">
        <v>20</v>
      </c>
      <c r="P236" s="28" t="s">
        <v>20</v>
      </c>
      <c r="Q236" s="28" t="s">
        <v>20</v>
      </c>
    </row>
    <row r="237" spans="2:17" ht="58.5" x14ac:dyDescent="0.35">
      <c r="B237" s="27">
        <v>23</v>
      </c>
      <c r="C237" s="27" t="s">
        <v>93</v>
      </c>
      <c r="D237" s="27" t="s">
        <v>94</v>
      </c>
      <c r="E237" s="108">
        <v>45455</v>
      </c>
      <c r="F237" s="109">
        <v>0.33263888888888887</v>
      </c>
      <c r="G237" s="28" t="s">
        <v>2713</v>
      </c>
      <c r="H237" s="28" t="s">
        <v>2717</v>
      </c>
      <c r="I237" s="28" t="s">
        <v>2718</v>
      </c>
      <c r="J237" s="115" t="s">
        <v>20</v>
      </c>
      <c r="K237" s="115" t="s">
        <v>20</v>
      </c>
      <c r="L237" s="28" t="s">
        <v>20</v>
      </c>
      <c r="M237" s="28" t="s">
        <v>20</v>
      </c>
      <c r="N237" s="28" t="s">
        <v>20</v>
      </c>
      <c r="O237" s="28" t="s">
        <v>20</v>
      </c>
      <c r="P237" s="28" t="s">
        <v>20</v>
      </c>
      <c r="Q237" s="28" t="s">
        <v>20</v>
      </c>
    </row>
    <row r="238" spans="2:17" ht="58.5" x14ac:dyDescent="0.35">
      <c r="B238" s="27">
        <v>24</v>
      </c>
      <c r="C238" s="27" t="s">
        <v>93</v>
      </c>
      <c r="D238" s="27" t="s">
        <v>94</v>
      </c>
      <c r="E238" s="108">
        <v>45455</v>
      </c>
      <c r="F238" s="109">
        <v>0.47916666666666669</v>
      </c>
      <c r="G238" s="28" t="s">
        <v>2719</v>
      </c>
      <c r="H238" s="28" t="s">
        <v>2720</v>
      </c>
      <c r="I238" s="28" t="s">
        <v>2721</v>
      </c>
      <c r="J238" s="115">
        <v>50000</v>
      </c>
      <c r="K238" s="115">
        <v>50000</v>
      </c>
      <c r="L238" s="28" t="s">
        <v>20</v>
      </c>
      <c r="M238" s="28" t="s">
        <v>20</v>
      </c>
      <c r="N238" s="28" t="s">
        <v>20</v>
      </c>
      <c r="O238" s="28" t="s">
        <v>20</v>
      </c>
      <c r="P238" s="28" t="s">
        <v>20</v>
      </c>
      <c r="Q238" s="28" t="s">
        <v>20</v>
      </c>
    </row>
    <row r="239" spans="2:17" ht="58.5" x14ac:dyDescent="0.35">
      <c r="B239" s="27">
        <v>25</v>
      </c>
      <c r="C239" s="27" t="s">
        <v>93</v>
      </c>
      <c r="D239" s="27" t="s">
        <v>94</v>
      </c>
      <c r="E239" s="108">
        <v>45455</v>
      </c>
      <c r="F239" s="109">
        <v>0.58402777777777781</v>
      </c>
      <c r="G239" s="28" t="s">
        <v>2722</v>
      </c>
      <c r="H239" s="28" t="s">
        <v>2723</v>
      </c>
      <c r="I239" s="28" t="s">
        <v>2710</v>
      </c>
      <c r="J239" s="115">
        <v>10000</v>
      </c>
      <c r="K239" s="115">
        <v>40000</v>
      </c>
      <c r="L239" s="28" t="s">
        <v>20</v>
      </c>
      <c r="M239" s="28" t="s">
        <v>20</v>
      </c>
      <c r="N239" s="28" t="s">
        <v>20</v>
      </c>
      <c r="O239" s="28" t="s">
        <v>20</v>
      </c>
      <c r="P239" s="28" t="s">
        <v>20</v>
      </c>
      <c r="Q239" s="28" t="s">
        <v>20</v>
      </c>
    </row>
    <row r="240" spans="2:17" ht="39" x14ac:dyDescent="0.35">
      <c r="B240" s="27">
        <v>26</v>
      </c>
      <c r="C240" s="27" t="s">
        <v>93</v>
      </c>
      <c r="D240" s="27" t="s">
        <v>94</v>
      </c>
      <c r="E240" s="108">
        <v>45456</v>
      </c>
      <c r="F240" s="109">
        <v>0.61319444444444449</v>
      </c>
      <c r="G240" s="28" t="s">
        <v>2724</v>
      </c>
      <c r="H240" s="28" t="s">
        <v>2725</v>
      </c>
      <c r="I240" s="28" t="s">
        <v>2716</v>
      </c>
      <c r="J240" s="115" t="s">
        <v>20</v>
      </c>
      <c r="K240" s="115">
        <v>2000000</v>
      </c>
      <c r="L240" s="28" t="s">
        <v>20</v>
      </c>
      <c r="M240" s="28" t="s">
        <v>20</v>
      </c>
      <c r="N240" s="28" t="s">
        <v>20</v>
      </c>
      <c r="O240" s="28" t="s">
        <v>20</v>
      </c>
      <c r="P240" s="28" t="s">
        <v>20</v>
      </c>
      <c r="Q240" s="28" t="s">
        <v>20</v>
      </c>
    </row>
    <row r="241" spans="2:17" ht="39" x14ac:dyDescent="0.35">
      <c r="B241" s="27">
        <v>27</v>
      </c>
      <c r="C241" s="27" t="s">
        <v>93</v>
      </c>
      <c r="D241" s="27" t="s">
        <v>94</v>
      </c>
      <c r="E241" s="108">
        <v>45456</v>
      </c>
      <c r="F241" s="109">
        <v>0.80208333333333337</v>
      </c>
      <c r="G241" s="28" t="s">
        <v>2726</v>
      </c>
      <c r="H241" s="28" t="s">
        <v>2727</v>
      </c>
      <c r="I241" s="28" t="s">
        <v>2728</v>
      </c>
      <c r="J241" s="115">
        <v>20000</v>
      </c>
      <c r="K241" s="115">
        <v>480000</v>
      </c>
      <c r="L241" s="28" t="s">
        <v>20</v>
      </c>
      <c r="M241" s="28" t="s">
        <v>20</v>
      </c>
      <c r="N241" s="28" t="s">
        <v>20</v>
      </c>
      <c r="O241" s="28" t="s">
        <v>20</v>
      </c>
      <c r="P241" s="28" t="s">
        <v>20</v>
      </c>
      <c r="Q241" s="28" t="s">
        <v>20</v>
      </c>
    </row>
    <row r="242" spans="2:17" ht="58.5" x14ac:dyDescent="0.35">
      <c r="B242" s="27">
        <v>28</v>
      </c>
      <c r="C242" s="27" t="s">
        <v>93</v>
      </c>
      <c r="D242" s="27" t="s">
        <v>94</v>
      </c>
      <c r="E242" s="108">
        <v>45458</v>
      </c>
      <c r="F242" s="109">
        <v>0.1673611111111111</v>
      </c>
      <c r="G242" s="28" t="s">
        <v>2729</v>
      </c>
      <c r="H242" s="28" t="s">
        <v>2599</v>
      </c>
      <c r="I242" s="28" t="s">
        <v>2730</v>
      </c>
      <c r="J242" s="115">
        <v>1500</v>
      </c>
      <c r="K242" s="115">
        <v>1498500</v>
      </c>
      <c r="L242" s="28" t="s">
        <v>20</v>
      </c>
      <c r="M242" s="28" t="s">
        <v>20</v>
      </c>
      <c r="N242" s="28" t="s">
        <v>20</v>
      </c>
      <c r="O242" s="28" t="s">
        <v>20</v>
      </c>
      <c r="P242" s="28" t="s">
        <v>20</v>
      </c>
      <c r="Q242" s="28" t="s">
        <v>20</v>
      </c>
    </row>
    <row r="243" spans="2:17" ht="39" x14ac:dyDescent="0.35">
      <c r="B243" s="27">
        <v>29</v>
      </c>
      <c r="C243" s="27" t="s">
        <v>93</v>
      </c>
      <c r="D243" s="27" t="s">
        <v>94</v>
      </c>
      <c r="E243" s="108">
        <v>45460</v>
      </c>
      <c r="F243" s="109">
        <v>7.8472222222222221E-2</v>
      </c>
      <c r="G243" s="28" t="s">
        <v>2731</v>
      </c>
      <c r="H243" s="28" t="s">
        <v>2634</v>
      </c>
      <c r="I243" s="28" t="s">
        <v>2728</v>
      </c>
      <c r="J243" s="115">
        <v>5000</v>
      </c>
      <c r="K243" s="115">
        <v>495000</v>
      </c>
      <c r="L243" s="28" t="s">
        <v>20</v>
      </c>
      <c r="M243" s="28" t="s">
        <v>20</v>
      </c>
      <c r="N243" s="28" t="s">
        <v>20</v>
      </c>
      <c r="O243" s="28" t="s">
        <v>20</v>
      </c>
      <c r="P243" s="28" t="s">
        <v>20</v>
      </c>
      <c r="Q243" s="28" t="s">
        <v>20</v>
      </c>
    </row>
    <row r="244" spans="2:17" ht="39" x14ac:dyDescent="0.35">
      <c r="B244" s="27">
        <v>30</v>
      </c>
      <c r="C244" s="27" t="s">
        <v>93</v>
      </c>
      <c r="D244" s="27" t="s">
        <v>94</v>
      </c>
      <c r="E244" s="108">
        <v>45460</v>
      </c>
      <c r="F244" s="109">
        <v>0.20208333333333334</v>
      </c>
      <c r="G244" s="28" t="s">
        <v>2731</v>
      </c>
      <c r="H244" s="28" t="s">
        <v>2634</v>
      </c>
      <c r="I244" s="28" t="s">
        <v>2728</v>
      </c>
      <c r="J244" s="115">
        <v>10000</v>
      </c>
      <c r="K244" s="115">
        <v>990000</v>
      </c>
      <c r="L244" s="28" t="s">
        <v>20</v>
      </c>
      <c r="M244" s="28" t="s">
        <v>20</v>
      </c>
      <c r="N244" s="28" t="s">
        <v>20</v>
      </c>
      <c r="O244" s="28" t="s">
        <v>20</v>
      </c>
      <c r="P244" s="28" t="s">
        <v>20</v>
      </c>
      <c r="Q244" s="28" t="s">
        <v>20</v>
      </c>
    </row>
    <row r="245" spans="2:17" ht="58.5" x14ac:dyDescent="0.35">
      <c r="B245" s="27">
        <v>31</v>
      </c>
      <c r="C245" s="27" t="s">
        <v>93</v>
      </c>
      <c r="D245" s="27" t="s">
        <v>94</v>
      </c>
      <c r="E245" s="108">
        <v>45460</v>
      </c>
      <c r="F245" s="109">
        <v>0.95694444444444449</v>
      </c>
      <c r="G245" s="28" t="s">
        <v>2732</v>
      </c>
      <c r="H245" s="28" t="s">
        <v>2720</v>
      </c>
      <c r="I245" s="28" t="s">
        <v>2733</v>
      </c>
      <c r="J245" s="115" t="s">
        <v>20</v>
      </c>
      <c r="K245" s="115">
        <v>50000</v>
      </c>
      <c r="L245" s="28" t="s">
        <v>20</v>
      </c>
      <c r="M245" s="28" t="s">
        <v>20</v>
      </c>
      <c r="N245" s="28" t="s">
        <v>20</v>
      </c>
      <c r="O245" s="28" t="s">
        <v>20</v>
      </c>
      <c r="P245" s="28" t="s">
        <v>20</v>
      </c>
      <c r="Q245" s="28" t="s">
        <v>20</v>
      </c>
    </row>
    <row r="246" spans="2:17" ht="58.5" x14ac:dyDescent="0.35">
      <c r="B246" s="27">
        <v>32</v>
      </c>
      <c r="C246" s="27" t="s">
        <v>93</v>
      </c>
      <c r="D246" s="27" t="s">
        <v>94</v>
      </c>
      <c r="E246" s="108">
        <v>45461</v>
      </c>
      <c r="F246" s="109">
        <v>0.5625</v>
      </c>
      <c r="G246" s="28" t="s">
        <v>2734</v>
      </c>
      <c r="H246" s="28" t="s">
        <v>2735</v>
      </c>
      <c r="I246" s="28" t="s">
        <v>2736</v>
      </c>
      <c r="J246" s="115" t="s">
        <v>20</v>
      </c>
      <c r="K246" s="115">
        <v>1000000</v>
      </c>
      <c r="L246" s="28" t="s">
        <v>20</v>
      </c>
      <c r="M246" s="28" t="s">
        <v>20</v>
      </c>
      <c r="N246" s="28" t="s">
        <v>20</v>
      </c>
      <c r="O246" s="28" t="s">
        <v>20</v>
      </c>
      <c r="P246" s="28" t="s">
        <v>20</v>
      </c>
      <c r="Q246" s="28" t="s">
        <v>20</v>
      </c>
    </row>
    <row r="247" spans="2:17" ht="58.5" x14ac:dyDescent="0.35">
      <c r="B247" s="27">
        <v>33</v>
      </c>
      <c r="C247" s="27" t="s">
        <v>93</v>
      </c>
      <c r="D247" s="27" t="s">
        <v>94</v>
      </c>
      <c r="E247" s="108">
        <v>45461</v>
      </c>
      <c r="F247" s="109">
        <v>0.68194444444444446</v>
      </c>
      <c r="G247" s="28" t="s">
        <v>2737</v>
      </c>
      <c r="H247" s="28" t="s">
        <v>2610</v>
      </c>
      <c r="I247" s="28" t="s">
        <v>2738</v>
      </c>
      <c r="J247" s="115" t="s">
        <v>20</v>
      </c>
      <c r="K247" s="115" t="s">
        <v>20</v>
      </c>
      <c r="L247" s="28" t="s">
        <v>20</v>
      </c>
      <c r="M247" s="28" t="s">
        <v>20</v>
      </c>
      <c r="N247" s="28" t="s">
        <v>20</v>
      </c>
      <c r="O247" s="28" t="s">
        <v>20</v>
      </c>
      <c r="P247" s="28" t="s">
        <v>20</v>
      </c>
      <c r="Q247" s="28" t="s">
        <v>20</v>
      </c>
    </row>
    <row r="248" spans="2:17" ht="58.5" x14ac:dyDescent="0.35">
      <c r="B248" s="27">
        <v>34</v>
      </c>
      <c r="C248" s="27" t="s">
        <v>93</v>
      </c>
      <c r="D248" s="27" t="s">
        <v>94</v>
      </c>
      <c r="E248" s="108">
        <v>45462</v>
      </c>
      <c r="F248" s="109">
        <v>0.50624999999999998</v>
      </c>
      <c r="G248" s="28" t="s">
        <v>2739</v>
      </c>
      <c r="H248" s="28" t="s">
        <v>2740</v>
      </c>
      <c r="I248" s="28" t="s">
        <v>2736</v>
      </c>
      <c r="J248" s="115">
        <v>1000</v>
      </c>
      <c r="K248" s="115">
        <v>499000</v>
      </c>
      <c r="L248" s="28" t="s">
        <v>20</v>
      </c>
      <c r="M248" s="28" t="s">
        <v>20</v>
      </c>
      <c r="N248" s="28" t="s">
        <v>20</v>
      </c>
      <c r="O248" s="28" t="s">
        <v>20</v>
      </c>
      <c r="P248" s="28" t="s">
        <v>20</v>
      </c>
      <c r="Q248" s="28" t="s">
        <v>20</v>
      </c>
    </row>
    <row r="249" spans="2:17" ht="39" x14ac:dyDescent="0.35">
      <c r="B249" s="27">
        <v>35</v>
      </c>
      <c r="C249" s="27" t="s">
        <v>93</v>
      </c>
      <c r="D249" s="27" t="s">
        <v>94</v>
      </c>
      <c r="E249" s="108">
        <v>45462</v>
      </c>
      <c r="F249" s="109">
        <v>0.9555555555555556</v>
      </c>
      <c r="G249" s="28" t="s">
        <v>2741</v>
      </c>
      <c r="H249" s="28" t="s">
        <v>2742</v>
      </c>
      <c r="I249" s="26" t="s">
        <v>2743</v>
      </c>
      <c r="J249" s="115">
        <v>1000</v>
      </c>
      <c r="K249" s="115">
        <v>19000</v>
      </c>
      <c r="L249" s="28" t="s">
        <v>20</v>
      </c>
      <c r="M249" s="28" t="s">
        <v>20</v>
      </c>
      <c r="N249" s="28" t="s">
        <v>20</v>
      </c>
      <c r="O249" s="28" t="s">
        <v>20</v>
      </c>
      <c r="P249" s="28" t="s">
        <v>20</v>
      </c>
      <c r="Q249" s="28" t="s">
        <v>20</v>
      </c>
    </row>
    <row r="250" spans="2:17" ht="39" x14ac:dyDescent="0.35">
      <c r="B250" s="27">
        <v>36</v>
      </c>
      <c r="C250" s="27" t="s">
        <v>93</v>
      </c>
      <c r="D250" s="27" t="s">
        <v>94</v>
      </c>
      <c r="E250" s="108">
        <v>45463</v>
      </c>
      <c r="F250" s="109">
        <v>0.9916666666666667</v>
      </c>
      <c r="G250" s="28" t="s">
        <v>2744</v>
      </c>
      <c r="H250" s="28" t="s">
        <v>2740</v>
      </c>
      <c r="I250" s="28" t="s">
        <v>2716</v>
      </c>
      <c r="J250" s="115" t="s">
        <v>20</v>
      </c>
      <c r="K250" s="115" t="s">
        <v>20</v>
      </c>
      <c r="L250" s="28" t="s">
        <v>20</v>
      </c>
      <c r="M250" s="28" t="s">
        <v>20</v>
      </c>
      <c r="N250" s="28" t="s">
        <v>20</v>
      </c>
      <c r="O250" s="28" t="s">
        <v>20</v>
      </c>
      <c r="P250" s="28" t="s">
        <v>20</v>
      </c>
      <c r="Q250" s="28" t="s">
        <v>20</v>
      </c>
    </row>
    <row r="251" spans="2:17" ht="78" x14ac:dyDescent="0.35">
      <c r="B251" s="27">
        <v>37</v>
      </c>
      <c r="C251" s="27" t="s">
        <v>93</v>
      </c>
      <c r="D251" s="27" t="s">
        <v>94</v>
      </c>
      <c r="E251" s="108">
        <v>45467</v>
      </c>
      <c r="F251" s="109">
        <v>0.47291666666666665</v>
      </c>
      <c r="G251" s="28" t="s">
        <v>2745</v>
      </c>
      <c r="H251" s="28" t="s">
        <v>2599</v>
      </c>
      <c r="I251" s="28" t="s">
        <v>2746</v>
      </c>
      <c r="J251" s="115">
        <v>250000</v>
      </c>
      <c r="K251" s="115">
        <v>1750000</v>
      </c>
      <c r="L251" s="28" t="s">
        <v>20</v>
      </c>
      <c r="M251" s="28" t="s">
        <v>20</v>
      </c>
      <c r="N251" s="28" t="s">
        <v>20</v>
      </c>
      <c r="O251" s="28" t="s">
        <v>20</v>
      </c>
      <c r="P251" s="28" t="s">
        <v>20</v>
      </c>
      <c r="Q251" s="28" t="s">
        <v>20</v>
      </c>
    </row>
    <row r="252" spans="2:17" ht="39" x14ac:dyDescent="0.35">
      <c r="B252" s="27">
        <v>38</v>
      </c>
      <c r="C252" s="27" t="s">
        <v>93</v>
      </c>
      <c r="D252" s="27" t="s">
        <v>584</v>
      </c>
      <c r="E252" s="110">
        <v>45444</v>
      </c>
      <c r="F252" s="28">
        <v>6.6446759259259261E-2</v>
      </c>
      <c r="G252" s="26" t="s">
        <v>2747</v>
      </c>
      <c r="H252" s="28" t="s">
        <v>2748</v>
      </c>
      <c r="I252" s="26" t="s">
        <v>2749</v>
      </c>
      <c r="J252" s="115">
        <v>1000</v>
      </c>
      <c r="K252" s="115">
        <v>299000</v>
      </c>
      <c r="L252" s="28" t="s">
        <v>75</v>
      </c>
      <c r="M252" s="28" t="s">
        <v>75</v>
      </c>
      <c r="N252" s="28" t="s">
        <v>75</v>
      </c>
      <c r="O252" s="28" t="s">
        <v>75</v>
      </c>
      <c r="P252" s="28" t="s">
        <v>75</v>
      </c>
      <c r="Q252" s="28" t="s">
        <v>75</v>
      </c>
    </row>
    <row r="253" spans="2:17" ht="39" x14ac:dyDescent="0.35">
      <c r="B253" s="27">
        <v>39</v>
      </c>
      <c r="C253" s="27" t="s">
        <v>93</v>
      </c>
      <c r="D253" s="27" t="s">
        <v>584</v>
      </c>
      <c r="E253" s="110">
        <v>45444</v>
      </c>
      <c r="F253" s="28">
        <v>7.1840277777777781E-2</v>
      </c>
      <c r="G253" s="26" t="s">
        <v>2750</v>
      </c>
      <c r="H253" s="28" t="s">
        <v>2751</v>
      </c>
      <c r="I253" s="28" t="s">
        <v>20</v>
      </c>
      <c r="J253" s="115" t="s">
        <v>20</v>
      </c>
      <c r="K253" s="115" t="s">
        <v>20</v>
      </c>
      <c r="L253" s="28" t="s">
        <v>75</v>
      </c>
      <c r="M253" s="28" t="s">
        <v>75</v>
      </c>
      <c r="N253" s="28" t="s">
        <v>75</v>
      </c>
      <c r="O253" s="28" t="s">
        <v>75</v>
      </c>
      <c r="P253" s="28">
        <v>5</v>
      </c>
      <c r="Q253" s="28" t="s">
        <v>75</v>
      </c>
    </row>
    <row r="254" spans="2:17" ht="39" x14ac:dyDescent="0.35">
      <c r="B254" s="27">
        <v>40</v>
      </c>
      <c r="C254" s="27" t="s">
        <v>93</v>
      </c>
      <c r="D254" s="27" t="s">
        <v>584</v>
      </c>
      <c r="E254" s="110">
        <v>45444</v>
      </c>
      <c r="F254" s="109">
        <v>0.73750000000000004</v>
      </c>
      <c r="G254" s="26" t="s">
        <v>2752</v>
      </c>
      <c r="H254" s="28" t="s">
        <v>2559</v>
      </c>
      <c r="I254" s="28" t="s">
        <v>2753</v>
      </c>
      <c r="J254" s="115" t="s">
        <v>75</v>
      </c>
      <c r="K254" s="115" t="s">
        <v>75</v>
      </c>
      <c r="L254" s="28" t="s">
        <v>75</v>
      </c>
      <c r="M254" s="28" t="s">
        <v>75</v>
      </c>
      <c r="N254" s="28" t="s">
        <v>75</v>
      </c>
      <c r="O254" s="28" t="s">
        <v>75</v>
      </c>
      <c r="P254" s="28" t="s">
        <v>75</v>
      </c>
      <c r="Q254" s="28" t="s">
        <v>75</v>
      </c>
    </row>
    <row r="255" spans="2:17" ht="39" x14ac:dyDescent="0.35">
      <c r="B255" s="27">
        <v>41</v>
      </c>
      <c r="C255" s="27" t="s">
        <v>93</v>
      </c>
      <c r="D255" s="27" t="s">
        <v>584</v>
      </c>
      <c r="E255" s="26" t="s">
        <v>187</v>
      </c>
      <c r="F255" s="28">
        <v>7.1261574074074074E-2</v>
      </c>
      <c r="G255" s="26" t="s">
        <v>2754</v>
      </c>
      <c r="H255" s="28" t="s">
        <v>2748</v>
      </c>
      <c r="I255" s="28" t="s">
        <v>2755</v>
      </c>
      <c r="J255" s="115">
        <v>2000</v>
      </c>
      <c r="K255" s="115">
        <v>4998000</v>
      </c>
      <c r="L255" s="28" t="s">
        <v>75</v>
      </c>
      <c r="M255" s="28" t="s">
        <v>75</v>
      </c>
      <c r="N255" s="28" t="s">
        <v>75</v>
      </c>
      <c r="O255" s="28" t="s">
        <v>75</v>
      </c>
      <c r="P255" s="28" t="s">
        <v>75</v>
      </c>
      <c r="Q255" s="28" t="s">
        <v>75</v>
      </c>
    </row>
    <row r="256" spans="2:17" ht="39" x14ac:dyDescent="0.35">
      <c r="B256" s="27">
        <v>42</v>
      </c>
      <c r="C256" s="27" t="s">
        <v>93</v>
      </c>
      <c r="D256" s="27" t="s">
        <v>584</v>
      </c>
      <c r="E256" s="110">
        <v>45449</v>
      </c>
      <c r="F256" s="109">
        <v>0.6479166666666667</v>
      </c>
      <c r="G256" s="26" t="s">
        <v>2756</v>
      </c>
      <c r="H256" s="28" t="s">
        <v>2559</v>
      </c>
      <c r="I256" s="28" t="s">
        <v>2757</v>
      </c>
      <c r="J256" s="115" t="s">
        <v>75</v>
      </c>
      <c r="K256" s="115">
        <v>5000</v>
      </c>
      <c r="L256" s="28" t="s">
        <v>75</v>
      </c>
      <c r="M256" s="28" t="s">
        <v>75</v>
      </c>
      <c r="N256" s="28" t="s">
        <v>75</v>
      </c>
      <c r="O256" s="28" t="s">
        <v>75</v>
      </c>
      <c r="P256" s="28" t="s">
        <v>75</v>
      </c>
      <c r="Q256" s="28" t="s">
        <v>75</v>
      </c>
    </row>
    <row r="257" spans="2:17" ht="39" x14ac:dyDescent="0.35">
      <c r="B257" s="27">
        <v>43</v>
      </c>
      <c r="C257" s="27" t="s">
        <v>93</v>
      </c>
      <c r="D257" s="27" t="s">
        <v>584</v>
      </c>
      <c r="E257" s="110">
        <v>45454</v>
      </c>
      <c r="F257" s="109">
        <v>0.58125000000000004</v>
      </c>
      <c r="G257" s="26" t="s">
        <v>2758</v>
      </c>
      <c r="H257" s="28" t="s">
        <v>2559</v>
      </c>
      <c r="I257" s="28" t="s">
        <v>2759</v>
      </c>
      <c r="J257" s="115">
        <v>500</v>
      </c>
      <c r="K257" s="115">
        <v>49500</v>
      </c>
      <c r="L257" s="28" t="s">
        <v>75</v>
      </c>
      <c r="M257" s="28" t="s">
        <v>75</v>
      </c>
      <c r="N257" s="28" t="s">
        <v>75</v>
      </c>
      <c r="O257" s="28" t="s">
        <v>75</v>
      </c>
      <c r="P257" s="28" t="s">
        <v>75</v>
      </c>
      <c r="Q257" s="28" t="s">
        <v>75</v>
      </c>
    </row>
    <row r="258" spans="2:17" ht="39" x14ac:dyDescent="0.35">
      <c r="B258" s="27">
        <v>44</v>
      </c>
      <c r="C258" s="27" t="s">
        <v>93</v>
      </c>
      <c r="D258" s="27" t="s">
        <v>584</v>
      </c>
      <c r="E258" s="110">
        <v>45454</v>
      </c>
      <c r="F258" s="109">
        <v>0.71875</v>
      </c>
      <c r="G258" s="26" t="s">
        <v>2760</v>
      </c>
      <c r="H258" s="28" t="s">
        <v>2559</v>
      </c>
      <c r="I258" s="28" t="s">
        <v>2761</v>
      </c>
      <c r="J258" s="115" t="s">
        <v>75</v>
      </c>
      <c r="K258" s="115">
        <v>10000</v>
      </c>
      <c r="L258" s="28" t="s">
        <v>75</v>
      </c>
      <c r="M258" s="28" t="s">
        <v>75</v>
      </c>
      <c r="N258" s="28" t="s">
        <v>75</v>
      </c>
      <c r="O258" s="28" t="s">
        <v>75</v>
      </c>
      <c r="P258" s="28" t="s">
        <v>75</v>
      </c>
      <c r="Q258" s="28" t="s">
        <v>75</v>
      </c>
    </row>
    <row r="259" spans="2:17" ht="21" x14ac:dyDescent="0.35">
      <c r="B259" s="27">
        <v>45</v>
      </c>
      <c r="C259" s="27" t="s">
        <v>93</v>
      </c>
      <c r="D259" s="27" t="s">
        <v>584</v>
      </c>
      <c r="E259" s="110">
        <v>45454</v>
      </c>
      <c r="F259" s="109">
        <v>0.93402777777777779</v>
      </c>
      <c r="G259" s="26" t="s">
        <v>2762</v>
      </c>
      <c r="H259" s="28" t="s">
        <v>406</v>
      </c>
      <c r="I259" s="28" t="s">
        <v>2763</v>
      </c>
      <c r="J259" s="115">
        <v>5000</v>
      </c>
      <c r="K259" s="115">
        <v>45000</v>
      </c>
      <c r="L259" s="28" t="s">
        <v>75</v>
      </c>
      <c r="M259" s="28" t="s">
        <v>75</v>
      </c>
      <c r="N259" s="28" t="s">
        <v>75</v>
      </c>
      <c r="O259" s="28" t="s">
        <v>75</v>
      </c>
      <c r="P259" s="28" t="s">
        <v>75</v>
      </c>
      <c r="Q259" s="28" t="s">
        <v>75</v>
      </c>
    </row>
    <row r="260" spans="2:17" ht="39" x14ac:dyDescent="0.35">
      <c r="B260" s="27">
        <v>46</v>
      </c>
      <c r="C260" s="27" t="s">
        <v>93</v>
      </c>
      <c r="D260" s="27" t="s">
        <v>584</v>
      </c>
      <c r="E260" s="110">
        <v>45455</v>
      </c>
      <c r="F260" s="109">
        <v>0.74652777777777779</v>
      </c>
      <c r="G260" s="26" t="s">
        <v>2764</v>
      </c>
      <c r="H260" s="28" t="s">
        <v>2559</v>
      </c>
      <c r="I260" s="28" t="s">
        <v>2765</v>
      </c>
      <c r="J260" s="115">
        <v>1000</v>
      </c>
      <c r="K260" s="115">
        <v>499000</v>
      </c>
      <c r="L260" s="28" t="s">
        <v>75</v>
      </c>
      <c r="M260" s="28" t="s">
        <v>75</v>
      </c>
      <c r="N260" s="28" t="s">
        <v>75</v>
      </c>
      <c r="O260" s="28" t="s">
        <v>75</v>
      </c>
      <c r="P260" s="28" t="s">
        <v>75</v>
      </c>
      <c r="Q260" s="28" t="s">
        <v>75</v>
      </c>
    </row>
    <row r="261" spans="2:17" ht="39" x14ac:dyDescent="0.35">
      <c r="B261" s="106">
        <v>47</v>
      </c>
      <c r="C261" s="27" t="s">
        <v>93</v>
      </c>
      <c r="D261" s="27" t="s">
        <v>584</v>
      </c>
      <c r="E261" s="110">
        <v>45457</v>
      </c>
      <c r="F261" s="28">
        <v>7.1782407407407406E-2</v>
      </c>
      <c r="G261" s="26" t="s">
        <v>2766</v>
      </c>
      <c r="H261" s="26" t="s">
        <v>406</v>
      </c>
      <c r="I261" s="28" t="s">
        <v>3630</v>
      </c>
      <c r="J261" s="115">
        <v>10000</v>
      </c>
      <c r="K261" s="115">
        <v>30000</v>
      </c>
      <c r="L261" s="28" t="s">
        <v>75</v>
      </c>
      <c r="M261" s="28" t="s">
        <v>75</v>
      </c>
      <c r="N261" s="28" t="s">
        <v>75</v>
      </c>
      <c r="O261" s="28" t="s">
        <v>75</v>
      </c>
      <c r="P261" s="28" t="s">
        <v>75</v>
      </c>
      <c r="Q261" s="28" t="s">
        <v>75</v>
      </c>
    </row>
    <row r="262" spans="2:17" ht="39" x14ac:dyDescent="0.35">
      <c r="B262" s="106">
        <v>48</v>
      </c>
      <c r="C262" s="27" t="s">
        <v>93</v>
      </c>
      <c r="D262" s="27" t="s">
        <v>584</v>
      </c>
      <c r="E262" s="110">
        <v>45457</v>
      </c>
      <c r="F262" s="28">
        <v>7.194444444444445E-2</v>
      </c>
      <c r="G262" s="26" t="s">
        <v>2767</v>
      </c>
      <c r="H262" s="28" t="s">
        <v>2768</v>
      </c>
      <c r="I262" s="26" t="s">
        <v>2769</v>
      </c>
      <c r="J262" s="115">
        <v>70000</v>
      </c>
      <c r="K262" s="115">
        <v>5000000</v>
      </c>
      <c r="L262" s="28" t="s">
        <v>75</v>
      </c>
      <c r="M262" s="28" t="s">
        <v>75</v>
      </c>
      <c r="N262" s="28" t="s">
        <v>75</v>
      </c>
      <c r="O262" s="28" t="s">
        <v>75</v>
      </c>
      <c r="P262" s="28">
        <v>2</v>
      </c>
      <c r="Q262" s="28" t="s">
        <v>75</v>
      </c>
    </row>
    <row r="263" spans="2:17" ht="39" x14ac:dyDescent="0.35">
      <c r="B263" s="27">
        <v>49</v>
      </c>
      <c r="C263" s="27" t="s">
        <v>93</v>
      </c>
      <c r="D263" s="27" t="s">
        <v>584</v>
      </c>
      <c r="E263" s="110">
        <v>45457</v>
      </c>
      <c r="F263" s="109">
        <v>0.56597222222222221</v>
      </c>
      <c r="G263" s="26" t="s">
        <v>2770</v>
      </c>
      <c r="H263" s="28" t="s">
        <v>406</v>
      </c>
      <c r="I263" s="26" t="s">
        <v>2637</v>
      </c>
      <c r="J263" s="115">
        <v>5000</v>
      </c>
      <c r="K263" s="115">
        <v>15000</v>
      </c>
      <c r="L263" s="28" t="s">
        <v>75</v>
      </c>
      <c r="M263" s="28" t="s">
        <v>75</v>
      </c>
      <c r="N263" s="28" t="s">
        <v>75</v>
      </c>
      <c r="O263" s="28" t="s">
        <v>75</v>
      </c>
      <c r="P263" s="28" t="s">
        <v>75</v>
      </c>
      <c r="Q263" s="28" t="s">
        <v>75</v>
      </c>
    </row>
    <row r="264" spans="2:17" ht="39" x14ac:dyDescent="0.35">
      <c r="B264" s="106">
        <v>50</v>
      </c>
      <c r="C264" s="27" t="s">
        <v>93</v>
      </c>
      <c r="D264" s="27" t="s">
        <v>584</v>
      </c>
      <c r="E264" s="110">
        <v>45458</v>
      </c>
      <c r="F264" s="109">
        <v>0.86944444444444446</v>
      </c>
      <c r="G264" s="26" t="s">
        <v>2771</v>
      </c>
      <c r="H264" s="26" t="s">
        <v>2559</v>
      </c>
      <c r="I264" s="28" t="s">
        <v>2772</v>
      </c>
      <c r="J264" s="115" t="s">
        <v>75</v>
      </c>
      <c r="K264" s="115">
        <v>5000000</v>
      </c>
      <c r="L264" s="28" t="s">
        <v>75</v>
      </c>
      <c r="M264" s="28" t="s">
        <v>75</v>
      </c>
      <c r="N264" s="28" t="s">
        <v>75</v>
      </c>
      <c r="O264" s="28" t="s">
        <v>75</v>
      </c>
      <c r="P264" s="28" t="s">
        <v>75</v>
      </c>
      <c r="Q264" s="28" t="s">
        <v>75</v>
      </c>
    </row>
    <row r="265" spans="2:17" ht="58.5" x14ac:dyDescent="0.35">
      <c r="B265" s="106">
        <v>51</v>
      </c>
      <c r="C265" s="27" t="s">
        <v>93</v>
      </c>
      <c r="D265" s="27" t="s">
        <v>584</v>
      </c>
      <c r="E265" s="110">
        <v>45458</v>
      </c>
      <c r="F265" s="28">
        <v>0.5317708333333333</v>
      </c>
      <c r="G265" s="26" t="s">
        <v>2773</v>
      </c>
      <c r="H265" s="26" t="s">
        <v>2559</v>
      </c>
      <c r="I265" s="28" t="s">
        <v>2774</v>
      </c>
      <c r="J265" s="115"/>
      <c r="K265" s="115">
        <v>1000000</v>
      </c>
      <c r="L265" s="28" t="s">
        <v>75</v>
      </c>
      <c r="M265" s="28" t="s">
        <v>75</v>
      </c>
      <c r="N265" s="28" t="s">
        <v>75</v>
      </c>
      <c r="O265" s="28" t="s">
        <v>75</v>
      </c>
      <c r="P265" s="28" t="s">
        <v>75</v>
      </c>
      <c r="Q265" s="28" t="s">
        <v>75</v>
      </c>
    </row>
    <row r="266" spans="2:17" ht="39" x14ac:dyDescent="0.35">
      <c r="B266" s="27">
        <v>52</v>
      </c>
      <c r="C266" s="27" t="s">
        <v>93</v>
      </c>
      <c r="D266" s="27" t="s">
        <v>584</v>
      </c>
      <c r="E266" s="110">
        <v>45459</v>
      </c>
      <c r="F266" s="109">
        <v>2.0833333333333332E-2</v>
      </c>
      <c r="G266" s="26" t="s">
        <v>2775</v>
      </c>
      <c r="H266" s="28" t="s">
        <v>2559</v>
      </c>
      <c r="I266" s="28" t="s">
        <v>2776</v>
      </c>
      <c r="J266" s="115" t="s">
        <v>75</v>
      </c>
      <c r="K266" s="115">
        <v>20000</v>
      </c>
      <c r="L266" s="28" t="s">
        <v>75</v>
      </c>
      <c r="M266" s="28" t="s">
        <v>75</v>
      </c>
      <c r="N266" s="28" t="s">
        <v>75</v>
      </c>
      <c r="O266" s="28" t="s">
        <v>75</v>
      </c>
      <c r="P266" s="28" t="s">
        <v>75</v>
      </c>
      <c r="Q266" s="28" t="s">
        <v>75</v>
      </c>
    </row>
    <row r="267" spans="2:17" ht="39" x14ac:dyDescent="0.35">
      <c r="B267" s="106">
        <v>53</v>
      </c>
      <c r="C267" s="27" t="s">
        <v>93</v>
      </c>
      <c r="D267" s="27" t="s">
        <v>584</v>
      </c>
      <c r="E267" s="110">
        <v>45459</v>
      </c>
      <c r="F267" s="109">
        <v>0.625</v>
      </c>
      <c r="G267" s="26" t="s">
        <v>2777</v>
      </c>
      <c r="H267" s="26" t="s">
        <v>2778</v>
      </c>
      <c r="I267" s="26" t="s">
        <v>2779</v>
      </c>
      <c r="J267" s="115">
        <v>70000</v>
      </c>
      <c r="K267" s="115">
        <v>930000</v>
      </c>
      <c r="L267" s="28" t="s">
        <v>75</v>
      </c>
      <c r="M267" s="28" t="s">
        <v>75</v>
      </c>
      <c r="N267" s="28" t="s">
        <v>75</v>
      </c>
      <c r="O267" s="28" t="s">
        <v>75</v>
      </c>
      <c r="P267" s="28" t="s">
        <v>75</v>
      </c>
      <c r="Q267" s="28" t="s">
        <v>75</v>
      </c>
    </row>
    <row r="268" spans="2:17" ht="39" x14ac:dyDescent="0.35">
      <c r="B268" s="106">
        <v>54</v>
      </c>
      <c r="C268" s="27" t="s">
        <v>93</v>
      </c>
      <c r="D268" s="27" t="s">
        <v>584</v>
      </c>
      <c r="E268" s="110">
        <v>45459</v>
      </c>
      <c r="F268" s="109">
        <v>0.95138888888888884</v>
      </c>
      <c r="G268" s="26" t="s">
        <v>2780</v>
      </c>
      <c r="H268" s="26" t="s">
        <v>2781</v>
      </c>
      <c r="I268" s="28" t="s">
        <v>480</v>
      </c>
      <c r="J268" s="115">
        <v>800</v>
      </c>
      <c r="K268" s="115">
        <v>9200</v>
      </c>
      <c r="L268" s="28" t="s">
        <v>75</v>
      </c>
      <c r="M268" s="28" t="s">
        <v>75</v>
      </c>
      <c r="N268" s="28" t="s">
        <v>75</v>
      </c>
      <c r="O268" s="28" t="s">
        <v>75</v>
      </c>
      <c r="P268" s="28" t="s">
        <v>75</v>
      </c>
      <c r="Q268" s="28" t="s">
        <v>75</v>
      </c>
    </row>
    <row r="269" spans="2:17" ht="39" x14ac:dyDescent="0.35">
      <c r="B269" s="27">
        <v>55</v>
      </c>
      <c r="C269" s="27" t="s">
        <v>93</v>
      </c>
      <c r="D269" s="27" t="s">
        <v>584</v>
      </c>
      <c r="E269" s="110">
        <v>45459</v>
      </c>
      <c r="F269" s="109">
        <v>0.5625</v>
      </c>
      <c r="G269" s="26" t="s">
        <v>2782</v>
      </c>
      <c r="H269" s="28" t="s">
        <v>362</v>
      </c>
      <c r="I269" s="28" t="s">
        <v>2555</v>
      </c>
      <c r="J269" s="115">
        <v>2000</v>
      </c>
      <c r="K269" s="115">
        <v>48000</v>
      </c>
      <c r="L269" s="28" t="s">
        <v>75</v>
      </c>
      <c r="M269" s="28" t="s">
        <v>75</v>
      </c>
      <c r="N269" s="28" t="s">
        <v>75</v>
      </c>
      <c r="O269" s="28" t="s">
        <v>75</v>
      </c>
      <c r="P269" s="28" t="s">
        <v>75</v>
      </c>
      <c r="Q269" s="28" t="s">
        <v>75</v>
      </c>
    </row>
    <row r="270" spans="2:17" ht="39" x14ac:dyDescent="0.35">
      <c r="B270" s="27">
        <v>56</v>
      </c>
      <c r="C270" s="27" t="s">
        <v>93</v>
      </c>
      <c r="D270" s="27" t="s">
        <v>584</v>
      </c>
      <c r="E270" s="110">
        <v>45460</v>
      </c>
      <c r="F270" s="109">
        <v>0.77986111111111112</v>
      </c>
      <c r="G270" s="26" t="s">
        <v>2783</v>
      </c>
      <c r="H270" s="28" t="s">
        <v>2781</v>
      </c>
      <c r="I270" s="28" t="s">
        <v>2784</v>
      </c>
      <c r="J270" s="115">
        <v>80000</v>
      </c>
      <c r="K270" s="115">
        <v>5920000</v>
      </c>
      <c r="L270" s="28" t="s">
        <v>75</v>
      </c>
      <c r="M270" s="28" t="s">
        <v>75</v>
      </c>
      <c r="N270" s="28" t="s">
        <v>75</v>
      </c>
      <c r="O270" s="28" t="s">
        <v>75</v>
      </c>
      <c r="P270" s="28" t="s">
        <v>75</v>
      </c>
      <c r="Q270" s="28" t="s">
        <v>75</v>
      </c>
    </row>
    <row r="271" spans="2:17" ht="39" x14ac:dyDescent="0.35">
      <c r="B271" s="27">
        <v>57</v>
      </c>
      <c r="C271" s="27" t="s">
        <v>93</v>
      </c>
      <c r="D271" s="27" t="s">
        <v>584</v>
      </c>
      <c r="E271" s="110">
        <v>45460</v>
      </c>
      <c r="F271" s="109">
        <v>0.95833333333333337</v>
      </c>
      <c r="G271" s="26" t="s">
        <v>2785</v>
      </c>
      <c r="H271" s="28" t="s">
        <v>2781</v>
      </c>
      <c r="I271" s="28" t="s">
        <v>2786</v>
      </c>
      <c r="J271" s="115">
        <v>500</v>
      </c>
      <c r="K271" s="115">
        <v>4500</v>
      </c>
      <c r="L271" s="28" t="s">
        <v>75</v>
      </c>
      <c r="M271" s="28" t="s">
        <v>75</v>
      </c>
      <c r="N271" s="28" t="s">
        <v>75</v>
      </c>
      <c r="O271" s="28" t="s">
        <v>75</v>
      </c>
      <c r="P271" s="28" t="s">
        <v>75</v>
      </c>
      <c r="Q271" s="28" t="s">
        <v>75</v>
      </c>
    </row>
    <row r="272" spans="2:17" ht="39" x14ac:dyDescent="0.35">
      <c r="B272" s="106">
        <v>58</v>
      </c>
      <c r="C272" s="27" t="s">
        <v>93</v>
      </c>
      <c r="D272" s="27" t="s">
        <v>584</v>
      </c>
      <c r="E272" s="110">
        <v>45462</v>
      </c>
      <c r="F272" s="109">
        <v>0.57222222222222219</v>
      </c>
      <c r="G272" s="26" t="s">
        <v>2787</v>
      </c>
      <c r="H272" s="26" t="s">
        <v>2778</v>
      </c>
      <c r="I272" s="28" t="s">
        <v>2555</v>
      </c>
      <c r="J272" s="115" t="s">
        <v>121</v>
      </c>
      <c r="K272" s="115">
        <v>50000</v>
      </c>
      <c r="L272" s="28" t="s">
        <v>75</v>
      </c>
      <c r="M272" s="28" t="s">
        <v>75</v>
      </c>
      <c r="N272" s="28" t="s">
        <v>75</v>
      </c>
      <c r="O272" s="28" t="s">
        <v>75</v>
      </c>
      <c r="P272" s="28" t="s">
        <v>75</v>
      </c>
      <c r="Q272" s="28" t="s">
        <v>75</v>
      </c>
    </row>
    <row r="273" spans="2:17" ht="39" x14ac:dyDescent="0.35">
      <c r="B273" s="27">
        <v>59</v>
      </c>
      <c r="C273" s="27" t="s">
        <v>93</v>
      </c>
      <c r="D273" s="27" t="s">
        <v>584</v>
      </c>
      <c r="E273" s="110">
        <v>45462</v>
      </c>
      <c r="F273" s="109">
        <v>0.89513888888888893</v>
      </c>
      <c r="G273" s="26" t="s">
        <v>2788</v>
      </c>
      <c r="H273" s="28" t="s">
        <v>406</v>
      </c>
      <c r="I273" s="28" t="s">
        <v>2789</v>
      </c>
      <c r="J273" s="115">
        <v>1000</v>
      </c>
      <c r="K273" s="115">
        <v>49000</v>
      </c>
      <c r="L273" s="28" t="s">
        <v>75</v>
      </c>
      <c r="M273" s="28" t="s">
        <v>75</v>
      </c>
      <c r="N273" s="28" t="s">
        <v>75</v>
      </c>
      <c r="O273" s="28" t="s">
        <v>75</v>
      </c>
      <c r="P273" s="28" t="s">
        <v>75</v>
      </c>
      <c r="Q273" s="28" t="s">
        <v>75</v>
      </c>
    </row>
    <row r="274" spans="2:17" ht="39" x14ac:dyDescent="0.35">
      <c r="B274" s="106">
        <v>60</v>
      </c>
      <c r="C274" s="27" t="s">
        <v>93</v>
      </c>
      <c r="D274" s="27" t="s">
        <v>584</v>
      </c>
      <c r="E274" s="110">
        <v>45466</v>
      </c>
      <c r="F274" s="28">
        <v>6.643518518518518E-2</v>
      </c>
      <c r="G274" s="26" t="s">
        <v>2790</v>
      </c>
      <c r="H274" s="26" t="s">
        <v>2751</v>
      </c>
      <c r="I274" s="28" t="s">
        <v>3631</v>
      </c>
      <c r="J274" s="115">
        <v>490000</v>
      </c>
      <c r="K274" s="115" t="s">
        <v>1844</v>
      </c>
      <c r="L274" s="28" t="s">
        <v>75</v>
      </c>
      <c r="M274" s="28" t="s">
        <v>75</v>
      </c>
      <c r="N274" s="28" t="s">
        <v>75</v>
      </c>
      <c r="O274" s="28" t="s">
        <v>75</v>
      </c>
      <c r="P274" s="28">
        <v>2</v>
      </c>
      <c r="Q274" s="28" t="s">
        <v>75</v>
      </c>
    </row>
    <row r="275" spans="2:17" ht="39" x14ac:dyDescent="0.35">
      <c r="B275" s="106">
        <v>61</v>
      </c>
      <c r="C275" s="27" t="s">
        <v>93</v>
      </c>
      <c r="D275" s="27" t="s">
        <v>584</v>
      </c>
      <c r="E275" s="110">
        <v>45468</v>
      </c>
      <c r="F275" s="109">
        <v>0.60833333333333328</v>
      </c>
      <c r="G275" s="26" t="s">
        <v>2791</v>
      </c>
      <c r="H275" s="26" t="s">
        <v>2781</v>
      </c>
      <c r="I275" s="26" t="s">
        <v>2792</v>
      </c>
      <c r="J275" s="115">
        <v>10000</v>
      </c>
      <c r="K275" s="115">
        <v>1990000</v>
      </c>
      <c r="L275" s="28" t="s">
        <v>75</v>
      </c>
      <c r="M275" s="28" t="s">
        <v>75</v>
      </c>
      <c r="N275" s="28" t="s">
        <v>75</v>
      </c>
      <c r="O275" s="28" t="s">
        <v>75</v>
      </c>
      <c r="P275" s="28" t="s">
        <v>75</v>
      </c>
      <c r="Q275" s="28" t="s">
        <v>75</v>
      </c>
    </row>
    <row r="276" spans="2:17" ht="39" x14ac:dyDescent="0.35">
      <c r="B276" s="27">
        <v>62</v>
      </c>
      <c r="C276" s="27" t="s">
        <v>93</v>
      </c>
      <c r="D276" s="27" t="s">
        <v>1792</v>
      </c>
      <c r="E276" s="110">
        <v>45444</v>
      </c>
      <c r="F276" s="109">
        <v>4.3055555555555555E-2</v>
      </c>
      <c r="G276" s="26" t="s">
        <v>2793</v>
      </c>
      <c r="H276" s="26" t="s">
        <v>2578</v>
      </c>
      <c r="I276" s="26" t="s">
        <v>2794</v>
      </c>
      <c r="J276" s="115" t="s">
        <v>1825</v>
      </c>
      <c r="K276" s="115" t="s">
        <v>1808</v>
      </c>
      <c r="L276" s="28" t="s">
        <v>23</v>
      </c>
      <c r="M276" s="28" t="s">
        <v>23</v>
      </c>
      <c r="N276" s="28" t="s">
        <v>23</v>
      </c>
      <c r="O276" s="28" t="s">
        <v>23</v>
      </c>
      <c r="P276" s="28" t="s">
        <v>23</v>
      </c>
      <c r="Q276" s="28" t="s">
        <v>23</v>
      </c>
    </row>
    <row r="277" spans="2:17" ht="21" x14ac:dyDescent="0.35">
      <c r="B277" s="27">
        <v>63</v>
      </c>
      <c r="C277" s="27" t="s">
        <v>93</v>
      </c>
      <c r="D277" s="27" t="s">
        <v>1792</v>
      </c>
      <c r="E277" s="110">
        <v>45449</v>
      </c>
      <c r="F277" s="109">
        <v>0.26041666666666669</v>
      </c>
      <c r="G277" s="26" t="s">
        <v>2795</v>
      </c>
      <c r="H277" s="26" t="s">
        <v>406</v>
      </c>
      <c r="I277" s="26" t="s">
        <v>2796</v>
      </c>
      <c r="J277" s="115" t="s">
        <v>1807</v>
      </c>
      <c r="K277" s="115" t="s">
        <v>1826</v>
      </c>
      <c r="L277" s="28" t="s">
        <v>23</v>
      </c>
      <c r="M277" s="28" t="s">
        <v>23</v>
      </c>
      <c r="N277" s="28" t="s">
        <v>23</v>
      </c>
      <c r="O277" s="28" t="s">
        <v>23</v>
      </c>
      <c r="P277" s="28" t="s">
        <v>23</v>
      </c>
      <c r="Q277" s="28" t="s">
        <v>23</v>
      </c>
    </row>
    <row r="278" spans="2:17" ht="39" x14ac:dyDescent="0.35">
      <c r="B278" s="27">
        <v>64</v>
      </c>
      <c r="C278" s="27" t="s">
        <v>93</v>
      </c>
      <c r="D278" s="27" t="s">
        <v>1792</v>
      </c>
      <c r="E278" s="110">
        <v>45451</v>
      </c>
      <c r="F278" s="109">
        <v>0.47638888888888886</v>
      </c>
      <c r="G278" s="26" t="s">
        <v>2797</v>
      </c>
      <c r="H278" s="26" t="s">
        <v>2578</v>
      </c>
      <c r="I278" s="26" t="s">
        <v>2798</v>
      </c>
      <c r="J278" s="115" t="s">
        <v>1827</v>
      </c>
      <c r="K278" s="115" t="s">
        <v>1828</v>
      </c>
      <c r="L278" s="28" t="s">
        <v>23</v>
      </c>
      <c r="M278" s="28" t="s">
        <v>23</v>
      </c>
      <c r="N278" s="28" t="s">
        <v>23</v>
      </c>
      <c r="O278" s="28" t="s">
        <v>23</v>
      </c>
      <c r="P278" s="28" t="s">
        <v>23</v>
      </c>
      <c r="Q278" s="28" t="s">
        <v>23</v>
      </c>
    </row>
    <row r="279" spans="2:17" ht="21" x14ac:dyDescent="0.35">
      <c r="B279" s="27">
        <v>65</v>
      </c>
      <c r="C279" s="27" t="s">
        <v>93</v>
      </c>
      <c r="D279" s="27" t="s">
        <v>1792</v>
      </c>
      <c r="E279" s="110">
        <v>45451</v>
      </c>
      <c r="F279" s="109">
        <v>0.62638888888888888</v>
      </c>
      <c r="G279" s="26" t="s">
        <v>2799</v>
      </c>
      <c r="H279" s="26" t="s">
        <v>406</v>
      </c>
      <c r="I279" s="26" t="s">
        <v>2800</v>
      </c>
      <c r="J279" s="115" t="s">
        <v>1829</v>
      </c>
      <c r="K279" s="115" t="s">
        <v>1830</v>
      </c>
      <c r="L279" s="28" t="s">
        <v>23</v>
      </c>
      <c r="M279" s="28" t="s">
        <v>23</v>
      </c>
      <c r="N279" s="28" t="s">
        <v>23</v>
      </c>
      <c r="O279" s="28" t="s">
        <v>23</v>
      </c>
      <c r="P279" s="28" t="s">
        <v>23</v>
      </c>
      <c r="Q279" s="28" t="s">
        <v>23</v>
      </c>
    </row>
    <row r="280" spans="2:17" ht="39" x14ac:dyDescent="0.35">
      <c r="B280" s="27">
        <v>66</v>
      </c>
      <c r="C280" s="27" t="s">
        <v>93</v>
      </c>
      <c r="D280" s="27" t="s">
        <v>1792</v>
      </c>
      <c r="E280" s="110">
        <v>45455</v>
      </c>
      <c r="F280" s="109">
        <v>0.72499999999999998</v>
      </c>
      <c r="G280" s="26" t="s">
        <v>2801</v>
      </c>
      <c r="H280" s="26" t="s">
        <v>2578</v>
      </c>
      <c r="I280" s="106" t="s">
        <v>2802</v>
      </c>
      <c r="J280" s="115" t="s">
        <v>1794</v>
      </c>
      <c r="K280" s="115" t="s">
        <v>1831</v>
      </c>
      <c r="L280" s="28" t="s">
        <v>23</v>
      </c>
      <c r="M280" s="28" t="s">
        <v>23</v>
      </c>
      <c r="N280" s="28" t="s">
        <v>23</v>
      </c>
      <c r="O280" s="28" t="s">
        <v>23</v>
      </c>
      <c r="P280" s="28" t="s">
        <v>23</v>
      </c>
      <c r="Q280" s="28" t="s">
        <v>23</v>
      </c>
    </row>
    <row r="281" spans="2:17" ht="39" x14ac:dyDescent="0.35">
      <c r="B281" s="27">
        <v>67</v>
      </c>
      <c r="C281" s="27" t="s">
        <v>93</v>
      </c>
      <c r="D281" s="27" t="s">
        <v>1792</v>
      </c>
      <c r="E281" s="110">
        <v>45456</v>
      </c>
      <c r="F281" s="109">
        <v>0.75347222222222221</v>
      </c>
      <c r="G281" s="26" t="s">
        <v>2803</v>
      </c>
      <c r="H281" s="26" t="s">
        <v>2578</v>
      </c>
      <c r="I281" s="26" t="s">
        <v>2804</v>
      </c>
      <c r="J281" s="115" t="s">
        <v>1819</v>
      </c>
      <c r="K281" s="115" t="s">
        <v>1832</v>
      </c>
      <c r="L281" s="28" t="s">
        <v>23</v>
      </c>
      <c r="M281" s="28" t="s">
        <v>23</v>
      </c>
      <c r="N281" s="28" t="s">
        <v>23</v>
      </c>
      <c r="O281" s="28" t="s">
        <v>23</v>
      </c>
      <c r="P281" s="28" t="s">
        <v>23</v>
      </c>
      <c r="Q281" s="28" t="s">
        <v>23</v>
      </c>
    </row>
    <row r="282" spans="2:17" ht="39" x14ac:dyDescent="0.35">
      <c r="B282" s="27">
        <v>68</v>
      </c>
      <c r="C282" s="27" t="s">
        <v>93</v>
      </c>
      <c r="D282" s="27" t="s">
        <v>1792</v>
      </c>
      <c r="E282" s="110">
        <v>45461</v>
      </c>
      <c r="F282" s="109">
        <v>0.45833333333333331</v>
      </c>
      <c r="G282" s="26" t="s">
        <v>2805</v>
      </c>
      <c r="H282" s="26" t="s">
        <v>2578</v>
      </c>
      <c r="I282" s="26" t="s">
        <v>2806</v>
      </c>
      <c r="J282" s="115" t="s">
        <v>1832</v>
      </c>
      <c r="K282" s="115" t="s">
        <v>1833</v>
      </c>
      <c r="L282" s="28" t="s">
        <v>23</v>
      </c>
      <c r="M282" s="28" t="s">
        <v>23</v>
      </c>
      <c r="N282" s="28" t="s">
        <v>23</v>
      </c>
      <c r="O282" s="28" t="s">
        <v>23</v>
      </c>
      <c r="P282" s="28" t="s">
        <v>23</v>
      </c>
      <c r="Q282" s="28" t="s">
        <v>23</v>
      </c>
    </row>
    <row r="283" spans="2:17" ht="39" x14ac:dyDescent="0.35">
      <c r="B283" s="27">
        <v>69</v>
      </c>
      <c r="C283" s="27" t="s">
        <v>93</v>
      </c>
      <c r="D283" s="27" t="s">
        <v>1792</v>
      </c>
      <c r="E283" s="110">
        <v>45469</v>
      </c>
      <c r="F283" s="109">
        <v>9.2361111111111116E-2</v>
      </c>
      <c r="G283" s="26" t="s">
        <v>2807</v>
      </c>
      <c r="H283" s="26" t="s">
        <v>2578</v>
      </c>
      <c r="I283" s="26" t="s">
        <v>2808</v>
      </c>
      <c r="J283" s="115" t="s">
        <v>1819</v>
      </c>
      <c r="K283" s="115" t="s">
        <v>1834</v>
      </c>
      <c r="L283" s="28" t="s">
        <v>23</v>
      </c>
      <c r="M283" s="28" t="s">
        <v>23</v>
      </c>
      <c r="N283" s="28" t="s">
        <v>23</v>
      </c>
      <c r="O283" s="28" t="s">
        <v>23</v>
      </c>
      <c r="P283" s="28" t="s">
        <v>23</v>
      </c>
      <c r="Q283" s="28" t="s">
        <v>23</v>
      </c>
    </row>
    <row r="284" spans="2:17" ht="21" x14ac:dyDescent="0.35">
      <c r="B284" s="106">
        <v>70</v>
      </c>
      <c r="C284" s="27" t="s">
        <v>93</v>
      </c>
      <c r="D284" s="27" t="s">
        <v>1791</v>
      </c>
      <c r="E284" s="110">
        <v>45460</v>
      </c>
      <c r="F284" s="109">
        <v>0.59513888888888888</v>
      </c>
      <c r="G284" s="26" t="s">
        <v>2809</v>
      </c>
      <c r="H284" s="26" t="s">
        <v>406</v>
      </c>
      <c r="I284" s="28" t="s">
        <v>3633</v>
      </c>
      <c r="J284" s="115" t="s">
        <v>20</v>
      </c>
      <c r="K284" s="115" t="s">
        <v>20</v>
      </c>
      <c r="L284" s="28" t="s">
        <v>23</v>
      </c>
      <c r="M284" s="28" t="s">
        <v>23</v>
      </c>
      <c r="N284" s="28" t="s">
        <v>23</v>
      </c>
      <c r="O284" s="28" t="s">
        <v>23</v>
      </c>
      <c r="P284" s="28" t="s">
        <v>23</v>
      </c>
      <c r="Q284" s="28" t="s">
        <v>23</v>
      </c>
    </row>
    <row r="285" spans="2:17" ht="39" x14ac:dyDescent="0.35">
      <c r="B285" s="106">
        <v>71</v>
      </c>
      <c r="C285" s="27" t="s">
        <v>93</v>
      </c>
      <c r="D285" s="27" t="s">
        <v>1791</v>
      </c>
      <c r="E285" s="108">
        <v>45461</v>
      </c>
      <c r="F285" s="109">
        <v>0.64236111111111116</v>
      </c>
      <c r="G285" s="26" t="s">
        <v>2810</v>
      </c>
      <c r="H285" s="26" t="s">
        <v>309</v>
      </c>
      <c r="I285" s="28" t="s">
        <v>3632</v>
      </c>
      <c r="J285" s="115" t="s">
        <v>189</v>
      </c>
      <c r="K285" s="115" t="s">
        <v>190</v>
      </c>
      <c r="L285" s="28" t="s">
        <v>23</v>
      </c>
      <c r="M285" s="28" t="s">
        <v>23</v>
      </c>
      <c r="N285" s="28" t="s">
        <v>23</v>
      </c>
      <c r="O285" s="28" t="s">
        <v>23</v>
      </c>
      <c r="P285" s="28" t="s">
        <v>23</v>
      </c>
      <c r="Q285" s="28" t="s">
        <v>23</v>
      </c>
    </row>
    <row r="286" spans="2:17" ht="39" x14ac:dyDescent="0.35">
      <c r="B286" s="106">
        <v>72</v>
      </c>
      <c r="C286" s="27" t="s">
        <v>93</v>
      </c>
      <c r="D286" s="27" t="s">
        <v>1791</v>
      </c>
      <c r="E286" s="108">
        <v>45461</v>
      </c>
      <c r="F286" s="109">
        <v>0.91874999999999996</v>
      </c>
      <c r="G286" s="26" t="s">
        <v>2811</v>
      </c>
      <c r="H286" s="26" t="s">
        <v>406</v>
      </c>
      <c r="I286" s="28" t="s">
        <v>3635</v>
      </c>
      <c r="J286" s="115" t="s">
        <v>1835</v>
      </c>
      <c r="K286" s="115" t="s">
        <v>204</v>
      </c>
      <c r="L286" s="28" t="s">
        <v>23</v>
      </c>
      <c r="M286" s="28" t="s">
        <v>23</v>
      </c>
      <c r="N286" s="28" t="s">
        <v>23</v>
      </c>
      <c r="O286" s="28" t="s">
        <v>23</v>
      </c>
      <c r="P286" s="28" t="s">
        <v>23</v>
      </c>
      <c r="Q286" s="28" t="s">
        <v>23</v>
      </c>
    </row>
    <row r="287" spans="2:17" ht="39" x14ac:dyDescent="0.35">
      <c r="B287" s="106">
        <v>73</v>
      </c>
      <c r="C287" s="27" t="s">
        <v>93</v>
      </c>
      <c r="D287" s="27" t="s">
        <v>1791</v>
      </c>
      <c r="E287" s="110">
        <v>45462</v>
      </c>
      <c r="F287" s="109">
        <v>1.2500000000000001E-2</v>
      </c>
      <c r="G287" s="26" t="s">
        <v>2812</v>
      </c>
      <c r="H287" s="26" t="s">
        <v>319</v>
      </c>
      <c r="I287" s="28" t="s">
        <v>3634</v>
      </c>
      <c r="J287" s="115" t="s">
        <v>20</v>
      </c>
      <c r="K287" s="115" t="s">
        <v>20</v>
      </c>
      <c r="L287" s="28" t="s">
        <v>23</v>
      </c>
      <c r="M287" s="28" t="s">
        <v>23</v>
      </c>
      <c r="N287" s="28" t="s">
        <v>23</v>
      </c>
      <c r="O287" s="28" t="s">
        <v>23</v>
      </c>
      <c r="P287" s="28" t="s">
        <v>23</v>
      </c>
      <c r="Q287" s="28" t="s">
        <v>23</v>
      </c>
    </row>
    <row r="288" spans="2:17" ht="21" x14ac:dyDescent="0.35">
      <c r="B288" s="27">
        <v>74</v>
      </c>
      <c r="C288" s="27" t="s">
        <v>93</v>
      </c>
      <c r="D288" s="27" t="s">
        <v>1791</v>
      </c>
      <c r="E288" s="110">
        <v>45448</v>
      </c>
      <c r="F288" s="109">
        <v>0.54861111111111116</v>
      </c>
      <c r="G288" s="26" t="s">
        <v>2813</v>
      </c>
      <c r="H288" s="26" t="s">
        <v>406</v>
      </c>
      <c r="I288" s="26" t="s">
        <v>2814</v>
      </c>
      <c r="J288" s="115">
        <v>12000</v>
      </c>
      <c r="K288" s="115">
        <v>15000</v>
      </c>
      <c r="L288" s="28" t="s">
        <v>23</v>
      </c>
      <c r="M288" s="28" t="s">
        <v>23</v>
      </c>
      <c r="N288" s="28" t="s">
        <v>23</v>
      </c>
      <c r="O288" s="28" t="s">
        <v>23</v>
      </c>
      <c r="P288" s="28" t="s">
        <v>23</v>
      </c>
      <c r="Q288" s="28" t="s">
        <v>23</v>
      </c>
    </row>
    <row r="289" spans="2:17" ht="39" x14ac:dyDescent="0.35">
      <c r="B289" s="27">
        <v>75</v>
      </c>
      <c r="C289" s="27" t="s">
        <v>93</v>
      </c>
      <c r="D289" s="27" t="s">
        <v>1791</v>
      </c>
      <c r="E289" s="110">
        <v>45450</v>
      </c>
      <c r="F289" s="109">
        <v>0.55902777777777779</v>
      </c>
      <c r="G289" s="26" t="s">
        <v>2815</v>
      </c>
      <c r="H289" s="26" t="s">
        <v>406</v>
      </c>
      <c r="I289" s="26" t="s">
        <v>340</v>
      </c>
      <c r="J289" s="115">
        <v>5000</v>
      </c>
      <c r="K289" s="115">
        <v>495000</v>
      </c>
      <c r="L289" s="28" t="s">
        <v>23</v>
      </c>
      <c r="M289" s="28" t="s">
        <v>23</v>
      </c>
      <c r="N289" s="28" t="s">
        <v>23</v>
      </c>
      <c r="O289" s="28" t="s">
        <v>23</v>
      </c>
      <c r="P289" s="28" t="s">
        <v>23</v>
      </c>
      <c r="Q289" s="28" t="s">
        <v>23</v>
      </c>
    </row>
    <row r="290" spans="2:17" ht="39" x14ac:dyDescent="0.35">
      <c r="B290" s="27">
        <v>76</v>
      </c>
      <c r="C290" s="27" t="s">
        <v>93</v>
      </c>
      <c r="D290" s="27" t="s">
        <v>587</v>
      </c>
      <c r="E290" s="110">
        <v>45451</v>
      </c>
      <c r="F290" s="109">
        <v>0.55138888888888893</v>
      </c>
      <c r="G290" s="26" t="s">
        <v>2816</v>
      </c>
      <c r="H290" s="26" t="s">
        <v>406</v>
      </c>
      <c r="I290" s="26" t="s">
        <v>2817</v>
      </c>
      <c r="J290" s="115">
        <v>5000</v>
      </c>
      <c r="K290" s="115">
        <v>395000</v>
      </c>
      <c r="L290" s="28" t="s">
        <v>23</v>
      </c>
      <c r="M290" s="28" t="s">
        <v>23</v>
      </c>
      <c r="N290" s="28" t="s">
        <v>23</v>
      </c>
      <c r="O290" s="28" t="s">
        <v>23</v>
      </c>
      <c r="P290" s="28" t="s">
        <v>23</v>
      </c>
      <c r="Q290" s="28" t="s">
        <v>23</v>
      </c>
    </row>
    <row r="291" spans="2:17" ht="21" x14ac:dyDescent="0.35">
      <c r="B291" s="27">
        <v>77</v>
      </c>
      <c r="C291" s="27" t="s">
        <v>93</v>
      </c>
      <c r="D291" s="27" t="s">
        <v>587</v>
      </c>
      <c r="E291" s="110">
        <v>45453</v>
      </c>
      <c r="F291" s="109">
        <v>0.58125000000000004</v>
      </c>
      <c r="G291" s="26" t="s">
        <v>2818</v>
      </c>
      <c r="H291" s="26" t="s">
        <v>406</v>
      </c>
      <c r="I291" s="26" t="s">
        <v>2819</v>
      </c>
      <c r="J291" s="115">
        <v>5000</v>
      </c>
      <c r="K291" s="115">
        <v>45000</v>
      </c>
      <c r="L291" s="28" t="s">
        <v>23</v>
      </c>
      <c r="M291" s="28" t="s">
        <v>23</v>
      </c>
      <c r="N291" s="28" t="s">
        <v>23</v>
      </c>
      <c r="O291" s="28" t="s">
        <v>23</v>
      </c>
      <c r="P291" s="28" t="s">
        <v>23</v>
      </c>
      <c r="Q291" s="28" t="s">
        <v>23</v>
      </c>
    </row>
    <row r="292" spans="2:17" ht="58.5" x14ac:dyDescent="0.35">
      <c r="B292" s="27">
        <v>78</v>
      </c>
      <c r="C292" s="27" t="s">
        <v>93</v>
      </c>
      <c r="D292" s="27" t="s">
        <v>587</v>
      </c>
      <c r="E292" s="110">
        <v>45456</v>
      </c>
      <c r="F292" s="109">
        <v>0.52222222222222225</v>
      </c>
      <c r="G292" s="26" t="s">
        <v>2820</v>
      </c>
      <c r="H292" s="26" t="s">
        <v>2821</v>
      </c>
      <c r="I292" s="26" t="s">
        <v>2822</v>
      </c>
      <c r="J292" s="115">
        <v>150000</v>
      </c>
      <c r="K292" s="115">
        <v>350000</v>
      </c>
      <c r="L292" s="28" t="s">
        <v>23</v>
      </c>
      <c r="M292" s="28" t="s">
        <v>23</v>
      </c>
      <c r="N292" s="28" t="s">
        <v>23</v>
      </c>
      <c r="O292" s="28" t="s">
        <v>23</v>
      </c>
      <c r="P292" s="28" t="s">
        <v>23</v>
      </c>
      <c r="Q292" s="28" t="s">
        <v>23</v>
      </c>
    </row>
    <row r="293" spans="2:17" ht="39" x14ac:dyDescent="0.35">
      <c r="B293" s="27">
        <v>79</v>
      </c>
      <c r="C293" s="27" t="s">
        <v>93</v>
      </c>
      <c r="D293" s="27" t="s">
        <v>587</v>
      </c>
      <c r="E293" s="110">
        <v>45460</v>
      </c>
      <c r="F293" s="109">
        <v>0.52013888888888893</v>
      </c>
      <c r="G293" s="26" t="s">
        <v>2823</v>
      </c>
      <c r="H293" s="106" t="s">
        <v>2714</v>
      </c>
      <c r="I293" s="106"/>
      <c r="J293" s="120"/>
      <c r="K293" s="120"/>
      <c r="L293" s="28" t="s">
        <v>15</v>
      </c>
      <c r="M293" s="28" t="s">
        <v>15</v>
      </c>
      <c r="N293" s="28" t="s">
        <v>15</v>
      </c>
      <c r="O293" s="28" t="s">
        <v>15</v>
      </c>
      <c r="P293" s="28" t="s">
        <v>15</v>
      </c>
      <c r="Q293" s="28" t="s">
        <v>15</v>
      </c>
    </row>
    <row r="294" spans="2:17" ht="39" x14ac:dyDescent="0.35">
      <c r="B294" s="27">
        <v>80</v>
      </c>
      <c r="C294" s="27" t="s">
        <v>93</v>
      </c>
      <c r="D294" s="27" t="s">
        <v>587</v>
      </c>
      <c r="E294" s="110">
        <v>45462</v>
      </c>
      <c r="F294" s="109">
        <v>0.92986111111111114</v>
      </c>
      <c r="G294" s="26" t="s">
        <v>2824</v>
      </c>
      <c r="H294" s="26" t="s">
        <v>2825</v>
      </c>
      <c r="I294" s="26" t="s">
        <v>2826</v>
      </c>
      <c r="J294" s="115">
        <v>2000</v>
      </c>
      <c r="K294" s="115">
        <v>298000</v>
      </c>
      <c r="L294" s="28" t="s">
        <v>23</v>
      </c>
      <c r="M294" s="28" t="s">
        <v>23</v>
      </c>
      <c r="N294" s="28" t="s">
        <v>23</v>
      </c>
      <c r="O294" s="28" t="s">
        <v>23</v>
      </c>
      <c r="P294" s="28" t="s">
        <v>23</v>
      </c>
      <c r="Q294" s="28" t="s">
        <v>23</v>
      </c>
    </row>
    <row r="295" spans="2:17" ht="21" x14ac:dyDescent="0.35">
      <c r="B295" s="27">
        <v>1</v>
      </c>
      <c r="C295" s="27" t="s">
        <v>93</v>
      </c>
      <c r="D295" s="27" t="s">
        <v>94</v>
      </c>
      <c r="E295" s="108">
        <v>45354</v>
      </c>
      <c r="F295" s="109">
        <v>0.22222222222222221</v>
      </c>
      <c r="G295" s="104" t="s">
        <v>2827</v>
      </c>
      <c r="H295" s="104" t="s">
        <v>2828</v>
      </c>
      <c r="I295" s="104" t="s">
        <v>2829</v>
      </c>
      <c r="J295" s="115" t="s">
        <v>1795</v>
      </c>
      <c r="K295" s="115" t="s">
        <v>1836</v>
      </c>
      <c r="L295" s="28" t="s">
        <v>20</v>
      </c>
      <c r="M295" s="28" t="s">
        <v>20</v>
      </c>
      <c r="N295" s="28" t="s">
        <v>20</v>
      </c>
      <c r="O295" s="28" t="s">
        <v>20</v>
      </c>
      <c r="P295" s="28">
        <v>1</v>
      </c>
      <c r="Q295" s="28" t="s">
        <v>20</v>
      </c>
    </row>
    <row r="296" spans="2:17" ht="21" x14ac:dyDescent="0.35">
      <c r="B296" s="27">
        <v>2</v>
      </c>
      <c r="C296" s="27" t="s">
        <v>93</v>
      </c>
      <c r="D296" s="27" t="s">
        <v>94</v>
      </c>
      <c r="E296" s="108">
        <v>45356</v>
      </c>
      <c r="F296" s="109">
        <v>0.63124999999999998</v>
      </c>
      <c r="G296" s="104" t="s">
        <v>2830</v>
      </c>
      <c r="H296" s="104" t="s">
        <v>2831</v>
      </c>
      <c r="I296" s="104" t="s">
        <v>2832</v>
      </c>
      <c r="J296" s="115" t="s">
        <v>1796</v>
      </c>
      <c r="K296" s="115" t="s">
        <v>1837</v>
      </c>
      <c r="L296" s="28" t="s">
        <v>20</v>
      </c>
      <c r="M296" s="28" t="s">
        <v>20</v>
      </c>
      <c r="N296" s="28" t="s">
        <v>20</v>
      </c>
      <c r="O296" s="28" t="s">
        <v>20</v>
      </c>
      <c r="P296" s="28">
        <v>4</v>
      </c>
      <c r="Q296" s="28" t="s">
        <v>20</v>
      </c>
    </row>
    <row r="297" spans="2:17" ht="21" x14ac:dyDescent="0.35">
      <c r="B297" s="27">
        <v>3</v>
      </c>
      <c r="C297" s="27" t="s">
        <v>93</v>
      </c>
      <c r="D297" s="27" t="s">
        <v>94</v>
      </c>
      <c r="E297" s="108">
        <v>45361</v>
      </c>
      <c r="F297" s="109">
        <v>0.95138888888888884</v>
      </c>
      <c r="G297" s="104" t="s">
        <v>2833</v>
      </c>
      <c r="H297" s="104" t="s">
        <v>2834</v>
      </c>
      <c r="I297" s="104" t="s">
        <v>2835</v>
      </c>
      <c r="J297" s="115" t="s">
        <v>1797</v>
      </c>
      <c r="K297" s="115" t="s">
        <v>1798</v>
      </c>
      <c r="L297" s="28" t="s">
        <v>20</v>
      </c>
      <c r="M297" s="28" t="s">
        <v>20</v>
      </c>
      <c r="N297" s="28" t="s">
        <v>20</v>
      </c>
      <c r="O297" s="28" t="s">
        <v>20</v>
      </c>
      <c r="P297" s="28" t="s">
        <v>20</v>
      </c>
      <c r="Q297" s="28" t="s">
        <v>20</v>
      </c>
    </row>
    <row r="298" spans="2:17" ht="21" x14ac:dyDescent="0.35">
      <c r="B298" s="27">
        <v>4</v>
      </c>
      <c r="C298" s="27" t="s">
        <v>93</v>
      </c>
      <c r="D298" s="27" t="s">
        <v>94</v>
      </c>
      <c r="E298" s="108">
        <v>45367</v>
      </c>
      <c r="F298" s="109">
        <v>0.53749999999999998</v>
      </c>
      <c r="G298" s="104" t="s">
        <v>2836</v>
      </c>
      <c r="H298" s="128" t="s">
        <v>2837</v>
      </c>
      <c r="I298" s="104" t="s">
        <v>20</v>
      </c>
      <c r="J298" s="115" t="s">
        <v>20</v>
      </c>
      <c r="K298" s="115" t="s">
        <v>20</v>
      </c>
      <c r="L298" s="28" t="s">
        <v>20</v>
      </c>
      <c r="M298" s="28" t="s">
        <v>20</v>
      </c>
      <c r="N298" s="28" t="s">
        <v>20</v>
      </c>
      <c r="O298" s="27" t="s">
        <v>20</v>
      </c>
      <c r="P298" s="28" t="s">
        <v>20</v>
      </c>
      <c r="Q298" s="28"/>
    </row>
    <row r="299" spans="2:17" ht="39" x14ac:dyDescent="0.35">
      <c r="B299" s="27">
        <v>5</v>
      </c>
      <c r="C299" s="27" t="s">
        <v>93</v>
      </c>
      <c r="D299" s="27" t="s">
        <v>94</v>
      </c>
      <c r="E299" s="108">
        <v>45368</v>
      </c>
      <c r="F299" s="109">
        <v>0.3034722222222222</v>
      </c>
      <c r="G299" s="104" t="s">
        <v>2838</v>
      </c>
      <c r="H299" s="104" t="s">
        <v>362</v>
      </c>
      <c r="I299" s="104" t="s">
        <v>2839</v>
      </c>
      <c r="J299" s="115" t="s">
        <v>1799</v>
      </c>
      <c r="K299" s="115" t="s">
        <v>1838</v>
      </c>
      <c r="L299" s="28" t="s">
        <v>20</v>
      </c>
      <c r="M299" s="28" t="s">
        <v>20</v>
      </c>
      <c r="N299" s="28" t="s">
        <v>20</v>
      </c>
      <c r="O299" s="28" t="s">
        <v>20</v>
      </c>
      <c r="P299" s="28" t="s">
        <v>20</v>
      </c>
      <c r="Q299" s="28" t="s">
        <v>20</v>
      </c>
    </row>
    <row r="300" spans="2:17" ht="21" x14ac:dyDescent="0.35">
      <c r="B300" s="106">
        <v>6</v>
      </c>
      <c r="C300" s="27" t="s">
        <v>93</v>
      </c>
      <c r="D300" s="27" t="s">
        <v>94</v>
      </c>
      <c r="E300" s="110">
        <v>45371</v>
      </c>
      <c r="F300" s="109">
        <v>5.486111111111111E-2</v>
      </c>
      <c r="G300" s="129" t="s">
        <v>2840</v>
      </c>
      <c r="H300" s="113" t="s">
        <v>2841</v>
      </c>
      <c r="I300" s="129" t="s">
        <v>2842</v>
      </c>
      <c r="J300" s="115" t="s">
        <v>1804</v>
      </c>
      <c r="K300" s="115" t="s">
        <v>1839</v>
      </c>
      <c r="L300" s="28" t="s">
        <v>15</v>
      </c>
      <c r="M300" s="28" t="s">
        <v>15</v>
      </c>
      <c r="N300" s="28" t="s">
        <v>15</v>
      </c>
      <c r="O300" s="28" t="s">
        <v>15</v>
      </c>
      <c r="P300" s="28" t="s">
        <v>15</v>
      </c>
      <c r="Q300" s="28" t="s">
        <v>15</v>
      </c>
    </row>
    <row r="301" spans="2:17" ht="39" x14ac:dyDescent="0.35">
      <c r="B301" s="106">
        <v>7</v>
      </c>
      <c r="C301" s="27" t="s">
        <v>93</v>
      </c>
      <c r="D301" s="27" t="s">
        <v>94</v>
      </c>
      <c r="E301" s="110">
        <v>45371</v>
      </c>
      <c r="F301" s="109">
        <v>0.61111111111111116</v>
      </c>
      <c r="G301" s="118" t="s">
        <v>2843</v>
      </c>
      <c r="H301" s="121" t="s">
        <v>2844</v>
      </c>
      <c r="I301" s="129" t="s">
        <v>2845</v>
      </c>
      <c r="J301" s="117" t="s">
        <v>1800</v>
      </c>
      <c r="K301" s="115" t="s">
        <v>1805</v>
      </c>
      <c r="L301" s="28" t="s">
        <v>15</v>
      </c>
      <c r="M301" s="28" t="s">
        <v>15</v>
      </c>
      <c r="N301" s="28" t="s">
        <v>15</v>
      </c>
      <c r="O301" s="28" t="s">
        <v>15</v>
      </c>
      <c r="P301" s="28" t="s">
        <v>15</v>
      </c>
      <c r="Q301" s="28" t="s">
        <v>15</v>
      </c>
    </row>
    <row r="302" spans="2:17" ht="39" x14ac:dyDescent="0.35">
      <c r="B302" s="106">
        <v>8</v>
      </c>
      <c r="C302" s="27" t="s">
        <v>93</v>
      </c>
      <c r="D302" s="27" t="s">
        <v>94</v>
      </c>
      <c r="E302" s="110">
        <v>45371</v>
      </c>
      <c r="F302" s="109">
        <v>0.72013888888888888</v>
      </c>
      <c r="G302" s="129" t="s">
        <v>2846</v>
      </c>
      <c r="H302" s="129" t="s">
        <v>2844</v>
      </c>
      <c r="I302" s="129" t="s">
        <v>2847</v>
      </c>
      <c r="J302" s="117" t="s">
        <v>157</v>
      </c>
      <c r="K302" s="115" t="s">
        <v>197</v>
      </c>
      <c r="L302" s="28" t="s">
        <v>15</v>
      </c>
      <c r="M302" s="28" t="s">
        <v>15</v>
      </c>
      <c r="N302" s="28" t="s">
        <v>15</v>
      </c>
      <c r="O302" s="28" t="s">
        <v>15</v>
      </c>
      <c r="P302" s="28" t="s">
        <v>15</v>
      </c>
      <c r="Q302" s="28" t="s">
        <v>15</v>
      </c>
    </row>
    <row r="303" spans="2:17" ht="39" x14ac:dyDescent="0.35">
      <c r="B303" s="106">
        <v>9</v>
      </c>
      <c r="C303" s="27" t="s">
        <v>93</v>
      </c>
      <c r="D303" s="27" t="s">
        <v>94</v>
      </c>
      <c r="E303" s="26" t="s">
        <v>1793</v>
      </c>
      <c r="F303" s="109">
        <v>0.79652777777777772</v>
      </c>
      <c r="G303" s="129" t="s">
        <v>2848</v>
      </c>
      <c r="H303" s="129" t="s">
        <v>2849</v>
      </c>
      <c r="I303" s="129" t="s">
        <v>2850</v>
      </c>
      <c r="J303" s="117" t="s">
        <v>198</v>
      </c>
      <c r="K303" s="115" t="s">
        <v>154</v>
      </c>
      <c r="L303" s="114"/>
      <c r="M303" s="121"/>
      <c r="N303" s="114"/>
      <c r="O303" s="114"/>
      <c r="P303" s="121"/>
      <c r="Q303" s="114"/>
    </row>
    <row r="304" spans="2:17" ht="39" x14ac:dyDescent="0.35">
      <c r="B304" s="106">
        <v>10</v>
      </c>
      <c r="C304" s="27" t="s">
        <v>93</v>
      </c>
      <c r="D304" s="27" t="s">
        <v>94</v>
      </c>
      <c r="E304" s="26" t="s">
        <v>199</v>
      </c>
      <c r="F304" s="109">
        <v>0.7680555555555556</v>
      </c>
      <c r="G304" s="129" t="s">
        <v>200</v>
      </c>
      <c r="H304" s="129" t="s">
        <v>2844</v>
      </c>
      <c r="I304" s="129" t="s">
        <v>2851</v>
      </c>
      <c r="J304" s="117" t="s">
        <v>15</v>
      </c>
      <c r="K304" s="115" t="s">
        <v>174</v>
      </c>
      <c r="L304" s="114"/>
      <c r="M304" s="121"/>
      <c r="N304" s="114"/>
      <c r="O304" s="114"/>
      <c r="P304" s="121"/>
      <c r="Q304" s="114"/>
    </row>
    <row r="305" spans="2:17" ht="21" x14ac:dyDescent="0.35">
      <c r="B305" s="106">
        <v>11</v>
      </c>
      <c r="C305" s="27" t="s">
        <v>93</v>
      </c>
      <c r="D305" s="27" t="s">
        <v>94</v>
      </c>
      <c r="E305" s="26" t="s">
        <v>201</v>
      </c>
      <c r="F305" s="28">
        <v>15.35</v>
      </c>
      <c r="G305" s="129" t="s">
        <v>202</v>
      </c>
      <c r="H305" s="129" t="s">
        <v>203</v>
      </c>
      <c r="I305" s="121" t="s">
        <v>2852</v>
      </c>
      <c r="J305" s="117" t="s">
        <v>204</v>
      </c>
      <c r="K305" s="115" t="s">
        <v>205</v>
      </c>
      <c r="L305" s="114"/>
      <c r="M305" s="121"/>
      <c r="N305" s="114"/>
      <c r="O305" s="114"/>
      <c r="P305" s="114"/>
      <c r="Q305" s="114"/>
    </row>
    <row r="306" spans="2:17" ht="21" x14ac:dyDescent="0.35">
      <c r="B306" s="27">
        <v>12</v>
      </c>
      <c r="C306" s="27" t="s">
        <v>93</v>
      </c>
      <c r="D306" s="27" t="s">
        <v>94</v>
      </c>
      <c r="E306" s="26" t="s">
        <v>206</v>
      </c>
      <c r="F306" s="28">
        <v>10.1</v>
      </c>
      <c r="G306" s="129" t="s">
        <v>2853</v>
      </c>
      <c r="H306" s="121" t="s">
        <v>203</v>
      </c>
      <c r="I306" s="129" t="s">
        <v>207</v>
      </c>
      <c r="J306" s="117" t="s">
        <v>198</v>
      </c>
      <c r="K306" s="115" t="s">
        <v>208</v>
      </c>
      <c r="L306" s="114"/>
      <c r="M306" s="121"/>
      <c r="N306" s="114"/>
      <c r="O306" s="114"/>
      <c r="P306" s="121"/>
      <c r="Q306" s="114"/>
    </row>
    <row r="307" spans="2:17" ht="21" x14ac:dyDescent="0.35">
      <c r="B307" s="27">
        <v>13</v>
      </c>
      <c r="C307" s="27" t="s">
        <v>93</v>
      </c>
      <c r="D307" s="27" t="s">
        <v>94</v>
      </c>
      <c r="E307" s="110">
        <v>45381</v>
      </c>
      <c r="F307" s="109">
        <v>8.6805555555555552E-2</v>
      </c>
      <c r="G307" s="129" t="s">
        <v>2854</v>
      </c>
      <c r="H307" s="121" t="s">
        <v>2855</v>
      </c>
      <c r="I307" s="129" t="s">
        <v>2856</v>
      </c>
      <c r="J307" s="117" t="s">
        <v>209</v>
      </c>
      <c r="K307" s="115" t="s">
        <v>210</v>
      </c>
      <c r="L307" s="114"/>
      <c r="M307" s="121"/>
      <c r="N307" s="114"/>
      <c r="O307" s="114"/>
      <c r="P307" s="121"/>
      <c r="Q307" s="114"/>
    </row>
    <row r="308" spans="2:17" ht="21" x14ac:dyDescent="0.35">
      <c r="B308" s="106">
        <v>14</v>
      </c>
      <c r="C308" s="27" t="s">
        <v>93</v>
      </c>
      <c r="D308" s="27" t="s">
        <v>584</v>
      </c>
      <c r="E308" s="110">
        <v>45362</v>
      </c>
      <c r="F308" s="109">
        <v>0.70138888888888884</v>
      </c>
      <c r="G308" s="113" t="s">
        <v>2857</v>
      </c>
      <c r="H308" s="113" t="s">
        <v>2858</v>
      </c>
      <c r="I308" s="113" t="s">
        <v>353</v>
      </c>
      <c r="J308" s="115">
        <v>5000</v>
      </c>
      <c r="K308" s="115">
        <v>1995000</v>
      </c>
      <c r="L308" s="28" t="s">
        <v>23</v>
      </c>
      <c r="M308" s="28" t="s">
        <v>23</v>
      </c>
      <c r="N308" s="28" t="s">
        <v>23</v>
      </c>
      <c r="O308" s="28" t="s">
        <v>23</v>
      </c>
      <c r="P308" s="28" t="s">
        <v>23</v>
      </c>
      <c r="Q308" s="28" t="s">
        <v>23</v>
      </c>
    </row>
    <row r="309" spans="2:17" ht="21" x14ac:dyDescent="0.35">
      <c r="B309" s="106">
        <v>15</v>
      </c>
      <c r="C309" s="27" t="s">
        <v>93</v>
      </c>
      <c r="D309" s="27" t="s">
        <v>584</v>
      </c>
      <c r="E309" s="110">
        <v>45373</v>
      </c>
      <c r="F309" s="28">
        <v>6.8356481481481476E-2</v>
      </c>
      <c r="G309" s="113" t="s">
        <v>2859</v>
      </c>
      <c r="H309" s="113" t="s">
        <v>406</v>
      </c>
      <c r="I309" s="113" t="s">
        <v>2860</v>
      </c>
      <c r="J309" s="115">
        <v>30000</v>
      </c>
      <c r="K309" s="115">
        <v>170000</v>
      </c>
      <c r="L309" s="28" t="s">
        <v>23</v>
      </c>
      <c r="M309" s="28" t="s">
        <v>23</v>
      </c>
      <c r="N309" s="28" t="s">
        <v>23</v>
      </c>
      <c r="O309" s="28" t="s">
        <v>23</v>
      </c>
      <c r="P309" s="28" t="s">
        <v>23</v>
      </c>
      <c r="Q309" s="28" t="s">
        <v>23</v>
      </c>
    </row>
    <row r="310" spans="2:17" ht="21" x14ac:dyDescent="0.35">
      <c r="B310" s="106">
        <v>16</v>
      </c>
      <c r="C310" s="27" t="s">
        <v>93</v>
      </c>
      <c r="D310" s="27" t="s">
        <v>584</v>
      </c>
      <c r="E310" s="110">
        <v>45375</v>
      </c>
      <c r="F310" s="28">
        <v>6.6134259259259254E-2</v>
      </c>
      <c r="G310" s="113" t="s">
        <v>2861</v>
      </c>
      <c r="H310" s="113" t="s">
        <v>2862</v>
      </c>
      <c r="I310" s="113" t="s">
        <v>2863</v>
      </c>
      <c r="J310" s="115">
        <v>175000</v>
      </c>
      <c r="K310" s="115">
        <v>825000</v>
      </c>
      <c r="L310" s="28" t="s">
        <v>23</v>
      </c>
      <c r="M310" s="28" t="s">
        <v>23</v>
      </c>
      <c r="N310" s="28" t="s">
        <v>23</v>
      </c>
      <c r="O310" s="28" t="s">
        <v>23</v>
      </c>
      <c r="P310" s="28" t="s">
        <v>23</v>
      </c>
      <c r="Q310" s="28" t="s">
        <v>23</v>
      </c>
    </row>
    <row r="311" spans="2:17" ht="21" x14ac:dyDescent="0.35">
      <c r="B311" s="106">
        <v>17</v>
      </c>
      <c r="C311" s="27" t="s">
        <v>93</v>
      </c>
      <c r="D311" s="27" t="s">
        <v>584</v>
      </c>
      <c r="E311" s="110">
        <v>45375</v>
      </c>
      <c r="F311" s="28">
        <v>0.23315972222222223</v>
      </c>
      <c r="G311" s="113" t="s">
        <v>2864</v>
      </c>
      <c r="H311" s="113" t="s">
        <v>2865</v>
      </c>
      <c r="I311" s="113" t="s">
        <v>2866</v>
      </c>
      <c r="J311" s="115">
        <v>10000</v>
      </c>
      <c r="K311" s="115">
        <v>490000</v>
      </c>
      <c r="L311" s="28" t="s">
        <v>23</v>
      </c>
      <c r="M311" s="28" t="s">
        <v>23</v>
      </c>
      <c r="N311" s="28" t="s">
        <v>23</v>
      </c>
      <c r="O311" s="28" t="s">
        <v>23</v>
      </c>
      <c r="P311" s="28" t="s">
        <v>23</v>
      </c>
      <c r="Q311" s="28" t="s">
        <v>23</v>
      </c>
    </row>
    <row r="312" spans="2:17" ht="21" x14ac:dyDescent="0.35">
      <c r="B312" s="106">
        <v>18</v>
      </c>
      <c r="C312" s="27" t="s">
        <v>93</v>
      </c>
      <c r="D312" s="27" t="s">
        <v>584</v>
      </c>
      <c r="E312" s="110">
        <v>45381</v>
      </c>
      <c r="F312" s="28">
        <v>0.23593749999999999</v>
      </c>
      <c r="G312" s="113" t="s">
        <v>3640</v>
      </c>
      <c r="H312" s="113" t="s">
        <v>2751</v>
      </c>
      <c r="I312" s="113" t="s">
        <v>20</v>
      </c>
      <c r="J312" s="115" t="s">
        <v>20</v>
      </c>
      <c r="K312" s="115" t="s">
        <v>20</v>
      </c>
      <c r="L312" s="28" t="s">
        <v>23</v>
      </c>
      <c r="M312" s="28" t="s">
        <v>23</v>
      </c>
      <c r="N312" s="28" t="s">
        <v>23</v>
      </c>
      <c r="O312" s="28" t="s">
        <v>23</v>
      </c>
      <c r="P312" s="28" t="s">
        <v>23</v>
      </c>
      <c r="Q312" s="28" t="s">
        <v>23</v>
      </c>
    </row>
    <row r="313" spans="2:17" ht="21" x14ac:dyDescent="0.35">
      <c r="B313" s="106">
        <v>19</v>
      </c>
      <c r="C313" s="27" t="s">
        <v>93</v>
      </c>
      <c r="D313" s="27" t="s">
        <v>1792</v>
      </c>
      <c r="E313" s="110">
        <v>45368</v>
      </c>
      <c r="F313" s="109">
        <v>0.57638888888888884</v>
      </c>
      <c r="G313" s="113" t="s">
        <v>2867</v>
      </c>
      <c r="H313" s="113" t="s">
        <v>2868</v>
      </c>
      <c r="I313" s="113" t="s">
        <v>2757</v>
      </c>
      <c r="J313" s="115" t="s">
        <v>155</v>
      </c>
      <c r="K313" s="115" t="s">
        <v>1840</v>
      </c>
      <c r="L313" s="28" t="s">
        <v>23</v>
      </c>
      <c r="M313" s="28" t="s">
        <v>23</v>
      </c>
      <c r="N313" s="28" t="s">
        <v>23</v>
      </c>
      <c r="O313" s="28" t="s">
        <v>23</v>
      </c>
      <c r="P313" s="28" t="s">
        <v>23</v>
      </c>
      <c r="Q313" s="28" t="s">
        <v>23</v>
      </c>
    </row>
    <row r="314" spans="2:17" ht="21" x14ac:dyDescent="0.35">
      <c r="B314" s="106">
        <v>20</v>
      </c>
      <c r="C314" s="27" t="s">
        <v>93</v>
      </c>
      <c r="D314" s="27" t="s">
        <v>1791</v>
      </c>
      <c r="E314" s="110">
        <v>45358</v>
      </c>
      <c r="F314" s="109">
        <v>0.67569444444444449</v>
      </c>
      <c r="G314" s="113" t="s">
        <v>2869</v>
      </c>
      <c r="H314" s="113" t="s">
        <v>2870</v>
      </c>
      <c r="I314" s="104" t="s">
        <v>2871</v>
      </c>
      <c r="J314" s="115" t="s">
        <v>211</v>
      </c>
      <c r="K314" s="115" t="s">
        <v>157</v>
      </c>
      <c r="L314" s="28" t="s">
        <v>23</v>
      </c>
      <c r="M314" s="28" t="s">
        <v>23</v>
      </c>
      <c r="N314" s="28" t="s">
        <v>23</v>
      </c>
      <c r="O314" s="28" t="s">
        <v>23</v>
      </c>
      <c r="P314" s="28" t="s">
        <v>23</v>
      </c>
      <c r="Q314" s="28" t="s">
        <v>23</v>
      </c>
    </row>
    <row r="315" spans="2:17" ht="39" x14ac:dyDescent="0.35">
      <c r="B315" s="106">
        <v>21</v>
      </c>
      <c r="C315" s="27" t="s">
        <v>93</v>
      </c>
      <c r="D315" s="27" t="s">
        <v>1791</v>
      </c>
      <c r="E315" s="110">
        <v>45364</v>
      </c>
      <c r="F315" s="109">
        <v>0.57430555555555551</v>
      </c>
      <c r="G315" s="113" t="s">
        <v>2872</v>
      </c>
      <c r="H315" s="113" t="s">
        <v>2873</v>
      </c>
      <c r="I315" s="104" t="s">
        <v>2874</v>
      </c>
      <c r="J315" s="115" t="s">
        <v>142</v>
      </c>
      <c r="K315" s="115" t="s">
        <v>212</v>
      </c>
      <c r="L315" s="28" t="s">
        <v>23</v>
      </c>
      <c r="M315" s="28" t="s">
        <v>23</v>
      </c>
      <c r="N315" s="28" t="s">
        <v>23</v>
      </c>
      <c r="O315" s="28" t="s">
        <v>23</v>
      </c>
      <c r="P315" s="28" t="s">
        <v>23</v>
      </c>
      <c r="Q315" s="28" t="s">
        <v>23</v>
      </c>
    </row>
    <row r="316" spans="2:17" ht="21" x14ac:dyDescent="0.35">
      <c r="B316" s="106">
        <v>22</v>
      </c>
      <c r="C316" s="27" t="s">
        <v>93</v>
      </c>
      <c r="D316" s="27" t="s">
        <v>1791</v>
      </c>
      <c r="E316" s="110">
        <v>45364</v>
      </c>
      <c r="F316" s="109">
        <v>0.76249999999999996</v>
      </c>
      <c r="G316" s="113" t="s">
        <v>2875</v>
      </c>
      <c r="H316" s="113" t="s">
        <v>2876</v>
      </c>
      <c r="I316" s="104" t="s">
        <v>2877</v>
      </c>
      <c r="J316" s="115" t="s">
        <v>213</v>
      </c>
      <c r="K316" s="115" t="s">
        <v>127</v>
      </c>
      <c r="L316" s="28" t="s">
        <v>23</v>
      </c>
      <c r="M316" s="28" t="s">
        <v>23</v>
      </c>
      <c r="N316" s="28" t="s">
        <v>23</v>
      </c>
      <c r="O316" s="28" t="s">
        <v>23</v>
      </c>
      <c r="P316" s="28" t="s">
        <v>23</v>
      </c>
      <c r="Q316" s="28" t="s">
        <v>23</v>
      </c>
    </row>
    <row r="317" spans="2:17" ht="39" x14ac:dyDescent="0.35">
      <c r="B317" s="106">
        <v>23</v>
      </c>
      <c r="C317" s="27" t="s">
        <v>93</v>
      </c>
      <c r="D317" s="27" t="s">
        <v>1791</v>
      </c>
      <c r="E317" s="110">
        <v>45372</v>
      </c>
      <c r="F317" s="109">
        <v>0.44930555555555557</v>
      </c>
      <c r="G317" s="113" t="s">
        <v>2878</v>
      </c>
      <c r="H317" s="113" t="s">
        <v>2879</v>
      </c>
      <c r="I317" s="104" t="s">
        <v>3639</v>
      </c>
      <c r="J317" s="115" t="s">
        <v>214</v>
      </c>
      <c r="K317" s="115" t="s">
        <v>215</v>
      </c>
      <c r="L317" s="28" t="s">
        <v>23</v>
      </c>
      <c r="M317" s="28" t="s">
        <v>23</v>
      </c>
      <c r="N317" s="28" t="s">
        <v>23</v>
      </c>
      <c r="O317" s="28" t="s">
        <v>23</v>
      </c>
      <c r="P317" s="28" t="s">
        <v>23</v>
      </c>
      <c r="Q317" s="28" t="s">
        <v>23</v>
      </c>
    </row>
    <row r="318" spans="2:17" ht="39" x14ac:dyDescent="0.35">
      <c r="B318" s="106">
        <v>24</v>
      </c>
      <c r="C318" s="27" t="s">
        <v>93</v>
      </c>
      <c r="D318" s="27" t="s">
        <v>1791</v>
      </c>
      <c r="E318" s="110">
        <v>45372</v>
      </c>
      <c r="F318" s="109">
        <v>0.62013888888888891</v>
      </c>
      <c r="G318" s="113" t="s">
        <v>2880</v>
      </c>
      <c r="H318" s="113" t="s">
        <v>309</v>
      </c>
      <c r="I318" s="104" t="s">
        <v>3638</v>
      </c>
      <c r="J318" s="115" t="s">
        <v>216</v>
      </c>
      <c r="K318" s="115" t="s">
        <v>217</v>
      </c>
      <c r="L318" s="28" t="s">
        <v>23</v>
      </c>
      <c r="M318" s="28" t="s">
        <v>23</v>
      </c>
      <c r="N318" s="28" t="s">
        <v>23</v>
      </c>
      <c r="O318" s="28" t="s">
        <v>23</v>
      </c>
      <c r="P318" s="28" t="s">
        <v>23</v>
      </c>
      <c r="Q318" s="28" t="s">
        <v>23</v>
      </c>
    </row>
    <row r="319" spans="2:17" ht="21" x14ac:dyDescent="0.35">
      <c r="B319" s="106">
        <v>25</v>
      </c>
      <c r="C319" s="27" t="s">
        <v>93</v>
      </c>
      <c r="D319" s="27" t="s">
        <v>1791</v>
      </c>
      <c r="E319" s="110">
        <v>45372</v>
      </c>
      <c r="F319" s="109">
        <v>0.8125</v>
      </c>
      <c r="G319" s="113" t="s">
        <v>2881</v>
      </c>
      <c r="H319" s="113" t="s">
        <v>309</v>
      </c>
      <c r="I319" s="104" t="s">
        <v>3637</v>
      </c>
      <c r="J319" s="115" t="s">
        <v>214</v>
      </c>
      <c r="K319" s="115" t="s">
        <v>218</v>
      </c>
      <c r="L319" s="28" t="s">
        <v>23</v>
      </c>
      <c r="M319" s="28" t="s">
        <v>23</v>
      </c>
      <c r="N319" s="28" t="s">
        <v>23</v>
      </c>
      <c r="O319" s="28" t="s">
        <v>23</v>
      </c>
      <c r="P319" s="28" t="s">
        <v>23</v>
      </c>
      <c r="Q319" s="28" t="s">
        <v>23</v>
      </c>
    </row>
    <row r="320" spans="2:17" ht="39" x14ac:dyDescent="0.35">
      <c r="B320" s="106">
        <v>26</v>
      </c>
      <c r="C320" s="27" t="s">
        <v>93</v>
      </c>
      <c r="D320" s="27" t="s">
        <v>1791</v>
      </c>
      <c r="E320" s="110">
        <v>45379</v>
      </c>
      <c r="F320" s="109">
        <v>0.90625</v>
      </c>
      <c r="G320" s="113" t="s">
        <v>2882</v>
      </c>
      <c r="H320" s="113" t="s">
        <v>2873</v>
      </c>
      <c r="I320" s="104" t="s">
        <v>3632</v>
      </c>
      <c r="J320" s="115" t="s">
        <v>219</v>
      </c>
      <c r="K320" s="115" t="s">
        <v>220</v>
      </c>
      <c r="L320" s="28" t="s">
        <v>23</v>
      </c>
      <c r="M320" s="28" t="s">
        <v>23</v>
      </c>
      <c r="N320" s="28" t="s">
        <v>23</v>
      </c>
      <c r="O320" s="28" t="s">
        <v>23</v>
      </c>
      <c r="P320" s="28" t="s">
        <v>23</v>
      </c>
      <c r="Q320" s="28" t="s">
        <v>23</v>
      </c>
    </row>
    <row r="321" spans="2:17" ht="21" x14ac:dyDescent="0.35">
      <c r="B321" s="106">
        <v>27</v>
      </c>
      <c r="C321" s="27" t="s">
        <v>93</v>
      </c>
      <c r="D321" s="27" t="s">
        <v>1791</v>
      </c>
      <c r="E321" s="110">
        <v>45380</v>
      </c>
      <c r="F321" s="109">
        <v>0.90486111111111112</v>
      </c>
      <c r="G321" s="113" t="s">
        <v>2875</v>
      </c>
      <c r="H321" s="113" t="s">
        <v>2873</v>
      </c>
      <c r="I321" s="104" t="s">
        <v>3636</v>
      </c>
      <c r="J321" s="115" t="s">
        <v>221</v>
      </c>
      <c r="K321" s="115" t="s">
        <v>222</v>
      </c>
      <c r="L321" s="28" t="s">
        <v>23</v>
      </c>
      <c r="M321" s="28" t="s">
        <v>23</v>
      </c>
      <c r="N321" s="28" t="s">
        <v>23</v>
      </c>
      <c r="O321" s="28" t="s">
        <v>23</v>
      </c>
      <c r="P321" s="28" t="s">
        <v>23</v>
      </c>
      <c r="Q321" s="28" t="s">
        <v>23</v>
      </c>
    </row>
    <row r="322" spans="2:17" ht="21" x14ac:dyDescent="0.35">
      <c r="B322" s="27">
        <v>28</v>
      </c>
      <c r="C322" s="27" t="s">
        <v>93</v>
      </c>
      <c r="D322" s="28" t="s">
        <v>587</v>
      </c>
      <c r="E322" s="108">
        <v>45363</v>
      </c>
      <c r="F322" s="109">
        <v>0.64097222222222228</v>
      </c>
      <c r="G322" s="104" t="s">
        <v>2883</v>
      </c>
      <c r="H322" s="104" t="s">
        <v>2884</v>
      </c>
      <c r="I322" s="104" t="s">
        <v>2885</v>
      </c>
      <c r="J322" s="115">
        <v>500000</v>
      </c>
      <c r="K322" s="115">
        <v>150000</v>
      </c>
      <c r="L322" s="28" t="s">
        <v>23</v>
      </c>
      <c r="M322" s="28" t="s">
        <v>23</v>
      </c>
      <c r="N322" s="28" t="s">
        <v>23</v>
      </c>
      <c r="O322" s="28" t="s">
        <v>23</v>
      </c>
      <c r="P322" s="28">
        <v>10</v>
      </c>
      <c r="Q322" s="28" t="s">
        <v>23</v>
      </c>
    </row>
    <row r="323" spans="2:17" ht="39" x14ac:dyDescent="0.35">
      <c r="B323" s="27">
        <v>1</v>
      </c>
      <c r="C323" s="27" t="s">
        <v>93</v>
      </c>
      <c r="D323" s="27" t="s">
        <v>94</v>
      </c>
      <c r="E323" s="108">
        <v>45413</v>
      </c>
      <c r="F323" s="109">
        <v>0.13125000000000001</v>
      </c>
      <c r="G323" s="104" t="s">
        <v>2886</v>
      </c>
      <c r="H323" s="104" t="s">
        <v>406</v>
      </c>
      <c r="I323" s="104" t="s">
        <v>2887</v>
      </c>
      <c r="J323" s="115" t="s">
        <v>223</v>
      </c>
      <c r="K323" s="115" t="s">
        <v>224</v>
      </c>
      <c r="L323" s="28" t="s">
        <v>75</v>
      </c>
      <c r="M323" s="28" t="s">
        <v>75</v>
      </c>
      <c r="N323" s="28" t="s">
        <v>75</v>
      </c>
      <c r="O323" s="28" t="s">
        <v>75</v>
      </c>
      <c r="P323" s="28" t="s">
        <v>75</v>
      </c>
      <c r="Q323" s="28" t="s">
        <v>75</v>
      </c>
    </row>
    <row r="324" spans="2:17" ht="39" x14ac:dyDescent="0.35">
      <c r="B324" s="27">
        <v>2</v>
      </c>
      <c r="C324" s="27" t="s">
        <v>93</v>
      </c>
      <c r="D324" s="27" t="s">
        <v>94</v>
      </c>
      <c r="E324" s="108">
        <v>45413</v>
      </c>
      <c r="F324" s="109">
        <v>0.90902777777777777</v>
      </c>
      <c r="G324" s="104" t="s">
        <v>2888</v>
      </c>
      <c r="H324" s="104" t="s">
        <v>2889</v>
      </c>
      <c r="I324" s="104" t="s">
        <v>2890</v>
      </c>
      <c r="J324" s="115" t="s">
        <v>20</v>
      </c>
      <c r="K324" s="115" t="s">
        <v>145</v>
      </c>
      <c r="L324" s="28" t="s">
        <v>75</v>
      </c>
      <c r="M324" s="28" t="s">
        <v>75</v>
      </c>
      <c r="N324" s="28" t="s">
        <v>75</v>
      </c>
      <c r="O324" s="28" t="s">
        <v>75</v>
      </c>
      <c r="P324" s="28" t="s">
        <v>75</v>
      </c>
      <c r="Q324" s="28" t="s">
        <v>75</v>
      </c>
    </row>
    <row r="325" spans="2:17" ht="39" x14ac:dyDescent="0.35">
      <c r="B325" s="27">
        <v>3</v>
      </c>
      <c r="C325" s="27" t="s">
        <v>93</v>
      </c>
      <c r="D325" s="27" t="s">
        <v>94</v>
      </c>
      <c r="E325" s="108">
        <v>45414</v>
      </c>
      <c r="F325" s="109">
        <v>0.6430555555555556</v>
      </c>
      <c r="G325" s="104" t="s">
        <v>2891</v>
      </c>
      <c r="H325" s="104" t="s">
        <v>2892</v>
      </c>
      <c r="I325" s="104" t="s">
        <v>2893</v>
      </c>
      <c r="J325" s="115" t="s">
        <v>225</v>
      </c>
      <c r="K325" s="115" t="s">
        <v>178</v>
      </c>
      <c r="L325" s="28" t="s">
        <v>75</v>
      </c>
      <c r="M325" s="28" t="s">
        <v>75</v>
      </c>
      <c r="N325" s="28" t="s">
        <v>75</v>
      </c>
      <c r="O325" s="28" t="s">
        <v>75</v>
      </c>
      <c r="P325" s="28" t="s">
        <v>75</v>
      </c>
      <c r="Q325" s="28" t="s">
        <v>75</v>
      </c>
    </row>
    <row r="326" spans="2:17" ht="21" x14ac:dyDescent="0.35">
      <c r="B326" s="27">
        <v>4</v>
      </c>
      <c r="C326" s="27" t="s">
        <v>93</v>
      </c>
      <c r="D326" s="27" t="s">
        <v>94</v>
      </c>
      <c r="E326" s="108">
        <v>45414</v>
      </c>
      <c r="F326" s="109">
        <v>0.98472222222222228</v>
      </c>
      <c r="G326" s="104" t="s">
        <v>2894</v>
      </c>
      <c r="H326" s="104" t="s">
        <v>112</v>
      </c>
      <c r="I326" s="104" t="s">
        <v>2895</v>
      </c>
      <c r="J326" s="115" t="s">
        <v>226</v>
      </c>
      <c r="K326" s="115" t="s">
        <v>227</v>
      </c>
      <c r="L326" s="28" t="s">
        <v>75</v>
      </c>
      <c r="M326" s="28" t="s">
        <v>75</v>
      </c>
      <c r="N326" s="28" t="s">
        <v>75</v>
      </c>
      <c r="O326" s="28" t="s">
        <v>75</v>
      </c>
      <c r="P326" s="28" t="s">
        <v>75</v>
      </c>
      <c r="Q326" s="28" t="s">
        <v>75</v>
      </c>
    </row>
    <row r="327" spans="2:17" ht="39" x14ac:dyDescent="0.35">
      <c r="B327" s="27">
        <v>5</v>
      </c>
      <c r="C327" s="27" t="s">
        <v>93</v>
      </c>
      <c r="D327" s="27" t="s">
        <v>94</v>
      </c>
      <c r="E327" s="108">
        <v>45415</v>
      </c>
      <c r="F327" s="109">
        <v>0.51388888888888884</v>
      </c>
      <c r="G327" s="104" t="s">
        <v>2896</v>
      </c>
      <c r="H327" s="104" t="s">
        <v>2668</v>
      </c>
      <c r="I327" s="104" t="s">
        <v>2897</v>
      </c>
      <c r="J327" s="115" t="s">
        <v>20</v>
      </c>
      <c r="K327" s="115" t="s">
        <v>145</v>
      </c>
      <c r="L327" s="28" t="s">
        <v>75</v>
      </c>
      <c r="M327" s="28" t="s">
        <v>75</v>
      </c>
      <c r="N327" s="28" t="s">
        <v>75</v>
      </c>
      <c r="O327" s="28" t="s">
        <v>75</v>
      </c>
      <c r="P327" s="28" t="s">
        <v>75</v>
      </c>
      <c r="Q327" s="28" t="s">
        <v>75</v>
      </c>
    </row>
    <row r="328" spans="2:17" ht="39" x14ac:dyDescent="0.35">
      <c r="B328" s="27">
        <v>6</v>
      </c>
      <c r="C328" s="27" t="s">
        <v>93</v>
      </c>
      <c r="D328" s="27" t="s">
        <v>94</v>
      </c>
      <c r="E328" s="108">
        <v>45416</v>
      </c>
      <c r="F328" s="109">
        <v>0.82986111111111116</v>
      </c>
      <c r="G328" s="104" t="s">
        <v>2898</v>
      </c>
      <c r="H328" s="104" t="s">
        <v>2889</v>
      </c>
      <c r="I328" s="104" t="s">
        <v>2669</v>
      </c>
      <c r="J328" s="115" t="s">
        <v>20</v>
      </c>
      <c r="K328" s="115" t="s">
        <v>229</v>
      </c>
      <c r="L328" s="28" t="s">
        <v>75</v>
      </c>
      <c r="M328" s="28" t="s">
        <v>75</v>
      </c>
      <c r="N328" s="28" t="s">
        <v>75</v>
      </c>
      <c r="O328" s="28" t="s">
        <v>75</v>
      </c>
      <c r="P328" s="28" t="s">
        <v>75</v>
      </c>
      <c r="Q328" s="28" t="s">
        <v>75</v>
      </c>
    </row>
    <row r="329" spans="2:17" ht="39" x14ac:dyDescent="0.35">
      <c r="B329" s="27">
        <v>7</v>
      </c>
      <c r="C329" s="27" t="s">
        <v>93</v>
      </c>
      <c r="D329" s="27" t="s">
        <v>94</v>
      </c>
      <c r="E329" s="108">
        <v>45417</v>
      </c>
      <c r="F329" s="109">
        <v>0.82986111111111116</v>
      </c>
      <c r="G329" s="104" t="s">
        <v>2899</v>
      </c>
      <c r="H329" s="104" t="s">
        <v>2900</v>
      </c>
      <c r="I329" s="104" t="s">
        <v>2901</v>
      </c>
      <c r="J329" s="115" t="s">
        <v>157</v>
      </c>
      <c r="K329" s="115" t="s">
        <v>230</v>
      </c>
      <c r="L329" s="28" t="s">
        <v>75</v>
      </c>
      <c r="M329" s="28" t="s">
        <v>75</v>
      </c>
      <c r="N329" s="28" t="s">
        <v>75</v>
      </c>
      <c r="O329" s="28" t="s">
        <v>75</v>
      </c>
      <c r="P329" s="28">
        <v>1</v>
      </c>
      <c r="Q329" s="28" t="s">
        <v>75</v>
      </c>
    </row>
    <row r="330" spans="2:17" ht="39" x14ac:dyDescent="0.35">
      <c r="B330" s="106">
        <v>8</v>
      </c>
      <c r="C330" s="27" t="s">
        <v>93</v>
      </c>
      <c r="D330" s="27" t="s">
        <v>94</v>
      </c>
      <c r="E330" s="110">
        <v>45417</v>
      </c>
      <c r="F330" s="109">
        <v>0.82986111111111116</v>
      </c>
      <c r="G330" s="104" t="s">
        <v>3644</v>
      </c>
      <c r="H330" s="113" t="s">
        <v>2902</v>
      </c>
      <c r="I330" s="113" t="s">
        <v>2903</v>
      </c>
      <c r="J330" s="115" t="s">
        <v>231</v>
      </c>
      <c r="K330" s="115" t="s">
        <v>232</v>
      </c>
      <c r="L330" s="28" t="s">
        <v>75</v>
      </c>
      <c r="M330" s="28" t="s">
        <v>75</v>
      </c>
      <c r="N330" s="28" t="s">
        <v>75</v>
      </c>
      <c r="O330" s="28" t="s">
        <v>75</v>
      </c>
      <c r="P330" s="28">
        <v>8</v>
      </c>
      <c r="Q330" s="28" t="s">
        <v>75</v>
      </c>
    </row>
    <row r="331" spans="2:17" ht="39" x14ac:dyDescent="0.35">
      <c r="B331" s="27">
        <v>9</v>
      </c>
      <c r="C331" s="27" t="s">
        <v>93</v>
      </c>
      <c r="D331" s="27" t="s">
        <v>94</v>
      </c>
      <c r="E331" s="108">
        <v>45417</v>
      </c>
      <c r="F331" s="109">
        <v>0.82986111111111116</v>
      </c>
      <c r="G331" s="104" t="s">
        <v>2904</v>
      </c>
      <c r="H331" s="104" t="s">
        <v>2905</v>
      </c>
      <c r="I331" s="104" t="s">
        <v>2906</v>
      </c>
      <c r="J331" s="115" t="s">
        <v>157</v>
      </c>
      <c r="K331" s="115" t="s">
        <v>233</v>
      </c>
      <c r="L331" s="28" t="s">
        <v>75</v>
      </c>
      <c r="M331" s="28" t="s">
        <v>75</v>
      </c>
      <c r="N331" s="28" t="s">
        <v>75</v>
      </c>
      <c r="O331" s="28" t="s">
        <v>75</v>
      </c>
      <c r="P331" s="28">
        <v>5</v>
      </c>
      <c r="Q331" s="28" t="s">
        <v>75</v>
      </c>
    </row>
    <row r="332" spans="2:17" ht="39" x14ac:dyDescent="0.35">
      <c r="B332" s="27">
        <v>10</v>
      </c>
      <c r="C332" s="27" t="s">
        <v>93</v>
      </c>
      <c r="D332" s="27" t="s">
        <v>94</v>
      </c>
      <c r="E332" s="108">
        <v>45417</v>
      </c>
      <c r="F332" s="109">
        <v>0.82986111111111116</v>
      </c>
      <c r="G332" s="104" t="s">
        <v>2907</v>
      </c>
      <c r="H332" s="104" t="s">
        <v>2908</v>
      </c>
      <c r="I332" s="104" t="s">
        <v>2909</v>
      </c>
      <c r="J332" s="115" t="s">
        <v>20</v>
      </c>
      <c r="K332" s="115" t="s">
        <v>145</v>
      </c>
      <c r="L332" s="28" t="s">
        <v>75</v>
      </c>
      <c r="M332" s="28" t="s">
        <v>75</v>
      </c>
      <c r="N332" s="28" t="s">
        <v>75</v>
      </c>
      <c r="O332" s="28" t="s">
        <v>75</v>
      </c>
      <c r="P332" s="28" t="s">
        <v>75</v>
      </c>
      <c r="Q332" s="28" t="s">
        <v>75</v>
      </c>
    </row>
    <row r="333" spans="2:17" ht="21" x14ac:dyDescent="0.35">
      <c r="B333" s="27">
        <v>11</v>
      </c>
      <c r="C333" s="27" t="s">
        <v>93</v>
      </c>
      <c r="D333" s="27" t="s">
        <v>94</v>
      </c>
      <c r="E333" s="108">
        <v>45418</v>
      </c>
      <c r="F333" s="109">
        <v>0.8041666666666667</v>
      </c>
      <c r="G333" s="104" t="s">
        <v>2910</v>
      </c>
      <c r="H333" s="104" t="s">
        <v>2911</v>
      </c>
      <c r="I333" s="104" t="s">
        <v>2663</v>
      </c>
      <c r="J333" s="115" t="s">
        <v>20</v>
      </c>
      <c r="K333" s="115" t="s">
        <v>20</v>
      </c>
      <c r="L333" s="28" t="s">
        <v>75</v>
      </c>
      <c r="M333" s="28" t="s">
        <v>75</v>
      </c>
      <c r="N333" s="28" t="s">
        <v>75</v>
      </c>
      <c r="O333" s="28" t="s">
        <v>75</v>
      </c>
      <c r="P333" s="28" t="s">
        <v>75</v>
      </c>
      <c r="Q333" s="28" t="s">
        <v>75</v>
      </c>
    </row>
    <row r="334" spans="2:17" ht="39" x14ac:dyDescent="0.35">
      <c r="B334" s="27">
        <v>12</v>
      </c>
      <c r="C334" s="27" t="s">
        <v>93</v>
      </c>
      <c r="D334" s="27" t="s">
        <v>94</v>
      </c>
      <c r="E334" s="108">
        <v>45419</v>
      </c>
      <c r="F334" s="109">
        <v>0.52916666666666667</v>
      </c>
      <c r="G334" s="104" t="s">
        <v>2912</v>
      </c>
      <c r="H334" s="104" t="s">
        <v>2665</v>
      </c>
      <c r="I334" s="104" t="s">
        <v>2913</v>
      </c>
      <c r="J334" s="115" t="s">
        <v>145</v>
      </c>
      <c r="K334" s="115" t="s">
        <v>173</v>
      </c>
      <c r="L334" s="28" t="s">
        <v>75</v>
      </c>
      <c r="M334" s="28" t="s">
        <v>75</v>
      </c>
      <c r="N334" s="28" t="s">
        <v>75</v>
      </c>
      <c r="O334" s="28" t="s">
        <v>75</v>
      </c>
      <c r="P334" s="28">
        <v>4</v>
      </c>
      <c r="Q334" s="28" t="s">
        <v>75</v>
      </c>
    </row>
    <row r="335" spans="2:17" ht="39" x14ac:dyDescent="0.35">
      <c r="B335" s="27">
        <v>13</v>
      </c>
      <c r="C335" s="27" t="s">
        <v>93</v>
      </c>
      <c r="D335" s="27" t="s">
        <v>94</v>
      </c>
      <c r="E335" s="108">
        <v>45419</v>
      </c>
      <c r="F335" s="109">
        <v>0.10138888888888889</v>
      </c>
      <c r="G335" s="104" t="s">
        <v>2914</v>
      </c>
      <c r="H335" s="104" t="s">
        <v>2665</v>
      </c>
      <c r="I335" s="104" t="s">
        <v>2915</v>
      </c>
      <c r="J335" s="115" t="s">
        <v>157</v>
      </c>
      <c r="K335" s="115" t="s">
        <v>235</v>
      </c>
      <c r="L335" s="28" t="s">
        <v>75</v>
      </c>
      <c r="M335" s="28" t="s">
        <v>75</v>
      </c>
      <c r="N335" s="28" t="s">
        <v>75</v>
      </c>
      <c r="O335" s="28" t="s">
        <v>75</v>
      </c>
      <c r="P335" s="28">
        <v>2</v>
      </c>
      <c r="Q335" s="28" t="s">
        <v>75</v>
      </c>
    </row>
    <row r="336" spans="2:17" ht="39" x14ac:dyDescent="0.35">
      <c r="B336" s="27">
        <v>14</v>
      </c>
      <c r="C336" s="27" t="s">
        <v>93</v>
      </c>
      <c r="D336" s="27" t="s">
        <v>94</v>
      </c>
      <c r="E336" s="108">
        <v>45419</v>
      </c>
      <c r="F336" s="109">
        <v>0.68055555555555558</v>
      </c>
      <c r="G336" s="104" t="s">
        <v>2916</v>
      </c>
      <c r="H336" s="104" t="s">
        <v>2917</v>
      </c>
      <c r="I336" s="104" t="s">
        <v>2918</v>
      </c>
      <c r="J336" s="115" t="s">
        <v>236</v>
      </c>
      <c r="K336" s="115" t="s">
        <v>237</v>
      </c>
      <c r="L336" s="28" t="s">
        <v>75</v>
      </c>
      <c r="M336" s="28" t="s">
        <v>75</v>
      </c>
      <c r="N336" s="28" t="s">
        <v>75</v>
      </c>
      <c r="O336" s="28" t="s">
        <v>75</v>
      </c>
      <c r="P336" s="28">
        <v>375</v>
      </c>
      <c r="Q336" s="28" t="s">
        <v>75</v>
      </c>
    </row>
    <row r="337" spans="2:17" ht="39" x14ac:dyDescent="0.35">
      <c r="B337" s="27">
        <v>15</v>
      </c>
      <c r="C337" s="27" t="s">
        <v>93</v>
      </c>
      <c r="D337" s="27" t="s">
        <v>94</v>
      </c>
      <c r="E337" s="108">
        <v>45421</v>
      </c>
      <c r="F337" s="109">
        <v>6.7361111111111108E-2</v>
      </c>
      <c r="G337" s="104" t="s">
        <v>2919</v>
      </c>
      <c r="H337" s="104" t="s">
        <v>2920</v>
      </c>
      <c r="I337" s="104" t="s">
        <v>2921</v>
      </c>
      <c r="J337" s="115" t="s">
        <v>171</v>
      </c>
      <c r="K337" s="115" t="s">
        <v>238</v>
      </c>
      <c r="L337" s="28" t="s">
        <v>75</v>
      </c>
      <c r="M337" s="28" t="s">
        <v>75</v>
      </c>
      <c r="N337" s="28" t="s">
        <v>75</v>
      </c>
      <c r="O337" s="28" t="s">
        <v>75</v>
      </c>
      <c r="P337" s="28" t="s">
        <v>75</v>
      </c>
      <c r="Q337" s="28" t="s">
        <v>75</v>
      </c>
    </row>
    <row r="338" spans="2:17" ht="39" x14ac:dyDescent="0.35">
      <c r="B338" s="27">
        <v>16</v>
      </c>
      <c r="C338" s="27" t="s">
        <v>93</v>
      </c>
      <c r="D338" s="27" t="s">
        <v>94</v>
      </c>
      <c r="E338" s="108">
        <v>45421</v>
      </c>
      <c r="F338" s="109">
        <v>0.34791666666666665</v>
      </c>
      <c r="G338" s="104" t="s">
        <v>2922</v>
      </c>
      <c r="H338" s="104" t="s">
        <v>2923</v>
      </c>
      <c r="I338" s="104" t="s">
        <v>2924</v>
      </c>
      <c r="J338" s="115" t="s">
        <v>143</v>
      </c>
      <c r="K338" s="115" t="s">
        <v>239</v>
      </c>
      <c r="L338" s="28" t="s">
        <v>75</v>
      </c>
      <c r="M338" s="28" t="s">
        <v>75</v>
      </c>
      <c r="N338" s="28" t="s">
        <v>75</v>
      </c>
      <c r="O338" s="28" t="s">
        <v>75</v>
      </c>
      <c r="P338" s="28">
        <v>20</v>
      </c>
      <c r="Q338" s="28" t="s">
        <v>75</v>
      </c>
    </row>
    <row r="339" spans="2:17" ht="39" x14ac:dyDescent="0.35">
      <c r="B339" s="27">
        <v>17</v>
      </c>
      <c r="C339" s="27" t="s">
        <v>93</v>
      </c>
      <c r="D339" s="27" t="s">
        <v>94</v>
      </c>
      <c r="E339" s="108">
        <v>45423</v>
      </c>
      <c r="F339" s="109">
        <v>4.1666666666666664E-2</v>
      </c>
      <c r="G339" s="104" t="s">
        <v>2925</v>
      </c>
      <c r="H339" s="104" t="s">
        <v>2668</v>
      </c>
      <c r="I339" s="104" t="s">
        <v>2926</v>
      </c>
      <c r="J339" s="115" t="s">
        <v>20</v>
      </c>
      <c r="K339" s="115" t="s">
        <v>240</v>
      </c>
      <c r="L339" s="28" t="s">
        <v>75</v>
      </c>
      <c r="M339" s="28" t="s">
        <v>75</v>
      </c>
      <c r="N339" s="28" t="s">
        <v>75</v>
      </c>
      <c r="O339" s="28" t="s">
        <v>75</v>
      </c>
      <c r="P339" s="28" t="s">
        <v>75</v>
      </c>
      <c r="Q339" s="28" t="s">
        <v>75</v>
      </c>
    </row>
    <row r="340" spans="2:17" ht="21" x14ac:dyDescent="0.35">
      <c r="B340" s="27">
        <v>18</v>
      </c>
      <c r="C340" s="27" t="s">
        <v>93</v>
      </c>
      <c r="D340" s="27" t="s">
        <v>94</v>
      </c>
      <c r="E340" s="108">
        <v>45423</v>
      </c>
      <c r="F340" s="109">
        <v>0.38333333333333336</v>
      </c>
      <c r="G340" s="104" t="s">
        <v>2927</v>
      </c>
      <c r="H340" s="127" t="s">
        <v>2714</v>
      </c>
      <c r="I340" s="127"/>
      <c r="J340" s="120"/>
      <c r="K340" s="120"/>
      <c r="L340" s="28" t="s">
        <v>75</v>
      </c>
      <c r="M340" s="28" t="s">
        <v>75</v>
      </c>
      <c r="N340" s="28">
        <v>2</v>
      </c>
      <c r="O340" s="28" t="s">
        <v>75</v>
      </c>
      <c r="P340" s="28">
        <v>4</v>
      </c>
      <c r="Q340" s="28" t="s">
        <v>75</v>
      </c>
    </row>
    <row r="341" spans="2:17" ht="21" x14ac:dyDescent="0.35">
      <c r="B341" s="27">
        <v>19</v>
      </c>
      <c r="C341" s="27" t="s">
        <v>93</v>
      </c>
      <c r="D341" s="27" t="s">
        <v>94</v>
      </c>
      <c r="E341" s="108">
        <v>45426</v>
      </c>
      <c r="F341" s="109">
        <v>7.2916666666666671E-2</v>
      </c>
      <c r="G341" s="104" t="s">
        <v>2928</v>
      </c>
      <c r="H341" s="104" t="s">
        <v>2908</v>
      </c>
      <c r="I341" s="104" t="s">
        <v>2926</v>
      </c>
      <c r="J341" s="115" t="s">
        <v>20</v>
      </c>
      <c r="K341" s="115" t="s">
        <v>157</v>
      </c>
      <c r="L341" s="28" t="s">
        <v>75</v>
      </c>
      <c r="M341" s="28" t="s">
        <v>75</v>
      </c>
      <c r="N341" s="28" t="s">
        <v>75</v>
      </c>
      <c r="O341" s="28" t="s">
        <v>75</v>
      </c>
      <c r="P341" s="28" t="s">
        <v>75</v>
      </c>
      <c r="Q341" s="28" t="s">
        <v>75</v>
      </c>
    </row>
    <row r="342" spans="2:17" ht="39" x14ac:dyDescent="0.35">
      <c r="B342" s="27">
        <v>20</v>
      </c>
      <c r="C342" s="27" t="s">
        <v>93</v>
      </c>
      <c r="D342" s="27" t="s">
        <v>94</v>
      </c>
      <c r="E342" s="108">
        <v>45426</v>
      </c>
      <c r="F342" s="109">
        <v>0.46736111111111112</v>
      </c>
      <c r="G342" s="104" t="s">
        <v>2929</v>
      </c>
      <c r="H342" s="104" t="s">
        <v>2889</v>
      </c>
      <c r="I342" s="104" t="s">
        <v>2930</v>
      </c>
      <c r="J342" s="115" t="s">
        <v>20</v>
      </c>
      <c r="K342" s="115" t="s">
        <v>229</v>
      </c>
      <c r="L342" s="28" t="s">
        <v>75</v>
      </c>
      <c r="M342" s="28" t="s">
        <v>75</v>
      </c>
      <c r="N342" s="28" t="s">
        <v>75</v>
      </c>
      <c r="O342" s="28" t="s">
        <v>75</v>
      </c>
      <c r="P342" s="28" t="s">
        <v>75</v>
      </c>
      <c r="Q342" s="28" t="s">
        <v>75</v>
      </c>
    </row>
    <row r="343" spans="2:17" ht="21" x14ac:dyDescent="0.35">
      <c r="B343" s="27">
        <v>21</v>
      </c>
      <c r="C343" s="27" t="s">
        <v>93</v>
      </c>
      <c r="D343" s="27" t="s">
        <v>94</v>
      </c>
      <c r="E343" s="108">
        <v>45427</v>
      </c>
      <c r="F343" s="109">
        <v>0.86111111111111116</v>
      </c>
      <c r="G343" s="104" t="s">
        <v>2931</v>
      </c>
      <c r="H343" s="104" t="s">
        <v>2668</v>
      </c>
      <c r="I343" s="104" t="s">
        <v>2672</v>
      </c>
      <c r="J343" s="115" t="s">
        <v>20</v>
      </c>
      <c r="K343" s="115" t="s">
        <v>157</v>
      </c>
      <c r="L343" s="28" t="s">
        <v>75</v>
      </c>
      <c r="M343" s="28" t="s">
        <v>75</v>
      </c>
      <c r="N343" s="28" t="s">
        <v>75</v>
      </c>
      <c r="O343" s="28" t="s">
        <v>75</v>
      </c>
      <c r="P343" s="28" t="s">
        <v>75</v>
      </c>
      <c r="Q343" s="28" t="s">
        <v>75</v>
      </c>
    </row>
    <row r="344" spans="2:17" ht="21" x14ac:dyDescent="0.35">
      <c r="B344" s="27">
        <v>22</v>
      </c>
      <c r="C344" s="27" t="s">
        <v>93</v>
      </c>
      <c r="D344" s="27" t="s">
        <v>94</v>
      </c>
      <c r="E344" s="108">
        <v>45427</v>
      </c>
      <c r="F344" s="109">
        <v>0.86111111111111116</v>
      </c>
      <c r="G344" s="104" t="s">
        <v>2932</v>
      </c>
      <c r="H344" s="104" t="s">
        <v>2889</v>
      </c>
      <c r="I344" s="104" t="s">
        <v>2933</v>
      </c>
      <c r="J344" s="115" t="s">
        <v>241</v>
      </c>
      <c r="K344" s="115" t="s">
        <v>242</v>
      </c>
      <c r="L344" s="28" t="s">
        <v>75</v>
      </c>
      <c r="M344" s="28" t="s">
        <v>75</v>
      </c>
      <c r="N344" s="28" t="s">
        <v>75</v>
      </c>
      <c r="O344" s="28" t="s">
        <v>75</v>
      </c>
      <c r="P344" s="28" t="s">
        <v>75</v>
      </c>
      <c r="Q344" s="28" t="s">
        <v>75</v>
      </c>
    </row>
    <row r="345" spans="2:17" ht="21" x14ac:dyDescent="0.35">
      <c r="B345" s="27">
        <v>23</v>
      </c>
      <c r="C345" s="27" t="s">
        <v>93</v>
      </c>
      <c r="D345" s="27" t="s">
        <v>94</v>
      </c>
      <c r="E345" s="108">
        <v>45430</v>
      </c>
      <c r="F345" s="109">
        <v>0.5541666666666667</v>
      </c>
      <c r="G345" s="104" t="s">
        <v>2934</v>
      </c>
      <c r="H345" s="104" t="s">
        <v>2935</v>
      </c>
      <c r="I345" s="104" t="s">
        <v>2936</v>
      </c>
      <c r="J345" s="115" t="s">
        <v>243</v>
      </c>
      <c r="K345" s="115" t="s">
        <v>244</v>
      </c>
      <c r="L345" s="28" t="s">
        <v>75</v>
      </c>
      <c r="M345" s="28" t="s">
        <v>75</v>
      </c>
      <c r="N345" s="28" t="s">
        <v>75</v>
      </c>
      <c r="O345" s="28" t="s">
        <v>75</v>
      </c>
      <c r="P345" s="28" t="s">
        <v>75</v>
      </c>
      <c r="Q345" s="28" t="s">
        <v>75</v>
      </c>
    </row>
    <row r="346" spans="2:17" ht="21" x14ac:dyDescent="0.35">
      <c r="B346" s="27">
        <v>24</v>
      </c>
      <c r="C346" s="27" t="s">
        <v>93</v>
      </c>
      <c r="D346" s="27" t="s">
        <v>94</v>
      </c>
      <c r="E346" s="108">
        <v>45430</v>
      </c>
      <c r="F346" s="109">
        <v>0.82499999999999996</v>
      </c>
      <c r="G346" s="104" t="s">
        <v>2937</v>
      </c>
      <c r="H346" s="104" t="s">
        <v>2668</v>
      </c>
      <c r="I346" s="104" t="s">
        <v>2938</v>
      </c>
      <c r="J346" s="115" t="s">
        <v>141</v>
      </c>
      <c r="K346" s="115" t="s">
        <v>142</v>
      </c>
      <c r="L346" s="28" t="s">
        <v>75</v>
      </c>
      <c r="M346" s="28" t="s">
        <v>75</v>
      </c>
      <c r="N346" s="28" t="s">
        <v>75</v>
      </c>
      <c r="O346" s="28" t="s">
        <v>75</v>
      </c>
      <c r="P346" s="28" t="s">
        <v>75</v>
      </c>
      <c r="Q346" s="28" t="s">
        <v>75</v>
      </c>
    </row>
    <row r="347" spans="2:17" ht="39" x14ac:dyDescent="0.35">
      <c r="B347" s="27">
        <v>25</v>
      </c>
      <c r="C347" s="27" t="s">
        <v>93</v>
      </c>
      <c r="D347" s="27" t="s">
        <v>94</v>
      </c>
      <c r="E347" s="108">
        <v>45430</v>
      </c>
      <c r="F347" s="109">
        <v>0.91388888888888886</v>
      </c>
      <c r="G347" s="104" t="s">
        <v>2939</v>
      </c>
      <c r="H347" s="104" t="s">
        <v>2940</v>
      </c>
      <c r="I347" s="104" t="s">
        <v>2941</v>
      </c>
      <c r="J347" s="115" t="s">
        <v>152</v>
      </c>
      <c r="K347" s="115" t="s">
        <v>245</v>
      </c>
      <c r="L347" s="28" t="s">
        <v>75</v>
      </c>
      <c r="M347" s="28" t="s">
        <v>75</v>
      </c>
      <c r="N347" s="28" t="s">
        <v>75</v>
      </c>
      <c r="O347" s="28" t="s">
        <v>75</v>
      </c>
      <c r="P347" s="28">
        <v>8</v>
      </c>
      <c r="Q347" s="28" t="s">
        <v>75</v>
      </c>
    </row>
    <row r="348" spans="2:17" ht="39" x14ac:dyDescent="0.35">
      <c r="B348" s="27">
        <v>26</v>
      </c>
      <c r="C348" s="27" t="s">
        <v>93</v>
      </c>
      <c r="D348" s="27" t="s">
        <v>94</v>
      </c>
      <c r="E348" s="108">
        <v>45430</v>
      </c>
      <c r="F348" s="109">
        <v>0.98611111111111116</v>
      </c>
      <c r="G348" s="104" t="s">
        <v>2942</v>
      </c>
      <c r="H348" s="104" t="s">
        <v>2943</v>
      </c>
      <c r="I348" s="104" t="s">
        <v>2944</v>
      </c>
      <c r="J348" s="115" t="s">
        <v>171</v>
      </c>
      <c r="K348" s="115" t="s">
        <v>247</v>
      </c>
      <c r="L348" s="28" t="s">
        <v>75</v>
      </c>
      <c r="M348" s="28" t="s">
        <v>75</v>
      </c>
      <c r="N348" s="28" t="s">
        <v>75</v>
      </c>
      <c r="O348" s="28" t="s">
        <v>75</v>
      </c>
      <c r="P348" s="28" t="s">
        <v>75</v>
      </c>
      <c r="Q348" s="28" t="s">
        <v>75</v>
      </c>
    </row>
    <row r="349" spans="2:17" ht="21" x14ac:dyDescent="0.35">
      <c r="B349" s="27">
        <v>27</v>
      </c>
      <c r="C349" s="27" t="s">
        <v>93</v>
      </c>
      <c r="D349" s="27" t="s">
        <v>94</v>
      </c>
      <c r="E349" s="108">
        <v>45431</v>
      </c>
      <c r="F349" s="109">
        <v>4.5138888888888888E-2</v>
      </c>
      <c r="G349" s="104" t="s">
        <v>2945</v>
      </c>
      <c r="H349" s="104" t="s">
        <v>2665</v>
      </c>
      <c r="I349" s="104" t="s">
        <v>2946</v>
      </c>
      <c r="J349" s="115" t="s">
        <v>20</v>
      </c>
      <c r="K349" s="115" t="s">
        <v>20</v>
      </c>
      <c r="L349" s="28" t="s">
        <v>75</v>
      </c>
      <c r="M349" s="28" t="s">
        <v>75</v>
      </c>
      <c r="N349" s="28" t="s">
        <v>75</v>
      </c>
      <c r="O349" s="28" t="s">
        <v>75</v>
      </c>
      <c r="P349" s="28" t="s">
        <v>75</v>
      </c>
      <c r="Q349" s="28" t="s">
        <v>75</v>
      </c>
    </row>
    <row r="350" spans="2:17" ht="21" x14ac:dyDescent="0.35">
      <c r="B350" s="27">
        <v>28</v>
      </c>
      <c r="C350" s="27" t="s">
        <v>93</v>
      </c>
      <c r="D350" s="27" t="s">
        <v>94</v>
      </c>
      <c r="E350" s="108">
        <v>45431</v>
      </c>
      <c r="F350" s="109">
        <v>0.90069444444444446</v>
      </c>
      <c r="G350" s="104" t="s">
        <v>2947</v>
      </c>
      <c r="H350" s="104" t="s">
        <v>406</v>
      </c>
      <c r="I350" s="104" t="s">
        <v>2948</v>
      </c>
      <c r="J350" s="115" t="s">
        <v>20</v>
      </c>
      <c r="K350" s="115" t="s">
        <v>20</v>
      </c>
      <c r="L350" s="28" t="s">
        <v>75</v>
      </c>
      <c r="M350" s="28" t="s">
        <v>75</v>
      </c>
      <c r="N350" s="28" t="s">
        <v>75</v>
      </c>
      <c r="O350" s="28" t="s">
        <v>75</v>
      </c>
      <c r="P350" s="28" t="s">
        <v>75</v>
      </c>
      <c r="Q350" s="28" t="s">
        <v>75</v>
      </c>
    </row>
    <row r="351" spans="2:17" ht="21" x14ac:dyDescent="0.35">
      <c r="B351" s="27">
        <v>29</v>
      </c>
      <c r="C351" s="27" t="s">
        <v>93</v>
      </c>
      <c r="D351" s="27" t="s">
        <v>94</v>
      </c>
      <c r="E351" s="108">
        <v>45431</v>
      </c>
      <c r="F351" s="109">
        <v>0.91805555555555551</v>
      </c>
      <c r="G351" s="104" t="s">
        <v>2949</v>
      </c>
      <c r="H351" s="104" t="s">
        <v>406</v>
      </c>
      <c r="I351" s="104" t="s">
        <v>2950</v>
      </c>
      <c r="J351" s="115" t="s">
        <v>20</v>
      </c>
      <c r="K351" s="115" t="s">
        <v>20</v>
      </c>
      <c r="L351" s="28" t="s">
        <v>75</v>
      </c>
      <c r="M351" s="28" t="s">
        <v>75</v>
      </c>
      <c r="N351" s="28" t="s">
        <v>75</v>
      </c>
      <c r="O351" s="28" t="s">
        <v>75</v>
      </c>
      <c r="P351" s="28" t="s">
        <v>75</v>
      </c>
      <c r="Q351" s="28" t="s">
        <v>75</v>
      </c>
    </row>
    <row r="352" spans="2:17" ht="39" x14ac:dyDescent="0.35">
      <c r="B352" s="27">
        <v>30</v>
      </c>
      <c r="C352" s="27" t="s">
        <v>93</v>
      </c>
      <c r="D352" s="27" t="s">
        <v>94</v>
      </c>
      <c r="E352" s="108">
        <v>45432</v>
      </c>
      <c r="F352" s="109">
        <v>0.39583333333333331</v>
      </c>
      <c r="G352" s="104" t="s">
        <v>2951</v>
      </c>
      <c r="H352" s="104" t="s">
        <v>2952</v>
      </c>
      <c r="I352" s="104" t="s">
        <v>2953</v>
      </c>
      <c r="J352" s="115" t="s">
        <v>157</v>
      </c>
      <c r="K352" s="115" t="s">
        <v>235</v>
      </c>
      <c r="L352" s="28" t="s">
        <v>75</v>
      </c>
      <c r="M352" s="28" t="s">
        <v>75</v>
      </c>
      <c r="N352" s="28" t="s">
        <v>75</v>
      </c>
      <c r="O352" s="28" t="s">
        <v>75</v>
      </c>
      <c r="P352" s="28" t="s">
        <v>75</v>
      </c>
      <c r="Q352" s="28" t="s">
        <v>75</v>
      </c>
    </row>
    <row r="353" spans="2:17" ht="39" x14ac:dyDescent="0.35">
      <c r="B353" s="27">
        <v>31</v>
      </c>
      <c r="C353" s="27" t="s">
        <v>93</v>
      </c>
      <c r="D353" s="27" t="s">
        <v>94</v>
      </c>
      <c r="E353" s="108">
        <v>45432</v>
      </c>
      <c r="F353" s="109">
        <v>0.61944444444444446</v>
      </c>
      <c r="G353" s="104" t="s">
        <v>2954</v>
      </c>
      <c r="H353" s="104" t="s">
        <v>2955</v>
      </c>
      <c r="I353" s="104" t="s">
        <v>2956</v>
      </c>
      <c r="J353" s="115" t="s">
        <v>20</v>
      </c>
      <c r="K353" s="115" t="s">
        <v>145</v>
      </c>
      <c r="L353" s="28" t="s">
        <v>75</v>
      </c>
      <c r="M353" s="28" t="s">
        <v>75</v>
      </c>
      <c r="N353" s="28" t="s">
        <v>75</v>
      </c>
      <c r="O353" s="28" t="s">
        <v>75</v>
      </c>
      <c r="P353" s="28" t="s">
        <v>75</v>
      </c>
      <c r="Q353" s="28" t="s">
        <v>75</v>
      </c>
    </row>
    <row r="354" spans="2:17" ht="39" x14ac:dyDescent="0.35">
      <c r="B354" s="27">
        <v>32</v>
      </c>
      <c r="C354" s="27" t="s">
        <v>93</v>
      </c>
      <c r="D354" s="27" t="s">
        <v>94</v>
      </c>
      <c r="E354" s="108">
        <v>45434</v>
      </c>
      <c r="F354" s="109">
        <v>0.54166666666666663</v>
      </c>
      <c r="G354" s="104" t="s">
        <v>2957</v>
      </c>
      <c r="H354" s="104" t="s">
        <v>2958</v>
      </c>
      <c r="I354" s="104" t="s">
        <v>2959</v>
      </c>
      <c r="J354" s="115" t="s">
        <v>250</v>
      </c>
      <c r="K354" s="115" t="s">
        <v>251</v>
      </c>
      <c r="L354" s="28" t="s">
        <v>75</v>
      </c>
      <c r="M354" s="28" t="s">
        <v>75</v>
      </c>
      <c r="N354" s="28" t="s">
        <v>75</v>
      </c>
      <c r="O354" s="28" t="s">
        <v>75</v>
      </c>
      <c r="P354" s="28" t="s">
        <v>75</v>
      </c>
      <c r="Q354" s="28" t="s">
        <v>75</v>
      </c>
    </row>
    <row r="355" spans="2:17" ht="21" x14ac:dyDescent="0.35">
      <c r="B355" s="27">
        <v>33</v>
      </c>
      <c r="C355" s="27" t="s">
        <v>93</v>
      </c>
      <c r="D355" s="27" t="s">
        <v>94</v>
      </c>
      <c r="E355" s="108">
        <v>45435</v>
      </c>
      <c r="F355" s="109">
        <v>0.56944444444444442</v>
      </c>
      <c r="G355" s="104" t="s">
        <v>2960</v>
      </c>
      <c r="H355" s="104" t="s">
        <v>2961</v>
      </c>
      <c r="I355" s="104" t="s">
        <v>2962</v>
      </c>
      <c r="J355" s="115" t="s">
        <v>20</v>
      </c>
      <c r="K355" s="115" t="s">
        <v>20</v>
      </c>
      <c r="L355" s="28" t="s">
        <v>75</v>
      </c>
      <c r="M355" s="28" t="s">
        <v>75</v>
      </c>
      <c r="N355" s="28">
        <v>1</v>
      </c>
      <c r="O355" s="28" t="s">
        <v>75</v>
      </c>
      <c r="P355" s="28">
        <v>1</v>
      </c>
      <c r="Q355" s="28" t="s">
        <v>75</v>
      </c>
    </row>
    <row r="356" spans="2:17" ht="21" x14ac:dyDescent="0.35">
      <c r="B356" s="27">
        <v>34</v>
      </c>
      <c r="C356" s="27" t="s">
        <v>93</v>
      </c>
      <c r="D356" s="27" t="s">
        <v>94</v>
      </c>
      <c r="E356" s="108">
        <v>45436</v>
      </c>
      <c r="F356" s="109">
        <v>6.25E-2</v>
      </c>
      <c r="G356" s="104" t="s">
        <v>2963</v>
      </c>
      <c r="H356" s="113" t="s">
        <v>2964</v>
      </c>
      <c r="I356" s="104" t="s">
        <v>2965</v>
      </c>
      <c r="J356" s="115" t="s">
        <v>141</v>
      </c>
      <c r="K356" s="115" t="s">
        <v>142</v>
      </c>
      <c r="L356" s="28" t="s">
        <v>75</v>
      </c>
      <c r="M356" s="28" t="s">
        <v>75</v>
      </c>
      <c r="N356" s="28" t="s">
        <v>75</v>
      </c>
      <c r="O356" s="28" t="s">
        <v>75</v>
      </c>
      <c r="P356" s="28" t="s">
        <v>75</v>
      </c>
      <c r="Q356" s="28" t="s">
        <v>75</v>
      </c>
    </row>
    <row r="357" spans="2:17" ht="21" x14ac:dyDescent="0.35">
      <c r="B357" s="27">
        <v>35</v>
      </c>
      <c r="C357" s="27" t="s">
        <v>93</v>
      </c>
      <c r="D357" s="27" t="s">
        <v>94</v>
      </c>
      <c r="E357" s="108">
        <v>45436</v>
      </c>
      <c r="F357" s="109">
        <v>0.61458333333333337</v>
      </c>
      <c r="G357" s="104" t="s">
        <v>2966</v>
      </c>
      <c r="H357" s="127" t="s">
        <v>2714</v>
      </c>
      <c r="I357" s="127"/>
      <c r="J357" s="120"/>
      <c r="K357" s="120"/>
      <c r="L357" s="28" t="s">
        <v>75</v>
      </c>
      <c r="M357" s="28" t="s">
        <v>75</v>
      </c>
      <c r="N357" s="28" t="s">
        <v>75</v>
      </c>
      <c r="O357" s="28" t="s">
        <v>75</v>
      </c>
      <c r="P357" s="28" t="s">
        <v>75</v>
      </c>
      <c r="Q357" s="28" t="s">
        <v>75</v>
      </c>
    </row>
    <row r="358" spans="2:17" ht="21" x14ac:dyDescent="0.35">
      <c r="B358" s="27">
        <v>36</v>
      </c>
      <c r="C358" s="27" t="s">
        <v>93</v>
      </c>
      <c r="D358" s="27" t="s">
        <v>94</v>
      </c>
      <c r="E358" s="108">
        <v>45437</v>
      </c>
      <c r="F358" s="109">
        <v>0.89583333333333337</v>
      </c>
      <c r="G358" s="104" t="s">
        <v>2967</v>
      </c>
      <c r="H358" s="104" t="s">
        <v>406</v>
      </c>
      <c r="I358" s="104" t="s">
        <v>2710</v>
      </c>
      <c r="J358" s="115" t="s">
        <v>20</v>
      </c>
      <c r="K358" s="115" t="s">
        <v>20</v>
      </c>
      <c r="L358" s="28" t="s">
        <v>75</v>
      </c>
      <c r="M358" s="28" t="s">
        <v>75</v>
      </c>
      <c r="N358" s="28" t="s">
        <v>75</v>
      </c>
      <c r="O358" s="28" t="s">
        <v>75</v>
      </c>
      <c r="P358" s="28" t="s">
        <v>75</v>
      </c>
      <c r="Q358" s="28" t="s">
        <v>75</v>
      </c>
    </row>
    <row r="359" spans="2:17" ht="21" x14ac:dyDescent="0.35">
      <c r="B359" s="27">
        <v>37</v>
      </c>
      <c r="C359" s="27" t="s">
        <v>93</v>
      </c>
      <c r="D359" s="27" t="s">
        <v>94</v>
      </c>
      <c r="E359" s="108">
        <v>45438</v>
      </c>
      <c r="F359" s="109">
        <v>6.5972222222222224E-2</v>
      </c>
      <c r="G359" s="104" t="s">
        <v>2968</v>
      </c>
      <c r="H359" s="104" t="s">
        <v>2969</v>
      </c>
      <c r="I359" s="104" t="s">
        <v>2970</v>
      </c>
      <c r="J359" s="115" t="s">
        <v>254</v>
      </c>
      <c r="K359" s="115" t="s">
        <v>255</v>
      </c>
      <c r="L359" s="28" t="s">
        <v>75</v>
      </c>
      <c r="M359" s="28" t="s">
        <v>75</v>
      </c>
      <c r="N359" s="28" t="s">
        <v>75</v>
      </c>
      <c r="O359" s="28" t="s">
        <v>75</v>
      </c>
      <c r="P359" s="28" t="s">
        <v>75</v>
      </c>
      <c r="Q359" s="28" t="s">
        <v>75</v>
      </c>
    </row>
    <row r="360" spans="2:17" ht="39" x14ac:dyDescent="0.35">
      <c r="B360" s="27">
        <v>38</v>
      </c>
      <c r="C360" s="27" t="s">
        <v>93</v>
      </c>
      <c r="D360" s="27" t="s">
        <v>94</v>
      </c>
      <c r="E360" s="108">
        <v>45438</v>
      </c>
      <c r="F360" s="109">
        <v>0.85416666666666663</v>
      </c>
      <c r="G360" s="104" t="s">
        <v>2971</v>
      </c>
      <c r="H360" s="104" t="s">
        <v>2972</v>
      </c>
      <c r="I360" s="104" t="s">
        <v>2973</v>
      </c>
      <c r="J360" s="115" t="s">
        <v>34</v>
      </c>
      <c r="K360" s="115" t="s">
        <v>257</v>
      </c>
      <c r="L360" s="28" t="s">
        <v>75</v>
      </c>
      <c r="M360" s="28" t="s">
        <v>75</v>
      </c>
      <c r="N360" s="28" t="s">
        <v>75</v>
      </c>
      <c r="O360" s="28" t="s">
        <v>75</v>
      </c>
      <c r="P360" s="28" t="s">
        <v>75</v>
      </c>
      <c r="Q360" s="28" t="s">
        <v>75</v>
      </c>
    </row>
    <row r="361" spans="2:17" ht="21" x14ac:dyDescent="0.35">
      <c r="B361" s="27">
        <v>39</v>
      </c>
      <c r="C361" s="27" t="s">
        <v>93</v>
      </c>
      <c r="D361" s="27" t="s">
        <v>94</v>
      </c>
      <c r="E361" s="108">
        <v>45439</v>
      </c>
      <c r="F361" s="109">
        <v>0.5625</v>
      </c>
      <c r="G361" s="104" t="s">
        <v>2974</v>
      </c>
      <c r="H361" s="104" t="s">
        <v>2975</v>
      </c>
      <c r="I361" s="104" t="s">
        <v>2976</v>
      </c>
      <c r="J361" s="115" t="s">
        <v>258</v>
      </c>
      <c r="K361" s="115" t="s">
        <v>259</v>
      </c>
      <c r="L361" s="28" t="s">
        <v>75</v>
      </c>
      <c r="M361" s="28" t="s">
        <v>75</v>
      </c>
      <c r="N361" s="28" t="s">
        <v>75</v>
      </c>
      <c r="O361" s="28" t="s">
        <v>75</v>
      </c>
      <c r="P361" s="28">
        <v>1</v>
      </c>
      <c r="Q361" s="28" t="s">
        <v>75</v>
      </c>
    </row>
    <row r="362" spans="2:17" ht="21" x14ac:dyDescent="0.35">
      <c r="B362" s="27">
        <v>40</v>
      </c>
      <c r="C362" s="27" t="s">
        <v>93</v>
      </c>
      <c r="D362" s="27" t="s">
        <v>94</v>
      </c>
      <c r="E362" s="108">
        <v>45440</v>
      </c>
      <c r="F362" s="109">
        <v>0.21736111111111112</v>
      </c>
      <c r="G362" s="104" t="s">
        <v>2977</v>
      </c>
      <c r="H362" s="104" t="s">
        <v>2958</v>
      </c>
      <c r="I362" s="104" t="s">
        <v>2978</v>
      </c>
      <c r="J362" s="115" t="s">
        <v>20</v>
      </c>
      <c r="K362" s="115" t="s">
        <v>241</v>
      </c>
      <c r="L362" s="28" t="s">
        <v>75</v>
      </c>
      <c r="M362" s="28" t="s">
        <v>75</v>
      </c>
      <c r="N362" s="28" t="s">
        <v>75</v>
      </c>
      <c r="O362" s="28" t="s">
        <v>75</v>
      </c>
      <c r="P362" s="28" t="s">
        <v>75</v>
      </c>
      <c r="Q362" s="28" t="s">
        <v>75</v>
      </c>
    </row>
    <row r="363" spans="2:17" ht="21" x14ac:dyDescent="0.35">
      <c r="B363" s="27">
        <v>41</v>
      </c>
      <c r="C363" s="27" t="s">
        <v>93</v>
      </c>
      <c r="D363" s="27" t="s">
        <v>94</v>
      </c>
      <c r="E363" s="108">
        <v>45440</v>
      </c>
      <c r="F363" s="109">
        <v>0.53125</v>
      </c>
      <c r="G363" s="104" t="s">
        <v>2979</v>
      </c>
      <c r="H363" s="104" t="s">
        <v>2958</v>
      </c>
      <c r="I363" s="104" t="s">
        <v>2980</v>
      </c>
      <c r="J363" s="115" t="s">
        <v>155</v>
      </c>
      <c r="K363" s="115" t="s">
        <v>260</v>
      </c>
      <c r="L363" s="28" t="s">
        <v>75</v>
      </c>
      <c r="M363" s="28" t="s">
        <v>75</v>
      </c>
      <c r="N363" s="28" t="s">
        <v>75</v>
      </c>
      <c r="O363" s="28" t="s">
        <v>75</v>
      </c>
      <c r="P363" s="28" t="s">
        <v>75</v>
      </c>
      <c r="Q363" s="28" t="s">
        <v>75</v>
      </c>
    </row>
    <row r="364" spans="2:17" ht="39" x14ac:dyDescent="0.35">
      <c r="B364" s="27">
        <v>42</v>
      </c>
      <c r="C364" s="27" t="s">
        <v>93</v>
      </c>
      <c r="D364" s="27" t="s">
        <v>94</v>
      </c>
      <c r="E364" s="108">
        <v>45441</v>
      </c>
      <c r="F364" s="109">
        <v>5.5555555555555558E-3</v>
      </c>
      <c r="G364" s="104" t="s">
        <v>2981</v>
      </c>
      <c r="H364" s="104" t="s">
        <v>2982</v>
      </c>
      <c r="I364" s="104" t="s">
        <v>2983</v>
      </c>
      <c r="J364" s="115" t="s">
        <v>20</v>
      </c>
      <c r="K364" s="115" t="s">
        <v>240</v>
      </c>
      <c r="L364" s="28" t="s">
        <v>75</v>
      </c>
      <c r="M364" s="28" t="s">
        <v>75</v>
      </c>
      <c r="N364" s="28" t="s">
        <v>75</v>
      </c>
      <c r="O364" s="28" t="s">
        <v>75</v>
      </c>
      <c r="P364" s="28" t="s">
        <v>75</v>
      </c>
      <c r="Q364" s="28" t="s">
        <v>75</v>
      </c>
    </row>
    <row r="365" spans="2:17" ht="21" x14ac:dyDescent="0.35">
      <c r="B365" s="27">
        <v>43</v>
      </c>
      <c r="C365" s="27" t="s">
        <v>93</v>
      </c>
      <c r="D365" s="27" t="s">
        <v>94</v>
      </c>
      <c r="E365" s="108">
        <v>45441</v>
      </c>
      <c r="F365" s="109">
        <v>0.56944444444444442</v>
      </c>
      <c r="G365" s="104" t="s">
        <v>2984</v>
      </c>
      <c r="H365" s="104" t="s">
        <v>2985</v>
      </c>
      <c r="I365" s="104" t="s">
        <v>2978</v>
      </c>
      <c r="J365" s="115" t="s">
        <v>20</v>
      </c>
      <c r="K365" s="115" t="s">
        <v>189</v>
      </c>
      <c r="L365" s="28" t="s">
        <v>75</v>
      </c>
      <c r="M365" s="28" t="s">
        <v>75</v>
      </c>
      <c r="N365" s="28" t="s">
        <v>75</v>
      </c>
      <c r="O365" s="28" t="s">
        <v>75</v>
      </c>
      <c r="P365" s="28" t="s">
        <v>75</v>
      </c>
      <c r="Q365" s="28" t="s">
        <v>75</v>
      </c>
    </row>
    <row r="366" spans="2:17" ht="39" x14ac:dyDescent="0.35">
      <c r="B366" s="27">
        <v>44</v>
      </c>
      <c r="C366" s="27" t="s">
        <v>93</v>
      </c>
      <c r="D366" s="27" t="s">
        <v>94</v>
      </c>
      <c r="E366" s="108">
        <v>45442</v>
      </c>
      <c r="F366" s="109">
        <v>1.5972222222222221E-2</v>
      </c>
      <c r="G366" s="104" t="s">
        <v>2986</v>
      </c>
      <c r="H366" s="104" t="s">
        <v>2987</v>
      </c>
      <c r="I366" s="104" t="s">
        <v>2988</v>
      </c>
      <c r="J366" s="115" t="s">
        <v>33</v>
      </c>
      <c r="K366" s="115" t="s">
        <v>262</v>
      </c>
      <c r="L366" s="28" t="s">
        <v>75</v>
      </c>
      <c r="M366" s="28" t="s">
        <v>75</v>
      </c>
      <c r="N366" s="28" t="s">
        <v>75</v>
      </c>
      <c r="O366" s="28" t="s">
        <v>75</v>
      </c>
      <c r="P366" s="28" t="s">
        <v>75</v>
      </c>
      <c r="Q366" s="28" t="s">
        <v>75</v>
      </c>
    </row>
    <row r="367" spans="2:17" ht="39" x14ac:dyDescent="0.35">
      <c r="B367" s="27">
        <v>45</v>
      </c>
      <c r="C367" s="27" t="s">
        <v>93</v>
      </c>
      <c r="D367" s="27" t="s">
        <v>94</v>
      </c>
      <c r="E367" s="108">
        <v>45442</v>
      </c>
      <c r="F367" s="109">
        <v>0.70486111111111116</v>
      </c>
      <c r="G367" s="104" t="s">
        <v>2989</v>
      </c>
      <c r="H367" s="104" t="s">
        <v>2990</v>
      </c>
      <c r="I367" s="104" t="s">
        <v>2991</v>
      </c>
      <c r="J367" s="115" t="s">
        <v>145</v>
      </c>
      <c r="K367" s="115" t="s">
        <v>263</v>
      </c>
      <c r="L367" s="28" t="s">
        <v>75</v>
      </c>
      <c r="M367" s="28" t="s">
        <v>75</v>
      </c>
      <c r="N367" s="28" t="s">
        <v>75</v>
      </c>
      <c r="O367" s="28" t="s">
        <v>75</v>
      </c>
      <c r="P367" s="28" t="s">
        <v>75</v>
      </c>
      <c r="Q367" s="28" t="s">
        <v>75</v>
      </c>
    </row>
    <row r="368" spans="2:17" ht="21" x14ac:dyDescent="0.35">
      <c r="B368" s="27">
        <v>46</v>
      </c>
      <c r="C368" s="27" t="s">
        <v>93</v>
      </c>
      <c r="D368" s="27" t="s">
        <v>94</v>
      </c>
      <c r="E368" s="108">
        <v>45443</v>
      </c>
      <c r="F368" s="109">
        <v>0.53125</v>
      </c>
      <c r="G368" s="104" t="s">
        <v>2992</v>
      </c>
      <c r="H368" s="104" t="s">
        <v>2993</v>
      </c>
      <c r="I368" s="104" t="s">
        <v>2672</v>
      </c>
      <c r="J368" s="115" t="s">
        <v>20</v>
      </c>
      <c r="K368" s="115" t="s">
        <v>157</v>
      </c>
      <c r="L368" s="28" t="s">
        <v>75</v>
      </c>
      <c r="M368" s="28" t="s">
        <v>75</v>
      </c>
      <c r="N368" s="28" t="s">
        <v>75</v>
      </c>
      <c r="O368" s="28" t="s">
        <v>75</v>
      </c>
      <c r="P368" s="28" t="s">
        <v>75</v>
      </c>
      <c r="Q368" s="28" t="s">
        <v>75</v>
      </c>
    </row>
    <row r="369" spans="2:17" ht="39" x14ac:dyDescent="0.35">
      <c r="B369" s="27">
        <v>47</v>
      </c>
      <c r="C369" s="27" t="s">
        <v>93</v>
      </c>
      <c r="D369" s="27" t="s">
        <v>94</v>
      </c>
      <c r="E369" s="108">
        <v>45443</v>
      </c>
      <c r="F369" s="109">
        <v>0.54097222222222219</v>
      </c>
      <c r="G369" s="104" t="s">
        <v>2994</v>
      </c>
      <c r="H369" s="104" t="s">
        <v>2706</v>
      </c>
      <c r="I369" s="104" t="s">
        <v>2995</v>
      </c>
      <c r="J369" s="115" t="s">
        <v>265</v>
      </c>
      <c r="K369" s="115" t="s">
        <v>266</v>
      </c>
      <c r="L369" s="28" t="s">
        <v>75</v>
      </c>
      <c r="M369" s="28" t="s">
        <v>75</v>
      </c>
      <c r="N369" s="28" t="s">
        <v>75</v>
      </c>
      <c r="O369" s="28" t="s">
        <v>75</v>
      </c>
      <c r="P369" s="28" t="s">
        <v>75</v>
      </c>
      <c r="Q369" s="28" t="s">
        <v>75</v>
      </c>
    </row>
    <row r="370" spans="2:17" ht="21" x14ac:dyDescent="0.35">
      <c r="B370" s="27">
        <v>48</v>
      </c>
      <c r="C370" s="27" t="s">
        <v>93</v>
      </c>
      <c r="D370" s="27" t="s">
        <v>584</v>
      </c>
      <c r="E370" s="110">
        <v>45413</v>
      </c>
      <c r="F370" s="28">
        <v>6.4976851851851855E-2</v>
      </c>
      <c r="G370" s="113" t="s">
        <v>2996</v>
      </c>
      <c r="H370" s="104" t="s">
        <v>2997</v>
      </c>
      <c r="I370" s="113" t="s">
        <v>2998</v>
      </c>
      <c r="J370" s="115">
        <v>50000</v>
      </c>
      <c r="K370" s="115">
        <v>1450000</v>
      </c>
      <c r="L370" s="28" t="s">
        <v>75</v>
      </c>
      <c r="M370" s="28" t="s">
        <v>75</v>
      </c>
      <c r="N370" s="28" t="s">
        <v>75</v>
      </c>
      <c r="O370" s="28" t="s">
        <v>75</v>
      </c>
      <c r="P370" s="28" t="s">
        <v>75</v>
      </c>
      <c r="Q370" s="28" t="s">
        <v>75</v>
      </c>
    </row>
    <row r="371" spans="2:17" ht="21" x14ac:dyDescent="0.35">
      <c r="B371" s="27">
        <v>49</v>
      </c>
      <c r="C371" s="27" t="s">
        <v>93</v>
      </c>
      <c r="D371" s="27" t="s">
        <v>584</v>
      </c>
      <c r="E371" s="110">
        <v>45413</v>
      </c>
      <c r="F371" s="109">
        <v>0.6958333333333333</v>
      </c>
      <c r="G371" s="113" t="s">
        <v>2999</v>
      </c>
      <c r="H371" s="104" t="s">
        <v>2559</v>
      </c>
      <c r="I371" s="113" t="s">
        <v>2555</v>
      </c>
      <c r="J371" s="115">
        <v>1000</v>
      </c>
      <c r="K371" s="115">
        <v>1999000</v>
      </c>
      <c r="L371" s="28" t="s">
        <v>75</v>
      </c>
      <c r="M371" s="28" t="s">
        <v>75</v>
      </c>
      <c r="N371" s="28" t="s">
        <v>75</v>
      </c>
      <c r="O371" s="28" t="s">
        <v>75</v>
      </c>
      <c r="P371" s="28" t="s">
        <v>75</v>
      </c>
      <c r="Q371" s="28" t="s">
        <v>75</v>
      </c>
    </row>
    <row r="372" spans="2:17" ht="58.5" x14ac:dyDescent="0.35">
      <c r="B372" s="106">
        <v>50</v>
      </c>
      <c r="C372" s="27" t="s">
        <v>93</v>
      </c>
      <c r="D372" s="27" t="s">
        <v>584</v>
      </c>
      <c r="E372" s="110">
        <v>45414</v>
      </c>
      <c r="F372" s="28">
        <v>6.5543981481481481E-2</v>
      </c>
      <c r="G372" s="113" t="s">
        <v>3000</v>
      </c>
      <c r="H372" s="130" t="s">
        <v>3616</v>
      </c>
      <c r="I372" s="113" t="s">
        <v>2047</v>
      </c>
      <c r="J372" s="115">
        <v>100000</v>
      </c>
      <c r="K372" s="115">
        <v>200000</v>
      </c>
      <c r="L372" s="28" t="s">
        <v>75</v>
      </c>
      <c r="M372" s="28" t="s">
        <v>75</v>
      </c>
      <c r="N372" s="28" t="s">
        <v>75</v>
      </c>
      <c r="O372" s="28" t="s">
        <v>75</v>
      </c>
      <c r="P372" s="28" t="s">
        <v>75</v>
      </c>
      <c r="Q372" s="28" t="s">
        <v>75</v>
      </c>
    </row>
    <row r="373" spans="2:17" ht="21" x14ac:dyDescent="0.35">
      <c r="B373" s="106">
        <v>51</v>
      </c>
      <c r="C373" s="27" t="s">
        <v>93</v>
      </c>
      <c r="D373" s="27" t="s">
        <v>584</v>
      </c>
      <c r="E373" s="110">
        <v>45414</v>
      </c>
      <c r="F373" s="28">
        <v>7.1284722222222222E-2</v>
      </c>
      <c r="G373" s="113" t="s">
        <v>3001</v>
      </c>
      <c r="H373" s="113" t="s">
        <v>2997</v>
      </c>
      <c r="I373" s="130" t="s">
        <v>3002</v>
      </c>
      <c r="J373" s="115">
        <v>490000</v>
      </c>
      <c r="K373" s="115">
        <v>1510000</v>
      </c>
      <c r="L373" s="28" t="s">
        <v>75</v>
      </c>
      <c r="M373" s="28" t="s">
        <v>75</v>
      </c>
      <c r="N373" s="28" t="s">
        <v>75</v>
      </c>
      <c r="O373" s="28" t="s">
        <v>75</v>
      </c>
      <c r="P373" s="28" t="s">
        <v>75</v>
      </c>
      <c r="Q373" s="28" t="s">
        <v>75</v>
      </c>
    </row>
    <row r="374" spans="2:17" ht="21" x14ac:dyDescent="0.35">
      <c r="B374" s="106">
        <v>52</v>
      </c>
      <c r="C374" s="27" t="s">
        <v>93</v>
      </c>
      <c r="D374" s="27" t="s">
        <v>584</v>
      </c>
      <c r="E374" s="110">
        <v>45414</v>
      </c>
      <c r="F374" s="109">
        <v>0.60069444444444442</v>
      </c>
      <c r="G374" s="113" t="s">
        <v>3003</v>
      </c>
      <c r="H374" s="113" t="s">
        <v>2559</v>
      </c>
      <c r="I374" s="113" t="s">
        <v>2555</v>
      </c>
      <c r="J374" s="115">
        <v>10000</v>
      </c>
      <c r="K374" s="115">
        <v>1990000</v>
      </c>
      <c r="L374" s="28" t="s">
        <v>75</v>
      </c>
      <c r="M374" s="28" t="s">
        <v>75</v>
      </c>
      <c r="N374" s="28" t="s">
        <v>75</v>
      </c>
      <c r="O374" s="28" t="s">
        <v>75</v>
      </c>
      <c r="P374" s="28" t="s">
        <v>75</v>
      </c>
      <c r="Q374" s="28" t="s">
        <v>75</v>
      </c>
    </row>
    <row r="375" spans="2:17" ht="21" x14ac:dyDescent="0.35">
      <c r="B375" s="106">
        <v>53</v>
      </c>
      <c r="C375" s="27" t="s">
        <v>93</v>
      </c>
      <c r="D375" s="27" t="s">
        <v>584</v>
      </c>
      <c r="E375" s="110">
        <v>45415</v>
      </c>
      <c r="F375" s="109">
        <v>0.68819444444444444</v>
      </c>
      <c r="G375" s="113" t="s">
        <v>3004</v>
      </c>
      <c r="H375" s="113" t="s">
        <v>2778</v>
      </c>
      <c r="I375" s="113" t="s">
        <v>2555</v>
      </c>
      <c r="J375" s="115">
        <v>500</v>
      </c>
      <c r="K375" s="115">
        <v>99500</v>
      </c>
      <c r="L375" s="28" t="s">
        <v>75</v>
      </c>
      <c r="M375" s="28" t="s">
        <v>75</v>
      </c>
      <c r="N375" s="28" t="s">
        <v>75</v>
      </c>
      <c r="O375" s="28" t="s">
        <v>75</v>
      </c>
      <c r="P375" s="28" t="s">
        <v>75</v>
      </c>
      <c r="Q375" s="28" t="s">
        <v>75</v>
      </c>
    </row>
    <row r="376" spans="2:17" ht="21" x14ac:dyDescent="0.35">
      <c r="B376" s="27">
        <v>54</v>
      </c>
      <c r="C376" s="27" t="s">
        <v>93</v>
      </c>
      <c r="D376" s="27" t="s">
        <v>584</v>
      </c>
      <c r="E376" s="110">
        <v>45415</v>
      </c>
      <c r="F376" s="109">
        <v>0.81597222222222221</v>
      </c>
      <c r="G376" s="113" t="s">
        <v>3005</v>
      </c>
      <c r="H376" s="113" t="s">
        <v>2567</v>
      </c>
      <c r="I376" s="113" t="s">
        <v>3006</v>
      </c>
      <c r="J376" s="115">
        <v>2000</v>
      </c>
      <c r="K376" s="115">
        <v>8000</v>
      </c>
      <c r="L376" s="28" t="s">
        <v>75</v>
      </c>
      <c r="M376" s="28" t="s">
        <v>75</v>
      </c>
      <c r="N376" s="28" t="s">
        <v>75</v>
      </c>
      <c r="O376" s="28" t="s">
        <v>75</v>
      </c>
      <c r="P376" s="28" t="s">
        <v>75</v>
      </c>
      <c r="Q376" s="28" t="s">
        <v>75</v>
      </c>
    </row>
    <row r="377" spans="2:17" ht="21" x14ac:dyDescent="0.35">
      <c r="B377" s="106">
        <v>55</v>
      </c>
      <c r="C377" s="27" t="s">
        <v>93</v>
      </c>
      <c r="D377" s="27" t="s">
        <v>584</v>
      </c>
      <c r="E377" s="110">
        <v>45416</v>
      </c>
      <c r="F377" s="109">
        <v>3.4722222222222224E-2</v>
      </c>
      <c r="G377" s="113" t="s">
        <v>3007</v>
      </c>
      <c r="H377" s="113" t="s">
        <v>3008</v>
      </c>
      <c r="I377" s="113" t="s">
        <v>3009</v>
      </c>
      <c r="J377" s="115">
        <v>100000</v>
      </c>
      <c r="K377" s="115">
        <v>9900000</v>
      </c>
      <c r="L377" s="28" t="s">
        <v>75</v>
      </c>
      <c r="M377" s="28" t="s">
        <v>75</v>
      </c>
      <c r="N377" s="28" t="s">
        <v>75</v>
      </c>
      <c r="O377" s="28" t="s">
        <v>75</v>
      </c>
      <c r="P377" s="28">
        <v>5</v>
      </c>
      <c r="Q377" s="28" t="s">
        <v>75</v>
      </c>
    </row>
    <row r="378" spans="2:17" ht="21" x14ac:dyDescent="0.35">
      <c r="B378" s="27">
        <v>56</v>
      </c>
      <c r="C378" s="27" t="s">
        <v>93</v>
      </c>
      <c r="D378" s="27" t="s">
        <v>584</v>
      </c>
      <c r="E378" s="110">
        <v>45416</v>
      </c>
      <c r="F378" s="28">
        <v>7.3356481481481481E-2</v>
      </c>
      <c r="G378" s="113" t="s">
        <v>3010</v>
      </c>
      <c r="H378" s="113" t="s">
        <v>2778</v>
      </c>
      <c r="I378" s="113" t="s">
        <v>3011</v>
      </c>
      <c r="J378" s="115">
        <v>1000</v>
      </c>
      <c r="K378" s="115">
        <v>40000</v>
      </c>
      <c r="L378" s="28" t="s">
        <v>75</v>
      </c>
      <c r="M378" s="28" t="s">
        <v>75</v>
      </c>
      <c r="N378" s="28" t="s">
        <v>75</v>
      </c>
      <c r="O378" s="28" t="s">
        <v>75</v>
      </c>
      <c r="P378" s="28" t="s">
        <v>75</v>
      </c>
      <c r="Q378" s="28" t="s">
        <v>75</v>
      </c>
    </row>
    <row r="379" spans="2:17" ht="21" x14ac:dyDescent="0.35">
      <c r="B379" s="106">
        <v>57</v>
      </c>
      <c r="C379" s="27" t="s">
        <v>93</v>
      </c>
      <c r="D379" s="27" t="s">
        <v>584</v>
      </c>
      <c r="E379" s="110">
        <v>45420</v>
      </c>
      <c r="F379" s="109">
        <v>0.94097222222222221</v>
      </c>
      <c r="G379" s="113" t="s">
        <v>3012</v>
      </c>
      <c r="H379" s="113" t="s">
        <v>2778</v>
      </c>
      <c r="I379" s="113" t="s">
        <v>3013</v>
      </c>
      <c r="J379" s="115">
        <v>10000</v>
      </c>
      <c r="K379" s="115">
        <v>20000</v>
      </c>
      <c r="L379" s="28" t="s">
        <v>75</v>
      </c>
      <c r="M379" s="28" t="s">
        <v>75</v>
      </c>
      <c r="N379" s="28" t="s">
        <v>75</v>
      </c>
      <c r="O379" s="28" t="s">
        <v>75</v>
      </c>
      <c r="P379" s="28" t="s">
        <v>75</v>
      </c>
      <c r="Q379" s="28" t="s">
        <v>75</v>
      </c>
    </row>
    <row r="380" spans="2:17" ht="21" x14ac:dyDescent="0.35">
      <c r="B380" s="27">
        <v>58</v>
      </c>
      <c r="C380" s="27" t="s">
        <v>93</v>
      </c>
      <c r="D380" s="27" t="s">
        <v>584</v>
      </c>
      <c r="E380" s="110">
        <v>45424</v>
      </c>
      <c r="F380" s="28">
        <v>7.1261574074074074E-2</v>
      </c>
      <c r="G380" s="113" t="s">
        <v>3014</v>
      </c>
      <c r="H380" s="113" t="s">
        <v>3015</v>
      </c>
      <c r="I380" s="113" t="s">
        <v>3016</v>
      </c>
      <c r="J380" s="115">
        <v>1000</v>
      </c>
      <c r="K380" s="115">
        <v>1499000</v>
      </c>
      <c r="L380" s="28" t="s">
        <v>75</v>
      </c>
      <c r="M380" s="28" t="s">
        <v>75</v>
      </c>
      <c r="N380" s="28" t="s">
        <v>75</v>
      </c>
      <c r="O380" s="28" t="s">
        <v>75</v>
      </c>
      <c r="P380" s="28" t="s">
        <v>75</v>
      </c>
      <c r="Q380" s="28" t="s">
        <v>75</v>
      </c>
    </row>
    <row r="381" spans="2:17" ht="21" x14ac:dyDescent="0.35">
      <c r="B381" s="27">
        <v>59</v>
      </c>
      <c r="C381" s="27" t="s">
        <v>93</v>
      </c>
      <c r="D381" s="27" t="s">
        <v>584</v>
      </c>
      <c r="E381" s="110">
        <v>45427</v>
      </c>
      <c r="F381" s="28">
        <v>0.81857638888888884</v>
      </c>
      <c r="G381" s="113" t="s">
        <v>3017</v>
      </c>
      <c r="H381" s="113" t="s">
        <v>2778</v>
      </c>
      <c r="I381" s="113" t="s">
        <v>2555</v>
      </c>
      <c r="J381" s="115">
        <v>500</v>
      </c>
      <c r="K381" s="115">
        <v>10000</v>
      </c>
      <c r="L381" s="28" t="s">
        <v>75</v>
      </c>
      <c r="M381" s="28" t="s">
        <v>75</v>
      </c>
      <c r="N381" s="28" t="s">
        <v>75</v>
      </c>
      <c r="O381" s="28" t="s">
        <v>75</v>
      </c>
      <c r="P381" s="28" t="s">
        <v>75</v>
      </c>
      <c r="Q381" s="28" t="s">
        <v>75</v>
      </c>
    </row>
    <row r="382" spans="2:17" ht="21" x14ac:dyDescent="0.35">
      <c r="B382" s="27">
        <v>60</v>
      </c>
      <c r="C382" s="27" t="s">
        <v>93</v>
      </c>
      <c r="D382" s="27" t="s">
        <v>584</v>
      </c>
      <c r="E382" s="110">
        <v>45428</v>
      </c>
      <c r="F382" s="28">
        <v>7.1643518518518523E-2</v>
      </c>
      <c r="G382" s="113" t="s">
        <v>3018</v>
      </c>
      <c r="H382" s="113" t="s">
        <v>3019</v>
      </c>
      <c r="I382" s="113" t="s">
        <v>3020</v>
      </c>
      <c r="J382" s="115">
        <v>250000</v>
      </c>
      <c r="K382" s="115">
        <v>750000</v>
      </c>
      <c r="L382" s="28">
        <v>1</v>
      </c>
      <c r="M382" s="28" t="s">
        <v>75</v>
      </c>
      <c r="N382" s="28" t="s">
        <v>75</v>
      </c>
      <c r="O382" s="28" t="s">
        <v>75</v>
      </c>
      <c r="P382" s="28" t="s">
        <v>75</v>
      </c>
      <c r="Q382" s="28" t="s">
        <v>75</v>
      </c>
    </row>
    <row r="383" spans="2:17" ht="21" x14ac:dyDescent="0.35">
      <c r="B383" s="27">
        <v>61</v>
      </c>
      <c r="C383" s="27" t="s">
        <v>93</v>
      </c>
      <c r="D383" s="27" t="s">
        <v>584</v>
      </c>
      <c r="E383" s="110">
        <v>45429</v>
      </c>
      <c r="F383" s="109">
        <v>0.69097222222222221</v>
      </c>
      <c r="G383" s="113" t="s">
        <v>3021</v>
      </c>
      <c r="H383" s="113" t="s">
        <v>2559</v>
      </c>
      <c r="I383" s="113" t="s">
        <v>3022</v>
      </c>
      <c r="J383" s="115">
        <v>2000</v>
      </c>
      <c r="K383" s="115">
        <v>8000</v>
      </c>
      <c r="L383" s="28" t="s">
        <v>75</v>
      </c>
      <c r="M383" s="28" t="s">
        <v>75</v>
      </c>
      <c r="N383" s="28" t="s">
        <v>75</v>
      </c>
      <c r="O383" s="28" t="s">
        <v>75</v>
      </c>
      <c r="P383" s="28" t="s">
        <v>75</v>
      </c>
      <c r="Q383" s="28" t="s">
        <v>75</v>
      </c>
    </row>
    <row r="384" spans="2:17" ht="21" x14ac:dyDescent="0.35">
      <c r="B384" s="27">
        <v>62</v>
      </c>
      <c r="C384" s="27" t="s">
        <v>93</v>
      </c>
      <c r="D384" s="27" t="s">
        <v>584</v>
      </c>
      <c r="E384" s="110">
        <v>45430</v>
      </c>
      <c r="F384" s="109">
        <v>0.97083333333333333</v>
      </c>
      <c r="G384" s="113" t="s">
        <v>3023</v>
      </c>
      <c r="H384" s="113" t="s">
        <v>3024</v>
      </c>
      <c r="I384" s="113" t="s">
        <v>3025</v>
      </c>
      <c r="J384" s="115">
        <v>20000</v>
      </c>
      <c r="K384" s="115">
        <v>30000</v>
      </c>
      <c r="L384" s="28" t="s">
        <v>75</v>
      </c>
      <c r="M384" s="28" t="s">
        <v>75</v>
      </c>
      <c r="N384" s="28" t="s">
        <v>75</v>
      </c>
      <c r="O384" s="28" t="s">
        <v>75</v>
      </c>
      <c r="P384" s="28" t="s">
        <v>75</v>
      </c>
      <c r="Q384" s="28" t="s">
        <v>75</v>
      </c>
    </row>
    <row r="385" spans="2:17" ht="21" x14ac:dyDescent="0.35">
      <c r="B385" s="27">
        <v>63</v>
      </c>
      <c r="C385" s="27" t="s">
        <v>93</v>
      </c>
      <c r="D385" s="27" t="s">
        <v>584</v>
      </c>
      <c r="E385" s="110">
        <v>45431</v>
      </c>
      <c r="F385" s="109">
        <v>5.5555555555555558E-3</v>
      </c>
      <c r="G385" s="113" t="s">
        <v>3026</v>
      </c>
      <c r="H385" s="113" t="s">
        <v>3024</v>
      </c>
      <c r="I385" s="113" t="s">
        <v>3027</v>
      </c>
      <c r="J385" s="115">
        <v>1000</v>
      </c>
      <c r="K385" s="115">
        <v>99500</v>
      </c>
      <c r="L385" s="28" t="s">
        <v>75</v>
      </c>
      <c r="M385" s="28" t="s">
        <v>75</v>
      </c>
      <c r="N385" s="28" t="s">
        <v>75</v>
      </c>
      <c r="O385" s="28" t="s">
        <v>75</v>
      </c>
      <c r="P385" s="28" t="s">
        <v>75</v>
      </c>
      <c r="Q385" s="28" t="s">
        <v>75</v>
      </c>
    </row>
    <row r="386" spans="2:17" ht="21" x14ac:dyDescent="0.35">
      <c r="B386" s="27">
        <v>64</v>
      </c>
      <c r="C386" s="27" t="s">
        <v>93</v>
      </c>
      <c r="D386" s="27" t="s">
        <v>584</v>
      </c>
      <c r="E386" s="110">
        <v>45431</v>
      </c>
      <c r="F386" s="109">
        <v>1.0416666666666666E-2</v>
      </c>
      <c r="G386" s="113" t="s">
        <v>3028</v>
      </c>
      <c r="H386" s="113" t="s">
        <v>3024</v>
      </c>
      <c r="I386" s="113" t="s">
        <v>3027</v>
      </c>
      <c r="J386" s="115">
        <v>500</v>
      </c>
      <c r="K386" s="115">
        <v>1000</v>
      </c>
      <c r="L386" s="28" t="s">
        <v>75</v>
      </c>
      <c r="M386" s="28" t="s">
        <v>75</v>
      </c>
      <c r="N386" s="28" t="s">
        <v>75</v>
      </c>
      <c r="O386" s="28" t="s">
        <v>75</v>
      </c>
      <c r="P386" s="28" t="s">
        <v>75</v>
      </c>
      <c r="Q386" s="28" t="s">
        <v>75</v>
      </c>
    </row>
    <row r="387" spans="2:17" ht="21" x14ac:dyDescent="0.35">
      <c r="B387" s="27">
        <v>65</v>
      </c>
      <c r="C387" s="27" t="s">
        <v>93</v>
      </c>
      <c r="D387" s="27" t="s">
        <v>584</v>
      </c>
      <c r="E387" s="110">
        <v>45431</v>
      </c>
      <c r="F387" s="28">
        <v>6.9212962962962962E-2</v>
      </c>
      <c r="G387" s="113" t="s">
        <v>3029</v>
      </c>
      <c r="H387" s="113" t="s">
        <v>2559</v>
      </c>
      <c r="I387" s="113" t="s">
        <v>2763</v>
      </c>
      <c r="J387" s="115">
        <v>20000</v>
      </c>
      <c r="K387" s="115">
        <v>480000</v>
      </c>
      <c r="L387" s="28" t="s">
        <v>75</v>
      </c>
      <c r="M387" s="28" t="s">
        <v>75</v>
      </c>
      <c r="N387" s="28" t="s">
        <v>75</v>
      </c>
      <c r="O387" s="28" t="s">
        <v>75</v>
      </c>
      <c r="P387" s="28" t="s">
        <v>75</v>
      </c>
      <c r="Q387" s="28" t="s">
        <v>75</v>
      </c>
    </row>
    <row r="388" spans="2:17" ht="21" x14ac:dyDescent="0.35">
      <c r="B388" s="27">
        <v>66</v>
      </c>
      <c r="C388" s="27" t="s">
        <v>93</v>
      </c>
      <c r="D388" s="27" t="s">
        <v>584</v>
      </c>
      <c r="E388" s="110">
        <v>45431</v>
      </c>
      <c r="F388" s="28">
        <v>0.78038194444444442</v>
      </c>
      <c r="G388" s="113" t="s">
        <v>3030</v>
      </c>
      <c r="H388" s="113" t="s">
        <v>2559</v>
      </c>
      <c r="I388" s="113" t="s">
        <v>421</v>
      </c>
      <c r="J388" s="115">
        <v>10000</v>
      </c>
      <c r="K388" s="115">
        <v>90000</v>
      </c>
      <c r="L388" s="28" t="s">
        <v>75</v>
      </c>
      <c r="M388" s="28" t="s">
        <v>75</v>
      </c>
      <c r="N388" s="28" t="s">
        <v>75</v>
      </c>
      <c r="O388" s="28" t="s">
        <v>75</v>
      </c>
      <c r="P388" s="28" t="s">
        <v>75</v>
      </c>
      <c r="Q388" s="28" t="s">
        <v>75</v>
      </c>
    </row>
    <row r="389" spans="2:17" ht="21" x14ac:dyDescent="0.35">
      <c r="B389" s="27">
        <v>67</v>
      </c>
      <c r="C389" s="27" t="s">
        <v>93</v>
      </c>
      <c r="D389" s="27" t="s">
        <v>584</v>
      </c>
      <c r="E389" s="110">
        <v>45432</v>
      </c>
      <c r="F389" s="109">
        <v>3.2638888888888891E-2</v>
      </c>
      <c r="G389" s="113" t="s">
        <v>3031</v>
      </c>
      <c r="H389" s="113" t="s">
        <v>3032</v>
      </c>
      <c r="I389" s="113" t="s">
        <v>3033</v>
      </c>
      <c r="J389" s="115">
        <v>250000</v>
      </c>
      <c r="K389" s="115">
        <v>2750000</v>
      </c>
      <c r="L389" s="28" t="s">
        <v>75</v>
      </c>
      <c r="M389" s="28" t="s">
        <v>75</v>
      </c>
      <c r="N389" s="28" t="s">
        <v>75</v>
      </c>
      <c r="O389" s="28" t="s">
        <v>75</v>
      </c>
      <c r="P389" s="28" t="s">
        <v>75</v>
      </c>
      <c r="Q389" s="28" t="s">
        <v>75</v>
      </c>
    </row>
    <row r="390" spans="2:17" ht="21" x14ac:dyDescent="0.35">
      <c r="B390" s="27">
        <v>68</v>
      </c>
      <c r="C390" s="27" t="s">
        <v>93</v>
      </c>
      <c r="D390" s="27" t="s">
        <v>584</v>
      </c>
      <c r="E390" s="110">
        <v>45434</v>
      </c>
      <c r="F390" s="109">
        <v>0.6791666666666667</v>
      </c>
      <c r="G390" s="113" t="s">
        <v>3034</v>
      </c>
      <c r="H390" s="113" t="s">
        <v>2778</v>
      </c>
      <c r="I390" s="113" t="s">
        <v>3035</v>
      </c>
      <c r="J390" s="115">
        <v>500</v>
      </c>
      <c r="K390" s="115">
        <v>9500</v>
      </c>
      <c r="L390" s="28" t="s">
        <v>75</v>
      </c>
      <c r="M390" s="28" t="s">
        <v>75</v>
      </c>
      <c r="N390" s="28" t="s">
        <v>75</v>
      </c>
      <c r="O390" s="28" t="s">
        <v>75</v>
      </c>
      <c r="P390" s="28" t="s">
        <v>75</v>
      </c>
      <c r="Q390" s="28" t="s">
        <v>75</v>
      </c>
    </row>
    <row r="391" spans="2:17" ht="21" x14ac:dyDescent="0.35">
      <c r="B391" s="27">
        <v>69</v>
      </c>
      <c r="C391" s="27" t="s">
        <v>93</v>
      </c>
      <c r="D391" s="27" t="s">
        <v>584</v>
      </c>
      <c r="E391" s="110">
        <v>45435</v>
      </c>
      <c r="F391" s="109">
        <v>0.68333333333333335</v>
      </c>
      <c r="G391" s="113" t="s">
        <v>3036</v>
      </c>
      <c r="H391" s="113" t="s">
        <v>3037</v>
      </c>
      <c r="I391" s="113" t="s">
        <v>3038</v>
      </c>
      <c r="J391" s="115">
        <v>50000</v>
      </c>
      <c r="K391" s="115">
        <v>4500000</v>
      </c>
      <c r="L391" s="28" t="s">
        <v>75</v>
      </c>
      <c r="M391" s="28" t="s">
        <v>75</v>
      </c>
      <c r="N391" s="28" t="s">
        <v>75</v>
      </c>
      <c r="O391" s="28" t="s">
        <v>75</v>
      </c>
      <c r="P391" s="28" t="s">
        <v>75</v>
      </c>
      <c r="Q391" s="28" t="s">
        <v>75</v>
      </c>
    </row>
    <row r="392" spans="2:17" ht="21" x14ac:dyDescent="0.35">
      <c r="B392" s="27">
        <v>70</v>
      </c>
      <c r="C392" s="27" t="s">
        <v>93</v>
      </c>
      <c r="D392" s="27" t="s">
        <v>584</v>
      </c>
      <c r="E392" s="110">
        <v>45436</v>
      </c>
      <c r="F392" s="109">
        <v>0.97152777777777777</v>
      </c>
      <c r="G392" s="113" t="s">
        <v>3039</v>
      </c>
      <c r="H392" s="113" t="s">
        <v>3040</v>
      </c>
      <c r="I392" s="113" t="s">
        <v>3041</v>
      </c>
      <c r="J392" s="115">
        <v>1000</v>
      </c>
      <c r="K392" s="115">
        <v>49000</v>
      </c>
      <c r="L392" s="28" t="s">
        <v>75</v>
      </c>
      <c r="M392" s="28" t="s">
        <v>75</v>
      </c>
      <c r="N392" s="28" t="s">
        <v>75</v>
      </c>
      <c r="O392" s="28" t="s">
        <v>75</v>
      </c>
      <c r="P392" s="28" t="s">
        <v>75</v>
      </c>
      <c r="Q392" s="28" t="s">
        <v>75</v>
      </c>
    </row>
    <row r="393" spans="2:17" ht="21" x14ac:dyDescent="0.35">
      <c r="B393" s="27">
        <v>71</v>
      </c>
      <c r="C393" s="27" t="s">
        <v>93</v>
      </c>
      <c r="D393" s="27" t="s">
        <v>584</v>
      </c>
      <c r="E393" s="110">
        <v>45438</v>
      </c>
      <c r="F393" s="109">
        <v>0.77569444444444446</v>
      </c>
      <c r="G393" s="113" t="s">
        <v>3042</v>
      </c>
      <c r="H393" s="113" t="s">
        <v>3040</v>
      </c>
      <c r="I393" s="113" t="s">
        <v>3043</v>
      </c>
      <c r="J393" s="115">
        <v>1000</v>
      </c>
      <c r="K393" s="115">
        <v>49000</v>
      </c>
      <c r="L393" s="28" t="s">
        <v>75</v>
      </c>
      <c r="M393" s="28" t="s">
        <v>75</v>
      </c>
      <c r="N393" s="28" t="s">
        <v>75</v>
      </c>
      <c r="O393" s="28" t="s">
        <v>75</v>
      </c>
      <c r="P393" s="28" t="s">
        <v>75</v>
      </c>
      <c r="Q393" s="28" t="s">
        <v>75</v>
      </c>
    </row>
    <row r="394" spans="2:17" ht="21" x14ac:dyDescent="0.35">
      <c r="B394" s="27">
        <v>72</v>
      </c>
      <c r="C394" s="27" t="s">
        <v>93</v>
      </c>
      <c r="D394" s="27" t="s">
        <v>584</v>
      </c>
      <c r="E394" s="110">
        <v>45440</v>
      </c>
      <c r="F394" s="109">
        <v>0.63680555555555551</v>
      </c>
      <c r="G394" s="113" t="s">
        <v>3044</v>
      </c>
      <c r="H394" s="113" t="s">
        <v>2778</v>
      </c>
      <c r="I394" s="113" t="s">
        <v>3045</v>
      </c>
      <c r="J394" s="115">
        <v>10000</v>
      </c>
      <c r="K394" s="115">
        <v>15000</v>
      </c>
      <c r="L394" s="28" t="s">
        <v>75</v>
      </c>
      <c r="M394" s="28" t="s">
        <v>75</v>
      </c>
      <c r="N394" s="28" t="s">
        <v>75</v>
      </c>
      <c r="O394" s="28" t="s">
        <v>75</v>
      </c>
      <c r="P394" s="28" t="s">
        <v>75</v>
      </c>
      <c r="Q394" s="28" t="s">
        <v>75</v>
      </c>
    </row>
    <row r="395" spans="2:17" ht="21" x14ac:dyDescent="0.35">
      <c r="B395" s="106">
        <v>73</v>
      </c>
      <c r="C395" s="27" t="s">
        <v>93</v>
      </c>
      <c r="D395" s="27" t="s">
        <v>584</v>
      </c>
      <c r="E395" s="110">
        <v>45442</v>
      </c>
      <c r="F395" s="28">
        <v>6.474537037037037E-2</v>
      </c>
      <c r="G395" s="113" t="s">
        <v>3046</v>
      </c>
      <c r="H395" s="113" t="s">
        <v>3047</v>
      </c>
      <c r="I395" s="113" t="s">
        <v>3027</v>
      </c>
      <c r="J395" s="115">
        <v>1000</v>
      </c>
      <c r="K395" s="115">
        <v>1500</v>
      </c>
      <c r="L395" s="28" t="s">
        <v>75</v>
      </c>
      <c r="M395" s="28" t="s">
        <v>75</v>
      </c>
      <c r="N395" s="28" t="s">
        <v>75</v>
      </c>
      <c r="O395" s="28" t="s">
        <v>75</v>
      </c>
      <c r="P395" s="28" t="s">
        <v>75</v>
      </c>
      <c r="Q395" s="28" t="s">
        <v>75</v>
      </c>
    </row>
    <row r="396" spans="2:17" ht="21" x14ac:dyDescent="0.35">
      <c r="B396" s="27">
        <v>74</v>
      </c>
      <c r="C396" s="27" t="s">
        <v>93</v>
      </c>
      <c r="D396" s="27" t="s">
        <v>584</v>
      </c>
      <c r="E396" s="110">
        <v>45442</v>
      </c>
      <c r="F396" s="28">
        <v>7.1874999999999994E-2</v>
      </c>
      <c r="G396" s="113" t="s">
        <v>3048</v>
      </c>
      <c r="H396" s="113" t="s">
        <v>2778</v>
      </c>
      <c r="I396" s="113" t="s">
        <v>3049</v>
      </c>
      <c r="J396" s="115">
        <v>1500</v>
      </c>
      <c r="K396" s="115">
        <v>3500</v>
      </c>
      <c r="L396" s="28" t="s">
        <v>75</v>
      </c>
      <c r="M396" s="28" t="s">
        <v>75</v>
      </c>
      <c r="N396" s="28" t="s">
        <v>75</v>
      </c>
      <c r="O396" s="28" t="s">
        <v>75</v>
      </c>
      <c r="P396" s="28" t="s">
        <v>75</v>
      </c>
      <c r="Q396" s="28" t="s">
        <v>75</v>
      </c>
    </row>
    <row r="397" spans="2:17" ht="21" x14ac:dyDescent="0.35">
      <c r="B397" s="27">
        <v>75</v>
      </c>
      <c r="C397" s="27" t="s">
        <v>93</v>
      </c>
      <c r="D397" s="27" t="s">
        <v>584</v>
      </c>
      <c r="E397" s="110">
        <v>45442</v>
      </c>
      <c r="F397" s="109">
        <v>0.55555555555555558</v>
      </c>
      <c r="G397" s="113" t="s">
        <v>3050</v>
      </c>
      <c r="H397" s="113" t="s">
        <v>2559</v>
      </c>
      <c r="I397" s="113" t="s">
        <v>3051</v>
      </c>
      <c r="J397" s="115">
        <v>50000</v>
      </c>
      <c r="K397" s="115">
        <v>150000</v>
      </c>
      <c r="L397" s="28" t="s">
        <v>75</v>
      </c>
      <c r="M397" s="28" t="s">
        <v>75</v>
      </c>
      <c r="N397" s="28" t="s">
        <v>75</v>
      </c>
      <c r="O397" s="28" t="s">
        <v>75</v>
      </c>
      <c r="P397" s="28" t="s">
        <v>75</v>
      </c>
      <c r="Q397" s="28" t="s">
        <v>75</v>
      </c>
    </row>
    <row r="398" spans="2:17" ht="21" x14ac:dyDescent="0.35">
      <c r="B398" s="27">
        <v>76</v>
      </c>
      <c r="C398" s="27" t="s">
        <v>93</v>
      </c>
      <c r="D398" s="27" t="s">
        <v>584</v>
      </c>
      <c r="E398" s="110">
        <v>45442</v>
      </c>
      <c r="F398" s="109">
        <v>0.60277777777777775</v>
      </c>
      <c r="G398" s="113" t="s">
        <v>3052</v>
      </c>
      <c r="H398" s="113" t="s">
        <v>2778</v>
      </c>
      <c r="I398" s="113" t="s">
        <v>2637</v>
      </c>
      <c r="J398" s="115">
        <v>25000</v>
      </c>
      <c r="K398" s="115">
        <v>75000</v>
      </c>
      <c r="L398" s="28" t="s">
        <v>75</v>
      </c>
      <c r="M398" s="28" t="s">
        <v>75</v>
      </c>
      <c r="N398" s="28" t="s">
        <v>75</v>
      </c>
      <c r="O398" s="28" t="s">
        <v>75</v>
      </c>
      <c r="P398" s="28" t="s">
        <v>75</v>
      </c>
      <c r="Q398" s="28" t="s">
        <v>75</v>
      </c>
    </row>
    <row r="399" spans="2:17" ht="21" x14ac:dyDescent="0.35">
      <c r="B399" s="27">
        <v>77</v>
      </c>
      <c r="C399" s="27" t="s">
        <v>93</v>
      </c>
      <c r="D399" s="27" t="s">
        <v>584</v>
      </c>
      <c r="E399" s="110">
        <v>45442</v>
      </c>
      <c r="F399" s="109">
        <v>0.62013888888888891</v>
      </c>
      <c r="G399" s="113" t="s">
        <v>3053</v>
      </c>
      <c r="H399" s="113" t="s">
        <v>2559</v>
      </c>
      <c r="I399" s="113" t="s">
        <v>2757</v>
      </c>
      <c r="J399" s="115">
        <v>20000</v>
      </c>
      <c r="K399" s="115">
        <v>30000</v>
      </c>
      <c r="L399" s="28" t="s">
        <v>75</v>
      </c>
      <c r="M399" s="28" t="s">
        <v>75</v>
      </c>
      <c r="N399" s="28" t="s">
        <v>75</v>
      </c>
      <c r="O399" s="28" t="s">
        <v>75</v>
      </c>
      <c r="P399" s="28" t="s">
        <v>75</v>
      </c>
      <c r="Q399" s="28" t="s">
        <v>75</v>
      </c>
    </row>
    <row r="400" spans="2:17" ht="21" x14ac:dyDescent="0.35">
      <c r="B400" s="106">
        <v>78</v>
      </c>
      <c r="C400" s="27" t="s">
        <v>93</v>
      </c>
      <c r="D400" s="27" t="s">
        <v>1792</v>
      </c>
      <c r="E400" s="110">
        <v>45430</v>
      </c>
      <c r="F400" s="109">
        <v>0.80763888888888891</v>
      </c>
      <c r="G400" s="113" t="s">
        <v>3054</v>
      </c>
      <c r="H400" s="113" t="s">
        <v>2578</v>
      </c>
      <c r="I400" s="113" t="s">
        <v>2035</v>
      </c>
      <c r="J400" s="115" t="s">
        <v>1801</v>
      </c>
      <c r="K400" s="115" t="s">
        <v>1810</v>
      </c>
      <c r="L400" s="28" t="s">
        <v>23</v>
      </c>
      <c r="M400" s="28" t="s">
        <v>23</v>
      </c>
      <c r="N400" s="28" t="s">
        <v>23</v>
      </c>
      <c r="O400" s="28" t="s">
        <v>23</v>
      </c>
      <c r="P400" s="28" t="s">
        <v>23</v>
      </c>
      <c r="Q400" s="28" t="s">
        <v>23</v>
      </c>
    </row>
    <row r="401" spans="2:17" ht="21" x14ac:dyDescent="0.35">
      <c r="B401" s="106">
        <v>79</v>
      </c>
      <c r="C401" s="27" t="s">
        <v>93</v>
      </c>
      <c r="D401" s="27" t="s">
        <v>1792</v>
      </c>
      <c r="E401" s="110">
        <v>45432</v>
      </c>
      <c r="F401" s="109">
        <v>0.55208333333333337</v>
      </c>
      <c r="G401" s="113" t="s">
        <v>3055</v>
      </c>
      <c r="H401" s="113" t="s">
        <v>406</v>
      </c>
      <c r="I401" s="113" t="s">
        <v>2035</v>
      </c>
      <c r="J401" s="115" t="s">
        <v>1802</v>
      </c>
      <c r="K401" s="115" t="s">
        <v>1841</v>
      </c>
      <c r="L401" s="28" t="s">
        <v>23</v>
      </c>
      <c r="M401" s="28" t="s">
        <v>23</v>
      </c>
      <c r="N401" s="28" t="s">
        <v>23</v>
      </c>
      <c r="O401" s="28" t="s">
        <v>23</v>
      </c>
      <c r="P401" s="28" t="s">
        <v>23</v>
      </c>
      <c r="Q401" s="28" t="s">
        <v>23</v>
      </c>
    </row>
    <row r="402" spans="2:17" ht="21" x14ac:dyDescent="0.35">
      <c r="B402" s="106">
        <v>80</v>
      </c>
      <c r="C402" s="27" t="s">
        <v>93</v>
      </c>
      <c r="D402" s="27" t="s">
        <v>1792</v>
      </c>
      <c r="E402" s="110">
        <v>45434</v>
      </c>
      <c r="F402" s="109">
        <v>0.3576388888888889</v>
      </c>
      <c r="G402" s="113" t="s">
        <v>3055</v>
      </c>
      <c r="H402" s="113" t="s">
        <v>2578</v>
      </c>
      <c r="I402" s="113" t="s">
        <v>3056</v>
      </c>
      <c r="J402" s="115" t="s">
        <v>1803</v>
      </c>
      <c r="K402" s="115" t="s">
        <v>1842</v>
      </c>
      <c r="L402" s="28" t="s">
        <v>23</v>
      </c>
      <c r="M402" s="28" t="s">
        <v>23</v>
      </c>
      <c r="N402" s="28" t="s">
        <v>23</v>
      </c>
      <c r="O402" s="28" t="s">
        <v>23</v>
      </c>
      <c r="P402" s="28" t="s">
        <v>23</v>
      </c>
      <c r="Q402" s="28" t="s">
        <v>23</v>
      </c>
    </row>
    <row r="403" spans="2:17" ht="21" x14ac:dyDescent="0.35">
      <c r="B403" s="106">
        <v>81</v>
      </c>
      <c r="C403" s="27" t="s">
        <v>93</v>
      </c>
      <c r="D403" s="27" t="s">
        <v>1792</v>
      </c>
      <c r="E403" s="110">
        <v>45441</v>
      </c>
      <c r="F403" s="109">
        <v>0.56527777777777777</v>
      </c>
      <c r="G403" s="113" t="s">
        <v>3057</v>
      </c>
      <c r="H403" s="113" t="s">
        <v>406</v>
      </c>
      <c r="I403" s="113" t="s">
        <v>3058</v>
      </c>
      <c r="J403" s="115" t="s">
        <v>1801</v>
      </c>
      <c r="K403" s="115" t="s">
        <v>1810</v>
      </c>
      <c r="L403" s="28" t="s">
        <v>23</v>
      </c>
      <c r="M403" s="28" t="s">
        <v>23</v>
      </c>
      <c r="N403" s="28" t="s">
        <v>23</v>
      </c>
      <c r="O403" s="28" t="s">
        <v>23</v>
      </c>
      <c r="P403" s="28" t="s">
        <v>23</v>
      </c>
      <c r="Q403" s="28" t="s">
        <v>23</v>
      </c>
    </row>
    <row r="404" spans="2:17" ht="21" x14ac:dyDescent="0.35">
      <c r="B404" s="106">
        <v>82</v>
      </c>
      <c r="C404" s="27" t="s">
        <v>93</v>
      </c>
      <c r="D404" s="27" t="s">
        <v>1792</v>
      </c>
      <c r="E404" s="110">
        <v>45442</v>
      </c>
      <c r="F404" s="109">
        <v>0.59722222222222221</v>
      </c>
      <c r="G404" s="113" t="s">
        <v>3059</v>
      </c>
      <c r="H404" s="113" t="s">
        <v>2578</v>
      </c>
      <c r="I404" s="127" t="s">
        <v>340</v>
      </c>
      <c r="J404" s="115" t="s">
        <v>1794</v>
      </c>
      <c r="K404" s="115" t="s">
        <v>1843</v>
      </c>
      <c r="L404" s="28" t="s">
        <v>23</v>
      </c>
      <c r="M404" s="28" t="s">
        <v>23</v>
      </c>
      <c r="N404" s="28" t="s">
        <v>23</v>
      </c>
      <c r="O404" s="28" t="s">
        <v>23</v>
      </c>
      <c r="P404" s="28" t="s">
        <v>23</v>
      </c>
      <c r="Q404" s="28" t="s">
        <v>23</v>
      </c>
    </row>
    <row r="405" spans="2:17" ht="21" x14ac:dyDescent="0.35">
      <c r="B405" s="106">
        <v>83</v>
      </c>
      <c r="C405" s="27" t="s">
        <v>93</v>
      </c>
      <c r="D405" s="27" t="s">
        <v>1791</v>
      </c>
      <c r="E405" s="110">
        <v>45414</v>
      </c>
      <c r="F405" s="109">
        <v>0.66388888888888886</v>
      </c>
      <c r="G405" s="113" t="s">
        <v>3060</v>
      </c>
      <c r="H405" s="113" t="s">
        <v>406</v>
      </c>
      <c r="I405" s="104" t="s">
        <v>3633</v>
      </c>
      <c r="J405" s="115" t="s">
        <v>20</v>
      </c>
      <c r="K405" s="115" t="s">
        <v>20</v>
      </c>
      <c r="L405" s="28" t="s">
        <v>23</v>
      </c>
      <c r="M405" s="28" t="s">
        <v>23</v>
      </c>
      <c r="N405" s="28" t="s">
        <v>23</v>
      </c>
      <c r="O405" s="28" t="s">
        <v>23</v>
      </c>
      <c r="P405" s="28" t="s">
        <v>23</v>
      </c>
      <c r="Q405" s="28" t="s">
        <v>23</v>
      </c>
    </row>
    <row r="406" spans="2:17" ht="39" x14ac:dyDescent="0.35">
      <c r="B406" s="106">
        <v>84</v>
      </c>
      <c r="C406" s="27" t="s">
        <v>93</v>
      </c>
      <c r="D406" s="27" t="s">
        <v>1791</v>
      </c>
      <c r="E406" s="110">
        <v>45416</v>
      </c>
      <c r="F406" s="109">
        <v>0.45277777777777778</v>
      </c>
      <c r="G406" s="113" t="s">
        <v>3061</v>
      </c>
      <c r="H406" s="113" t="s">
        <v>3062</v>
      </c>
      <c r="I406" s="104" t="s">
        <v>3620</v>
      </c>
      <c r="J406" s="115" t="s">
        <v>269</v>
      </c>
      <c r="K406" s="115" t="s">
        <v>270</v>
      </c>
      <c r="L406" s="28" t="s">
        <v>23</v>
      </c>
      <c r="M406" s="28" t="s">
        <v>23</v>
      </c>
      <c r="N406" s="28" t="s">
        <v>23</v>
      </c>
      <c r="O406" s="28" t="s">
        <v>23</v>
      </c>
      <c r="P406" s="28" t="s">
        <v>23</v>
      </c>
      <c r="Q406" s="28" t="s">
        <v>23</v>
      </c>
    </row>
    <row r="407" spans="2:17" ht="21" x14ac:dyDescent="0.35">
      <c r="B407" s="106">
        <v>85</v>
      </c>
      <c r="C407" s="27" t="s">
        <v>93</v>
      </c>
      <c r="D407" s="27" t="s">
        <v>1791</v>
      </c>
      <c r="E407" s="110">
        <v>45418</v>
      </c>
      <c r="F407" s="109">
        <v>0.8041666666666667</v>
      </c>
      <c r="G407" s="113" t="s">
        <v>3063</v>
      </c>
      <c r="H407" s="113" t="s">
        <v>406</v>
      </c>
      <c r="I407" s="104" t="s">
        <v>3633</v>
      </c>
      <c r="J407" s="115" t="s">
        <v>20</v>
      </c>
      <c r="K407" s="115" t="s">
        <v>20</v>
      </c>
      <c r="L407" s="28" t="s">
        <v>23</v>
      </c>
      <c r="M407" s="28" t="s">
        <v>23</v>
      </c>
      <c r="N407" s="28" t="s">
        <v>23</v>
      </c>
      <c r="O407" s="28" t="s">
        <v>23</v>
      </c>
      <c r="P407" s="28" t="s">
        <v>23</v>
      </c>
      <c r="Q407" s="28" t="s">
        <v>23</v>
      </c>
    </row>
    <row r="408" spans="2:17" ht="21" x14ac:dyDescent="0.35">
      <c r="B408" s="106">
        <v>86</v>
      </c>
      <c r="C408" s="27" t="s">
        <v>93</v>
      </c>
      <c r="D408" s="27" t="s">
        <v>1791</v>
      </c>
      <c r="E408" s="110">
        <v>45420</v>
      </c>
      <c r="F408" s="109">
        <v>0.70625000000000004</v>
      </c>
      <c r="G408" s="113" t="s">
        <v>3064</v>
      </c>
      <c r="H408" s="113" t="s">
        <v>406</v>
      </c>
      <c r="I408" s="104" t="s">
        <v>3617</v>
      </c>
      <c r="J408" s="115" t="s">
        <v>20</v>
      </c>
      <c r="K408" s="115" t="s">
        <v>20</v>
      </c>
      <c r="L408" s="28" t="s">
        <v>23</v>
      </c>
      <c r="M408" s="28" t="s">
        <v>23</v>
      </c>
      <c r="N408" s="28" t="s">
        <v>23</v>
      </c>
      <c r="O408" s="28" t="s">
        <v>23</v>
      </c>
      <c r="P408" s="28" t="s">
        <v>23</v>
      </c>
      <c r="Q408" s="28" t="s">
        <v>23</v>
      </c>
    </row>
    <row r="409" spans="2:17" ht="39" x14ac:dyDescent="0.35">
      <c r="B409" s="106">
        <v>87</v>
      </c>
      <c r="C409" s="27" t="s">
        <v>93</v>
      </c>
      <c r="D409" s="27" t="s">
        <v>1791</v>
      </c>
      <c r="E409" s="110">
        <v>45423</v>
      </c>
      <c r="F409" s="109">
        <v>0.24791666666666667</v>
      </c>
      <c r="G409" s="113" t="s">
        <v>3065</v>
      </c>
      <c r="H409" s="113" t="s">
        <v>3066</v>
      </c>
      <c r="I409" s="104" t="s">
        <v>3643</v>
      </c>
      <c r="J409" s="115" t="s">
        <v>156</v>
      </c>
      <c r="K409" s="115" t="s">
        <v>271</v>
      </c>
      <c r="L409" s="28" t="s">
        <v>23</v>
      </c>
      <c r="M409" s="28" t="s">
        <v>23</v>
      </c>
      <c r="N409" s="28" t="s">
        <v>23</v>
      </c>
      <c r="O409" s="28" t="s">
        <v>23</v>
      </c>
      <c r="P409" s="28" t="s">
        <v>23</v>
      </c>
      <c r="Q409" s="28" t="s">
        <v>23</v>
      </c>
    </row>
    <row r="410" spans="2:17" ht="39" x14ac:dyDescent="0.35">
      <c r="B410" s="106">
        <v>88</v>
      </c>
      <c r="C410" s="27" t="s">
        <v>93</v>
      </c>
      <c r="D410" s="27" t="s">
        <v>1791</v>
      </c>
      <c r="E410" s="110">
        <v>45425</v>
      </c>
      <c r="F410" s="109">
        <v>0.5625</v>
      </c>
      <c r="G410" s="130" t="s">
        <v>3646</v>
      </c>
      <c r="H410" s="113" t="s">
        <v>3067</v>
      </c>
      <c r="I410" s="104" t="s">
        <v>3647</v>
      </c>
      <c r="J410" s="115" t="s">
        <v>189</v>
      </c>
      <c r="K410" s="115" t="s">
        <v>272</v>
      </c>
      <c r="L410" s="28" t="s">
        <v>23</v>
      </c>
      <c r="M410" s="28" t="s">
        <v>23</v>
      </c>
      <c r="N410" s="28">
        <v>3</v>
      </c>
      <c r="O410" s="28" t="s">
        <v>23</v>
      </c>
      <c r="P410" s="28" t="s">
        <v>23</v>
      </c>
      <c r="Q410" s="28" t="s">
        <v>23</v>
      </c>
    </row>
    <row r="411" spans="2:17" ht="21" x14ac:dyDescent="0.35">
      <c r="B411" s="106">
        <v>89</v>
      </c>
      <c r="C411" s="27" t="s">
        <v>93</v>
      </c>
      <c r="D411" s="27" t="s">
        <v>1791</v>
      </c>
      <c r="E411" s="110">
        <v>45427</v>
      </c>
      <c r="F411" s="109">
        <v>0.48958333333333331</v>
      </c>
      <c r="G411" s="113" t="s">
        <v>3068</v>
      </c>
      <c r="H411" s="113" t="s">
        <v>406</v>
      </c>
      <c r="I411" s="104" t="s">
        <v>3617</v>
      </c>
      <c r="J411" s="115" t="s">
        <v>23</v>
      </c>
      <c r="K411" s="115" t="s">
        <v>23</v>
      </c>
      <c r="L411" s="28" t="s">
        <v>23</v>
      </c>
      <c r="M411" s="28" t="s">
        <v>23</v>
      </c>
      <c r="N411" s="28" t="s">
        <v>23</v>
      </c>
      <c r="O411" s="28" t="s">
        <v>23</v>
      </c>
      <c r="P411" s="28" t="s">
        <v>23</v>
      </c>
      <c r="Q411" s="28" t="s">
        <v>23</v>
      </c>
    </row>
    <row r="412" spans="2:17" ht="39" x14ac:dyDescent="0.35">
      <c r="B412" s="106">
        <v>90</v>
      </c>
      <c r="C412" s="27" t="s">
        <v>93</v>
      </c>
      <c r="D412" s="27" t="s">
        <v>1791</v>
      </c>
      <c r="E412" s="110">
        <v>45428</v>
      </c>
      <c r="F412" s="109">
        <v>0.78194444444444444</v>
      </c>
      <c r="G412" s="113" t="s">
        <v>3069</v>
      </c>
      <c r="H412" s="113" t="s">
        <v>309</v>
      </c>
      <c r="I412" s="104" t="s">
        <v>3618</v>
      </c>
      <c r="J412" s="115" t="s">
        <v>154</v>
      </c>
      <c r="K412" s="115" t="s">
        <v>273</v>
      </c>
      <c r="L412" s="28" t="s">
        <v>23</v>
      </c>
      <c r="M412" s="28" t="s">
        <v>23</v>
      </c>
      <c r="N412" s="28" t="s">
        <v>23</v>
      </c>
      <c r="O412" s="28" t="s">
        <v>23</v>
      </c>
      <c r="P412" s="28" t="s">
        <v>23</v>
      </c>
      <c r="Q412" s="28" t="s">
        <v>23</v>
      </c>
    </row>
    <row r="413" spans="2:17" ht="39" x14ac:dyDescent="0.35">
      <c r="B413" s="106">
        <v>91</v>
      </c>
      <c r="C413" s="27" t="s">
        <v>93</v>
      </c>
      <c r="D413" s="27" t="s">
        <v>1791</v>
      </c>
      <c r="E413" s="110">
        <v>45428</v>
      </c>
      <c r="F413" s="109">
        <v>0.9506944444444444</v>
      </c>
      <c r="G413" s="113" t="s">
        <v>3070</v>
      </c>
      <c r="H413" s="113" t="s">
        <v>3071</v>
      </c>
      <c r="I413" s="104" t="s">
        <v>3619</v>
      </c>
      <c r="J413" s="115" t="s">
        <v>231</v>
      </c>
      <c r="K413" s="115" t="s">
        <v>275</v>
      </c>
      <c r="L413" s="28" t="s">
        <v>23</v>
      </c>
      <c r="M413" s="28" t="s">
        <v>23</v>
      </c>
      <c r="N413" s="28" t="s">
        <v>23</v>
      </c>
      <c r="O413" s="28" t="s">
        <v>23</v>
      </c>
      <c r="P413" s="28" t="s">
        <v>23</v>
      </c>
      <c r="Q413" s="28" t="s">
        <v>23</v>
      </c>
    </row>
    <row r="414" spans="2:17" ht="39" x14ac:dyDescent="0.35">
      <c r="B414" s="27">
        <v>92</v>
      </c>
      <c r="C414" s="27" t="s">
        <v>93</v>
      </c>
      <c r="D414" s="27" t="s">
        <v>1791</v>
      </c>
      <c r="E414" s="108">
        <v>45429</v>
      </c>
      <c r="F414" s="109">
        <v>1.2500000000000001E-2</v>
      </c>
      <c r="G414" s="113" t="s">
        <v>3072</v>
      </c>
      <c r="H414" s="104" t="s">
        <v>309</v>
      </c>
      <c r="I414" s="104" t="s">
        <v>3073</v>
      </c>
      <c r="J414" s="115" t="s">
        <v>156</v>
      </c>
      <c r="K414" s="115" t="s">
        <v>276</v>
      </c>
      <c r="L414" s="28" t="s">
        <v>23</v>
      </c>
      <c r="M414" s="28" t="s">
        <v>23</v>
      </c>
      <c r="N414" s="28" t="s">
        <v>23</v>
      </c>
      <c r="O414" s="28" t="s">
        <v>23</v>
      </c>
      <c r="P414" s="28" t="s">
        <v>23</v>
      </c>
      <c r="Q414" s="28" t="s">
        <v>23</v>
      </c>
    </row>
    <row r="415" spans="2:17" ht="21" x14ac:dyDescent="0.35">
      <c r="B415" s="27">
        <v>93</v>
      </c>
      <c r="C415" s="27" t="s">
        <v>93</v>
      </c>
      <c r="D415" s="27" t="s">
        <v>1791</v>
      </c>
      <c r="E415" s="108">
        <v>45432</v>
      </c>
      <c r="F415" s="109">
        <v>0.91249999999999998</v>
      </c>
      <c r="G415" s="113" t="s">
        <v>3074</v>
      </c>
      <c r="H415" s="104" t="s">
        <v>2595</v>
      </c>
      <c r="I415" s="104" t="s">
        <v>20</v>
      </c>
      <c r="J415" s="115" t="s">
        <v>20</v>
      </c>
      <c r="K415" s="115" t="s">
        <v>20</v>
      </c>
      <c r="L415" s="28" t="s">
        <v>23</v>
      </c>
      <c r="M415" s="28" t="s">
        <v>23</v>
      </c>
      <c r="N415" s="28" t="s">
        <v>23</v>
      </c>
      <c r="O415" s="28" t="s">
        <v>23</v>
      </c>
      <c r="P415" s="28" t="s">
        <v>23</v>
      </c>
      <c r="Q415" s="28" t="s">
        <v>23</v>
      </c>
    </row>
    <row r="416" spans="2:17" ht="39" x14ac:dyDescent="0.35">
      <c r="B416" s="106">
        <v>94</v>
      </c>
      <c r="C416" s="27" t="s">
        <v>93</v>
      </c>
      <c r="D416" s="27" t="s">
        <v>1791</v>
      </c>
      <c r="E416" s="110">
        <v>45439</v>
      </c>
      <c r="F416" s="109">
        <v>0.8520833333333333</v>
      </c>
      <c r="G416" s="113" t="s">
        <v>3075</v>
      </c>
      <c r="H416" s="113" t="s">
        <v>309</v>
      </c>
      <c r="I416" s="104" t="s">
        <v>3620</v>
      </c>
      <c r="J416" s="115" t="s">
        <v>156</v>
      </c>
      <c r="K416" s="115" t="s">
        <v>278</v>
      </c>
      <c r="L416" s="28" t="s">
        <v>23</v>
      </c>
      <c r="M416" s="28" t="s">
        <v>23</v>
      </c>
      <c r="N416" s="28" t="s">
        <v>23</v>
      </c>
      <c r="O416" s="28" t="s">
        <v>23</v>
      </c>
      <c r="P416" s="28" t="s">
        <v>23</v>
      </c>
      <c r="Q416" s="28" t="s">
        <v>23</v>
      </c>
    </row>
    <row r="417" spans="2:17" ht="21" x14ac:dyDescent="0.35">
      <c r="B417" s="27">
        <v>95</v>
      </c>
      <c r="C417" s="27" t="s">
        <v>93</v>
      </c>
      <c r="D417" s="27" t="s">
        <v>1791</v>
      </c>
      <c r="E417" s="108">
        <v>45442</v>
      </c>
      <c r="F417" s="109">
        <v>0.18194444444444444</v>
      </c>
      <c r="G417" s="113" t="s">
        <v>3076</v>
      </c>
      <c r="H417" s="104" t="s">
        <v>2595</v>
      </c>
      <c r="I417" s="104" t="s">
        <v>20</v>
      </c>
      <c r="J417" s="115" t="s">
        <v>20</v>
      </c>
      <c r="K417" s="115" t="s">
        <v>20</v>
      </c>
      <c r="L417" s="28" t="s">
        <v>23</v>
      </c>
      <c r="M417" s="28" t="s">
        <v>23</v>
      </c>
      <c r="N417" s="28" t="s">
        <v>23</v>
      </c>
      <c r="O417" s="28" t="s">
        <v>23</v>
      </c>
      <c r="P417" s="28" t="s">
        <v>23</v>
      </c>
      <c r="Q417" s="28" t="s">
        <v>23</v>
      </c>
    </row>
    <row r="418" spans="2:17" ht="21" x14ac:dyDescent="0.35">
      <c r="B418" s="106">
        <v>96</v>
      </c>
      <c r="C418" s="27" t="s">
        <v>93</v>
      </c>
      <c r="D418" s="27" t="s">
        <v>1791</v>
      </c>
      <c r="E418" s="110">
        <v>45443</v>
      </c>
      <c r="F418" s="109">
        <v>0.2388888888888889</v>
      </c>
      <c r="G418" s="113" t="s">
        <v>3077</v>
      </c>
      <c r="H418" s="113" t="s">
        <v>406</v>
      </c>
      <c r="I418" s="104" t="s">
        <v>3078</v>
      </c>
      <c r="J418" s="115" t="s">
        <v>23</v>
      </c>
      <c r="K418" s="115" t="s">
        <v>23</v>
      </c>
      <c r="L418" s="28" t="s">
        <v>23</v>
      </c>
      <c r="M418" s="28" t="s">
        <v>23</v>
      </c>
      <c r="N418" s="28" t="s">
        <v>23</v>
      </c>
      <c r="O418" s="28" t="s">
        <v>23</v>
      </c>
      <c r="P418" s="28" t="s">
        <v>23</v>
      </c>
      <c r="Q418" s="28" t="s">
        <v>23</v>
      </c>
    </row>
    <row r="419" spans="2:17" ht="21" x14ac:dyDescent="0.35">
      <c r="B419" s="27">
        <v>97</v>
      </c>
      <c r="C419" s="27" t="s">
        <v>93</v>
      </c>
      <c r="D419" s="27" t="s">
        <v>587</v>
      </c>
      <c r="E419" s="110">
        <v>45414</v>
      </c>
      <c r="F419" s="109">
        <v>0.54722222222222228</v>
      </c>
      <c r="G419" s="113" t="s">
        <v>3079</v>
      </c>
      <c r="H419" s="113" t="s">
        <v>3080</v>
      </c>
      <c r="I419" s="113" t="s">
        <v>3081</v>
      </c>
      <c r="J419" s="115">
        <v>2000</v>
      </c>
      <c r="K419" s="115">
        <v>5000</v>
      </c>
      <c r="L419" s="28" t="s">
        <v>23</v>
      </c>
      <c r="M419" s="28" t="s">
        <v>23</v>
      </c>
      <c r="N419" s="28" t="s">
        <v>23</v>
      </c>
      <c r="O419" s="28" t="s">
        <v>23</v>
      </c>
      <c r="P419" s="28" t="s">
        <v>23</v>
      </c>
      <c r="Q419" s="28" t="s">
        <v>23</v>
      </c>
    </row>
    <row r="420" spans="2:17" ht="21" x14ac:dyDescent="0.35">
      <c r="B420" s="27">
        <v>98</v>
      </c>
      <c r="C420" s="27" t="s">
        <v>93</v>
      </c>
      <c r="D420" s="27" t="s">
        <v>587</v>
      </c>
      <c r="E420" s="110">
        <v>45414</v>
      </c>
      <c r="F420" s="109">
        <v>0.65277777777777779</v>
      </c>
      <c r="G420" s="113" t="s">
        <v>3082</v>
      </c>
      <c r="H420" s="113" t="s">
        <v>3083</v>
      </c>
      <c r="I420" s="113" t="s">
        <v>421</v>
      </c>
      <c r="J420" s="115">
        <v>3000</v>
      </c>
      <c r="K420" s="115">
        <v>10000</v>
      </c>
      <c r="L420" s="28" t="s">
        <v>23</v>
      </c>
      <c r="M420" s="28" t="s">
        <v>23</v>
      </c>
      <c r="N420" s="28" t="s">
        <v>23</v>
      </c>
      <c r="O420" s="28" t="s">
        <v>23</v>
      </c>
      <c r="P420" s="28" t="s">
        <v>23</v>
      </c>
      <c r="Q420" s="28" t="s">
        <v>23</v>
      </c>
    </row>
    <row r="421" spans="2:17" ht="21" x14ac:dyDescent="0.35">
      <c r="B421" s="27">
        <v>99</v>
      </c>
      <c r="C421" s="27" t="s">
        <v>93</v>
      </c>
      <c r="D421" s="27" t="s">
        <v>587</v>
      </c>
      <c r="E421" s="110">
        <v>45418</v>
      </c>
      <c r="F421" s="109">
        <v>0.86805555555555558</v>
      </c>
      <c r="G421" s="113" t="s">
        <v>3084</v>
      </c>
      <c r="H421" s="113" t="s">
        <v>3085</v>
      </c>
      <c r="I421" s="113" t="s">
        <v>3086</v>
      </c>
      <c r="J421" s="115">
        <v>150000</v>
      </c>
      <c r="K421" s="115">
        <v>150000</v>
      </c>
      <c r="L421" s="28" t="s">
        <v>23</v>
      </c>
      <c r="M421" s="28" t="s">
        <v>23</v>
      </c>
      <c r="N421" s="28" t="s">
        <v>23</v>
      </c>
      <c r="O421" s="28" t="s">
        <v>23</v>
      </c>
      <c r="P421" s="28" t="s">
        <v>23</v>
      </c>
      <c r="Q421" s="28" t="s">
        <v>23</v>
      </c>
    </row>
    <row r="422" spans="2:17" ht="21" x14ac:dyDescent="0.35">
      <c r="B422" s="27">
        <v>100</v>
      </c>
      <c r="C422" s="27" t="s">
        <v>93</v>
      </c>
      <c r="D422" s="27" t="s">
        <v>587</v>
      </c>
      <c r="E422" s="110">
        <v>45420</v>
      </c>
      <c r="F422" s="109">
        <v>0.80902777777777779</v>
      </c>
      <c r="G422" s="113" t="s">
        <v>3087</v>
      </c>
      <c r="H422" s="113" t="s">
        <v>406</v>
      </c>
      <c r="I422" s="113" t="s">
        <v>3088</v>
      </c>
      <c r="J422" s="115">
        <v>60000</v>
      </c>
      <c r="K422" s="115">
        <v>40000</v>
      </c>
      <c r="L422" s="28" t="s">
        <v>23</v>
      </c>
      <c r="M422" s="28" t="s">
        <v>23</v>
      </c>
      <c r="N422" s="28" t="s">
        <v>23</v>
      </c>
      <c r="O422" s="28" t="s">
        <v>23</v>
      </c>
      <c r="P422" s="28" t="s">
        <v>23</v>
      </c>
      <c r="Q422" s="28" t="s">
        <v>23</v>
      </c>
    </row>
    <row r="423" spans="2:17" ht="21" x14ac:dyDescent="0.35">
      <c r="B423" s="27">
        <v>101</v>
      </c>
      <c r="C423" s="27" t="s">
        <v>93</v>
      </c>
      <c r="D423" s="27" t="s">
        <v>587</v>
      </c>
      <c r="E423" s="110">
        <v>45422</v>
      </c>
      <c r="F423" s="109">
        <v>2.2222222222222223E-2</v>
      </c>
      <c r="G423" s="113" t="s">
        <v>3089</v>
      </c>
      <c r="H423" s="113" t="s">
        <v>3090</v>
      </c>
      <c r="I423" s="113" t="s">
        <v>3091</v>
      </c>
      <c r="J423" s="115">
        <v>20000</v>
      </c>
      <c r="K423" s="115">
        <v>480000</v>
      </c>
      <c r="L423" s="28" t="s">
        <v>23</v>
      </c>
      <c r="M423" s="28" t="s">
        <v>23</v>
      </c>
      <c r="N423" s="28" t="s">
        <v>23</v>
      </c>
      <c r="O423" s="28" t="s">
        <v>23</v>
      </c>
      <c r="P423" s="28" t="s">
        <v>23</v>
      </c>
      <c r="Q423" s="28" t="s">
        <v>23</v>
      </c>
    </row>
    <row r="424" spans="2:17" ht="21" x14ac:dyDescent="0.35">
      <c r="B424" s="27">
        <v>102</v>
      </c>
      <c r="C424" s="27" t="s">
        <v>93</v>
      </c>
      <c r="D424" s="27" t="s">
        <v>587</v>
      </c>
      <c r="E424" s="110">
        <v>45422</v>
      </c>
      <c r="F424" s="109">
        <v>0.96180555555555558</v>
      </c>
      <c r="G424" s="113" t="s">
        <v>3092</v>
      </c>
      <c r="H424" s="113" t="s">
        <v>406</v>
      </c>
      <c r="I424" s="113" t="s">
        <v>2019</v>
      </c>
      <c r="J424" s="115" t="s">
        <v>20</v>
      </c>
      <c r="K424" s="115" t="s">
        <v>20</v>
      </c>
      <c r="L424" s="28" t="s">
        <v>23</v>
      </c>
      <c r="M424" s="28" t="s">
        <v>23</v>
      </c>
      <c r="N424" s="28" t="s">
        <v>23</v>
      </c>
      <c r="O424" s="28" t="s">
        <v>23</v>
      </c>
      <c r="P424" s="28" t="s">
        <v>23</v>
      </c>
      <c r="Q424" s="28" t="s">
        <v>23</v>
      </c>
    </row>
    <row r="425" spans="2:17" ht="39" x14ac:dyDescent="0.35">
      <c r="B425" s="27">
        <v>103</v>
      </c>
      <c r="C425" s="27" t="s">
        <v>93</v>
      </c>
      <c r="D425" s="27" t="s">
        <v>587</v>
      </c>
      <c r="E425" s="26" t="s">
        <v>586</v>
      </c>
      <c r="F425" s="109">
        <v>0.89236111111111116</v>
      </c>
      <c r="G425" s="113" t="s">
        <v>3093</v>
      </c>
      <c r="H425" s="113" t="s">
        <v>406</v>
      </c>
      <c r="I425" s="113" t="s">
        <v>3094</v>
      </c>
      <c r="J425" s="115">
        <v>60000</v>
      </c>
      <c r="K425" s="115">
        <v>140000</v>
      </c>
      <c r="L425" s="28" t="s">
        <v>23</v>
      </c>
      <c r="M425" s="28" t="s">
        <v>23</v>
      </c>
      <c r="N425" s="28" t="s">
        <v>23</v>
      </c>
      <c r="O425" s="28" t="s">
        <v>23</v>
      </c>
      <c r="P425" s="28" t="s">
        <v>23</v>
      </c>
      <c r="Q425" s="28" t="s">
        <v>23</v>
      </c>
    </row>
    <row r="426" spans="2:17" ht="21" x14ac:dyDescent="0.35">
      <c r="B426" s="27">
        <v>104</v>
      </c>
      <c r="C426" s="27" t="s">
        <v>93</v>
      </c>
      <c r="D426" s="27" t="s">
        <v>587</v>
      </c>
      <c r="E426" s="110">
        <v>45442</v>
      </c>
      <c r="F426" s="109">
        <v>0.55763888888888891</v>
      </c>
      <c r="G426" s="113" t="s">
        <v>3095</v>
      </c>
      <c r="H426" s="113" t="s">
        <v>406</v>
      </c>
      <c r="I426" s="113" t="s">
        <v>3096</v>
      </c>
      <c r="J426" s="115">
        <v>3000</v>
      </c>
      <c r="K426" s="115">
        <v>97000</v>
      </c>
      <c r="L426" s="28" t="s">
        <v>23</v>
      </c>
      <c r="M426" s="28" t="s">
        <v>23</v>
      </c>
      <c r="N426" s="28" t="s">
        <v>23</v>
      </c>
      <c r="O426" s="28" t="s">
        <v>23</v>
      </c>
      <c r="P426" s="28" t="s">
        <v>23</v>
      </c>
      <c r="Q426" s="28" t="s">
        <v>23</v>
      </c>
    </row>
    <row r="427" spans="2:17" ht="21" x14ac:dyDescent="0.35">
      <c r="B427" s="27">
        <v>1</v>
      </c>
      <c r="C427" s="27" t="s">
        <v>93</v>
      </c>
      <c r="D427" s="28" t="s">
        <v>57</v>
      </c>
      <c r="E427" s="110">
        <v>45429</v>
      </c>
      <c r="F427" s="109">
        <v>0.51388888888888884</v>
      </c>
      <c r="G427" s="131"/>
      <c r="H427" s="113" t="s">
        <v>3097</v>
      </c>
      <c r="I427" s="131"/>
      <c r="J427" s="115" t="s">
        <v>204</v>
      </c>
      <c r="K427" s="115" t="s">
        <v>282</v>
      </c>
      <c r="L427" s="28" t="s">
        <v>61</v>
      </c>
      <c r="M427" s="28" t="s">
        <v>61</v>
      </c>
      <c r="N427" s="28" t="s">
        <v>61</v>
      </c>
      <c r="O427" s="28" t="s">
        <v>61</v>
      </c>
      <c r="P427" s="28" t="s">
        <v>61</v>
      </c>
      <c r="Q427" s="28" t="s">
        <v>61</v>
      </c>
    </row>
    <row r="428" spans="2:17" ht="21" x14ac:dyDescent="0.35">
      <c r="B428" s="27">
        <v>1</v>
      </c>
      <c r="C428" s="27" t="s">
        <v>93</v>
      </c>
      <c r="D428" s="27" t="s">
        <v>94</v>
      </c>
      <c r="E428" s="108">
        <v>45569</v>
      </c>
      <c r="F428" s="109">
        <v>0.59583333333333333</v>
      </c>
      <c r="G428" s="104" t="s">
        <v>3098</v>
      </c>
      <c r="H428" s="104" t="s">
        <v>3099</v>
      </c>
      <c r="I428" s="104" t="s">
        <v>3100</v>
      </c>
      <c r="J428" s="115">
        <v>4000</v>
      </c>
      <c r="K428" s="115">
        <v>46000</v>
      </c>
      <c r="L428" s="28" t="s">
        <v>20</v>
      </c>
      <c r="M428" s="28" t="s">
        <v>20</v>
      </c>
      <c r="N428" s="28" t="s">
        <v>20</v>
      </c>
      <c r="O428" s="28" t="s">
        <v>20</v>
      </c>
      <c r="P428" s="28" t="s">
        <v>20</v>
      </c>
      <c r="Q428" s="28" t="s">
        <v>20</v>
      </c>
    </row>
    <row r="429" spans="2:17" ht="21" x14ac:dyDescent="0.35">
      <c r="B429" s="27">
        <v>2</v>
      </c>
      <c r="C429" s="27" t="s">
        <v>93</v>
      </c>
      <c r="D429" s="27" t="s">
        <v>94</v>
      </c>
      <c r="E429" s="108">
        <v>45569</v>
      </c>
      <c r="F429" s="109">
        <v>0.65902777777777777</v>
      </c>
      <c r="G429" s="104" t="s">
        <v>3101</v>
      </c>
      <c r="H429" s="128" t="s">
        <v>406</v>
      </c>
      <c r="I429" s="104" t="s">
        <v>3102</v>
      </c>
      <c r="J429" s="115">
        <v>60000</v>
      </c>
      <c r="K429" s="115">
        <v>1140000</v>
      </c>
      <c r="L429" s="28" t="s">
        <v>20</v>
      </c>
      <c r="M429" s="28" t="s">
        <v>20</v>
      </c>
      <c r="N429" s="28" t="s">
        <v>20</v>
      </c>
      <c r="O429" s="28" t="s">
        <v>20</v>
      </c>
      <c r="P429" s="28" t="s">
        <v>20</v>
      </c>
      <c r="Q429" s="28" t="s">
        <v>20</v>
      </c>
    </row>
    <row r="430" spans="2:17" ht="21" x14ac:dyDescent="0.35">
      <c r="B430" s="27">
        <v>3</v>
      </c>
      <c r="C430" s="27" t="s">
        <v>93</v>
      </c>
      <c r="D430" s="27" t="s">
        <v>94</v>
      </c>
      <c r="E430" s="108">
        <v>45575</v>
      </c>
      <c r="F430" s="109">
        <v>0.7944444444444444</v>
      </c>
      <c r="G430" s="104" t="s">
        <v>3103</v>
      </c>
      <c r="H430" s="104" t="s">
        <v>3104</v>
      </c>
      <c r="I430" s="104" t="s">
        <v>3105</v>
      </c>
      <c r="J430" s="115">
        <v>3000</v>
      </c>
      <c r="K430" s="115">
        <v>497000</v>
      </c>
      <c r="L430" s="28" t="s">
        <v>20</v>
      </c>
      <c r="M430" s="28" t="s">
        <v>20</v>
      </c>
      <c r="N430" s="28" t="s">
        <v>20</v>
      </c>
      <c r="O430" s="28" t="s">
        <v>20</v>
      </c>
      <c r="P430" s="28" t="s">
        <v>20</v>
      </c>
      <c r="Q430" s="28" t="s">
        <v>20</v>
      </c>
    </row>
    <row r="431" spans="2:17" ht="42" x14ac:dyDescent="0.35">
      <c r="B431" s="27">
        <v>4</v>
      </c>
      <c r="C431" s="27" t="s">
        <v>93</v>
      </c>
      <c r="D431" s="27" t="s">
        <v>94</v>
      </c>
      <c r="E431" s="108">
        <v>45578</v>
      </c>
      <c r="F431" s="109">
        <v>0.50208333333333333</v>
      </c>
      <c r="G431" s="104" t="s">
        <v>3106</v>
      </c>
      <c r="H431" s="128" t="s">
        <v>3107</v>
      </c>
      <c r="I431" s="104" t="s">
        <v>3105</v>
      </c>
      <c r="J431" s="115"/>
      <c r="K431" s="120" t="s">
        <v>284</v>
      </c>
      <c r="L431" s="28" t="s">
        <v>20</v>
      </c>
      <c r="M431" s="28" t="s">
        <v>20</v>
      </c>
      <c r="N431" s="28" t="s">
        <v>20</v>
      </c>
      <c r="O431" s="28" t="s">
        <v>20</v>
      </c>
      <c r="P431" s="28">
        <v>270</v>
      </c>
      <c r="Q431" s="28" t="s">
        <v>20</v>
      </c>
    </row>
    <row r="432" spans="2:17" ht="21" x14ac:dyDescent="0.35">
      <c r="B432" s="27">
        <v>5</v>
      </c>
      <c r="C432" s="27" t="s">
        <v>93</v>
      </c>
      <c r="D432" s="27" t="s">
        <v>94</v>
      </c>
      <c r="E432" s="108">
        <v>45581</v>
      </c>
      <c r="F432" s="109">
        <v>0.41249999999999998</v>
      </c>
      <c r="G432" s="104" t="s">
        <v>3108</v>
      </c>
      <c r="H432" s="104" t="s">
        <v>3109</v>
      </c>
      <c r="I432" s="104" t="s">
        <v>3110</v>
      </c>
      <c r="J432" s="115">
        <v>15000</v>
      </c>
      <c r="K432" s="115">
        <v>35000</v>
      </c>
      <c r="L432" s="28" t="s">
        <v>20</v>
      </c>
      <c r="M432" s="28" t="s">
        <v>20</v>
      </c>
      <c r="N432" s="28">
        <v>3</v>
      </c>
      <c r="O432" s="28" t="s">
        <v>20</v>
      </c>
      <c r="P432" s="28">
        <v>3</v>
      </c>
      <c r="Q432" s="28" t="s">
        <v>20</v>
      </c>
    </row>
    <row r="433" spans="2:17" ht="21" x14ac:dyDescent="0.35">
      <c r="B433" s="27">
        <v>6</v>
      </c>
      <c r="C433" s="27" t="s">
        <v>93</v>
      </c>
      <c r="D433" s="27" t="s">
        <v>94</v>
      </c>
      <c r="E433" s="108">
        <v>45582</v>
      </c>
      <c r="F433" s="28">
        <v>0.77760416666666665</v>
      </c>
      <c r="G433" s="104" t="s">
        <v>3111</v>
      </c>
      <c r="H433" s="104" t="s">
        <v>3112</v>
      </c>
      <c r="I433" s="104" t="s">
        <v>3113</v>
      </c>
      <c r="J433" s="115" t="s">
        <v>20</v>
      </c>
      <c r="K433" s="115">
        <v>500000</v>
      </c>
      <c r="L433" s="28" t="s">
        <v>20</v>
      </c>
      <c r="M433" s="28" t="s">
        <v>20</v>
      </c>
      <c r="N433" s="28" t="s">
        <v>20</v>
      </c>
      <c r="O433" s="28" t="s">
        <v>20</v>
      </c>
      <c r="P433" s="28" t="s">
        <v>20</v>
      </c>
      <c r="Q433" s="28" t="s">
        <v>20</v>
      </c>
    </row>
    <row r="434" spans="2:17" ht="21" x14ac:dyDescent="0.35">
      <c r="B434" s="27">
        <v>7</v>
      </c>
      <c r="C434" s="27" t="s">
        <v>93</v>
      </c>
      <c r="D434" s="27" t="s">
        <v>94</v>
      </c>
      <c r="E434" s="108">
        <v>45586</v>
      </c>
      <c r="F434" s="109">
        <v>0.49652777777777779</v>
      </c>
      <c r="G434" s="104" t="s">
        <v>3114</v>
      </c>
      <c r="H434" s="104" t="s">
        <v>3115</v>
      </c>
      <c r="I434" s="104" t="s">
        <v>3116</v>
      </c>
      <c r="J434" s="115" t="s">
        <v>20</v>
      </c>
      <c r="K434" s="115">
        <v>5000000</v>
      </c>
      <c r="L434" s="28" t="s">
        <v>20</v>
      </c>
      <c r="M434" s="28" t="s">
        <v>20</v>
      </c>
      <c r="N434" s="28" t="s">
        <v>20</v>
      </c>
      <c r="O434" s="28" t="s">
        <v>20</v>
      </c>
      <c r="P434" s="28" t="s">
        <v>20</v>
      </c>
      <c r="Q434" s="28" t="s">
        <v>20</v>
      </c>
    </row>
    <row r="435" spans="2:17" ht="21" x14ac:dyDescent="0.35">
      <c r="B435" s="27">
        <v>8</v>
      </c>
      <c r="C435" s="27" t="s">
        <v>93</v>
      </c>
      <c r="D435" s="27" t="s">
        <v>94</v>
      </c>
      <c r="E435" s="108">
        <v>45588</v>
      </c>
      <c r="F435" s="109">
        <v>0.46805555555555556</v>
      </c>
      <c r="G435" s="104" t="s">
        <v>3117</v>
      </c>
      <c r="H435" s="104" t="s">
        <v>3118</v>
      </c>
      <c r="I435" s="104" t="s">
        <v>3119</v>
      </c>
      <c r="J435" s="115">
        <v>90000</v>
      </c>
      <c r="K435" s="115">
        <v>1910000</v>
      </c>
      <c r="L435" s="28" t="s">
        <v>20</v>
      </c>
      <c r="M435" s="28" t="s">
        <v>20</v>
      </c>
      <c r="N435" s="28" t="s">
        <v>20</v>
      </c>
      <c r="O435" s="28" t="s">
        <v>20</v>
      </c>
      <c r="P435" s="28" t="s">
        <v>20</v>
      </c>
      <c r="Q435" s="28" t="s">
        <v>20</v>
      </c>
    </row>
    <row r="436" spans="2:17" ht="21" x14ac:dyDescent="0.35">
      <c r="B436" s="27">
        <v>9</v>
      </c>
      <c r="C436" s="27" t="s">
        <v>93</v>
      </c>
      <c r="D436" s="27" t="s">
        <v>94</v>
      </c>
      <c r="E436" s="108">
        <v>45590</v>
      </c>
      <c r="F436" s="109">
        <v>0.22083333333333333</v>
      </c>
      <c r="G436" s="104" t="s">
        <v>3120</v>
      </c>
      <c r="H436" s="104" t="s">
        <v>406</v>
      </c>
      <c r="I436" s="104" t="s">
        <v>3121</v>
      </c>
      <c r="J436" s="115">
        <v>90000</v>
      </c>
      <c r="K436" s="115">
        <v>410000</v>
      </c>
      <c r="L436" s="28" t="s">
        <v>20</v>
      </c>
      <c r="M436" s="28" t="s">
        <v>20</v>
      </c>
      <c r="N436" s="28" t="s">
        <v>20</v>
      </c>
      <c r="O436" s="28" t="s">
        <v>20</v>
      </c>
      <c r="P436" s="28" t="s">
        <v>20</v>
      </c>
      <c r="Q436" s="28" t="s">
        <v>20</v>
      </c>
    </row>
    <row r="437" spans="2:17" ht="21" x14ac:dyDescent="0.35">
      <c r="B437" s="27">
        <v>10</v>
      </c>
      <c r="C437" s="27" t="s">
        <v>93</v>
      </c>
      <c r="D437" s="27" t="s">
        <v>94</v>
      </c>
      <c r="E437" s="108">
        <v>45590</v>
      </c>
      <c r="F437" s="109">
        <v>0.70486111111111116</v>
      </c>
      <c r="G437" s="104" t="s">
        <v>3122</v>
      </c>
      <c r="H437" s="104" t="s">
        <v>3123</v>
      </c>
      <c r="I437" s="104" t="s">
        <v>3124</v>
      </c>
      <c r="J437" s="115">
        <v>30000</v>
      </c>
      <c r="K437" s="115">
        <v>3970000</v>
      </c>
      <c r="L437" s="28" t="s">
        <v>20</v>
      </c>
      <c r="M437" s="28" t="s">
        <v>20</v>
      </c>
      <c r="N437" s="28" t="s">
        <v>20</v>
      </c>
      <c r="O437" s="28" t="s">
        <v>20</v>
      </c>
      <c r="P437" s="28" t="s">
        <v>20</v>
      </c>
      <c r="Q437" s="28" t="s">
        <v>20</v>
      </c>
    </row>
    <row r="438" spans="2:17" ht="21" x14ac:dyDescent="0.35">
      <c r="B438" s="27">
        <v>11</v>
      </c>
      <c r="C438" s="27" t="s">
        <v>93</v>
      </c>
      <c r="D438" s="27" t="s">
        <v>94</v>
      </c>
      <c r="E438" s="108">
        <v>45591</v>
      </c>
      <c r="F438" s="109">
        <v>0.65</v>
      </c>
      <c r="G438" s="104" t="s">
        <v>3125</v>
      </c>
      <c r="H438" s="104" t="s">
        <v>3123</v>
      </c>
      <c r="I438" s="104" t="s">
        <v>3126</v>
      </c>
      <c r="J438" s="115">
        <v>10000</v>
      </c>
      <c r="K438" s="115">
        <v>190000</v>
      </c>
      <c r="L438" s="28" t="s">
        <v>20</v>
      </c>
      <c r="M438" s="28" t="s">
        <v>20</v>
      </c>
      <c r="N438" s="28" t="s">
        <v>20</v>
      </c>
      <c r="O438" s="28" t="s">
        <v>20</v>
      </c>
      <c r="P438" s="28">
        <v>5</v>
      </c>
      <c r="Q438" s="28" t="s">
        <v>20</v>
      </c>
    </row>
    <row r="439" spans="2:17" ht="21" x14ac:dyDescent="0.35">
      <c r="B439" s="27">
        <v>12</v>
      </c>
      <c r="C439" s="27" t="s">
        <v>93</v>
      </c>
      <c r="D439" s="27" t="s">
        <v>94</v>
      </c>
      <c r="E439" s="108">
        <v>45595</v>
      </c>
      <c r="F439" s="109">
        <v>0.84166666666666667</v>
      </c>
      <c r="G439" s="104" t="s">
        <v>3127</v>
      </c>
      <c r="H439" s="104" t="s">
        <v>3128</v>
      </c>
      <c r="I439" s="104" t="s">
        <v>3129</v>
      </c>
      <c r="J439" s="115">
        <v>4000</v>
      </c>
      <c r="K439" s="115">
        <v>46000</v>
      </c>
      <c r="L439" s="28" t="s">
        <v>20</v>
      </c>
      <c r="M439" s="28" t="s">
        <v>20</v>
      </c>
      <c r="N439" s="28" t="s">
        <v>20</v>
      </c>
      <c r="O439" s="28" t="s">
        <v>20</v>
      </c>
      <c r="P439" s="28">
        <v>45</v>
      </c>
      <c r="Q439" s="28" t="s">
        <v>20</v>
      </c>
    </row>
    <row r="440" spans="2:17" ht="21" x14ac:dyDescent="0.35">
      <c r="B440" s="27">
        <v>13</v>
      </c>
      <c r="C440" s="27" t="s">
        <v>93</v>
      </c>
      <c r="D440" s="27" t="s">
        <v>94</v>
      </c>
      <c r="E440" s="108">
        <v>45595</v>
      </c>
      <c r="F440" s="109">
        <v>0.87777777777777777</v>
      </c>
      <c r="G440" s="104" t="s">
        <v>3130</v>
      </c>
      <c r="H440" s="104" t="s">
        <v>3128</v>
      </c>
      <c r="I440" s="104" t="s">
        <v>3131</v>
      </c>
      <c r="J440" s="115">
        <v>60000</v>
      </c>
      <c r="K440" s="115">
        <v>9940000</v>
      </c>
      <c r="L440" s="28" t="s">
        <v>20</v>
      </c>
      <c r="M440" s="28" t="s">
        <v>20</v>
      </c>
      <c r="N440" s="28" t="s">
        <v>20</v>
      </c>
      <c r="O440" s="28" t="s">
        <v>20</v>
      </c>
      <c r="P440" s="28" t="s">
        <v>20</v>
      </c>
      <c r="Q440" s="28" t="s">
        <v>20</v>
      </c>
    </row>
    <row r="441" spans="2:17" ht="21" x14ac:dyDescent="0.35">
      <c r="B441" s="27">
        <v>14</v>
      </c>
      <c r="C441" s="27" t="s">
        <v>93</v>
      </c>
      <c r="D441" s="27" t="s">
        <v>94</v>
      </c>
      <c r="E441" s="108">
        <v>45596</v>
      </c>
      <c r="F441" s="109">
        <v>6.9444444444444447E-4</v>
      </c>
      <c r="G441" s="104" t="s">
        <v>3132</v>
      </c>
      <c r="H441" s="104" t="s">
        <v>3128</v>
      </c>
      <c r="I441" s="104" t="s">
        <v>3133</v>
      </c>
      <c r="J441" s="115">
        <v>8000</v>
      </c>
      <c r="K441" s="115">
        <v>992000</v>
      </c>
      <c r="L441" s="28" t="s">
        <v>20</v>
      </c>
      <c r="M441" s="28" t="s">
        <v>20</v>
      </c>
      <c r="N441" s="28" t="s">
        <v>20</v>
      </c>
      <c r="O441" s="28" t="s">
        <v>20</v>
      </c>
      <c r="P441" s="28" t="s">
        <v>20</v>
      </c>
      <c r="Q441" s="28" t="s">
        <v>20</v>
      </c>
    </row>
    <row r="442" spans="2:17" ht="21" x14ac:dyDescent="0.35">
      <c r="B442" s="27">
        <v>15</v>
      </c>
      <c r="C442" s="27" t="s">
        <v>93</v>
      </c>
      <c r="D442" s="27" t="s">
        <v>94</v>
      </c>
      <c r="E442" s="108">
        <v>45596</v>
      </c>
      <c r="F442" s="109">
        <v>0.90555555555555556</v>
      </c>
      <c r="G442" s="104" t="s">
        <v>3134</v>
      </c>
      <c r="H442" s="104" t="s">
        <v>3128</v>
      </c>
      <c r="I442" s="104" t="s">
        <v>3135</v>
      </c>
      <c r="J442" s="115">
        <v>20000</v>
      </c>
      <c r="K442" s="115">
        <v>150000</v>
      </c>
      <c r="L442" s="28" t="s">
        <v>20</v>
      </c>
      <c r="M442" s="28" t="s">
        <v>20</v>
      </c>
      <c r="N442" s="28" t="s">
        <v>20</v>
      </c>
      <c r="O442" s="28" t="s">
        <v>20</v>
      </c>
      <c r="P442" s="28" t="s">
        <v>20</v>
      </c>
      <c r="Q442" s="28" t="s">
        <v>20</v>
      </c>
    </row>
    <row r="443" spans="2:17" ht="21" x14ac:dyDescent="0.35">
      <c r="B443" s="27">
        <v>16</v>
      </c>
      <c r="C443" s="27" t="s">
        <v>93</v>
      </c>
      <c r="D443" s="27" t="s">
        <v>94</v>
      </c>
      <c r="E443" s="108">
        <v>45596</v>
      </c>
      <c r="F443" s="109">
        <v>0.96666666666666667</v>
      </c>
      <c r="G443" s="104" t="s">
        <v>3136</v>
      </c>
      <c r="H443" s="104" t="s">
        <v>3128</v>
      </c>
      <c r="I443" s="104" t="s">
        <v>3137</v>
      </c>
      <c r="J443" s="115">
        <v>6000</v>
      </c>
      <c r="K443" s="115">
        <v>494000</v>
      </c>
      <c r="L443" s="28" t="s">
        <v>20</v>
      </c>
      <c r="M443" s="28" t="s">
        <v>20</v>
      </c>
      <c r="N443" s="28" t="s">
        <v>20</v>
      </c>
      <c r="O443" s="28" t="s">
        <v>20</v>
      </c>
      <c r="P443" s="28">
        <v>3</v>
      </c>
      <c r="Q443" s="28" t="s">
        <v>20</v>
      </c>
    </row>
    <row r="444" spans="2:17" ht="21" x14ac:dyDescent="0.35">
      <c r="B444" s="27">
        <v>18</v>
      </c>
      <c r="C444" s="27" t="s">
        <v>93</v>
      </c>
      <c r="D444" s="28"/>
      <c r="E444" s="110">
        <v>45576</v>
      </c>
      <c r="F444" s="109">
        <v>0.99791666666666667</v>
      </c>
      <c r="G444" s="113" t="s">
        <v>3138</v>
      </c>
      <c r="H444" s="104" t="s">
        <v>362</v>
      </c>
      <c r="I444" s="113" t="s">
        <v>3139</v>
      </c>
      <c r="J444" s="115" t="s">
        <v>20</v>
      </c>
      <c r="K444" s="115">
        <v>500000</v>
      </c>
      <c r="L444" s="28" t="s">
        <v>75</v>
      </c>
      <c r="M444" s="114"/>
      <c r="N444" s="114"/>
      <c r="O444" s="28"/>
      <c r="P444" s="28" t="s">
        <v>75</v>
      </c>
      <c r="Q444" s="28"/>
    </row>
    <row r="445" spans="2:17" ht="21" x14ac:dyDescent="0.35">
      <c r="B445" s="27">
        <v>19</v>
      </c>
      <c r="C445" s="27" t="s">
        <v>93</v>
      </c>
      <c r="D445" s="28"/>
      <c r="E445" s="110">
        <v>45578</v>
      </c>
      <c r="F445" s="109">
        <v>6.458333333333334E-2</v>
      </c>
      <c r="G445" s="113" t="s">
        <v>3140</v>
      </c>
      <c r="H445" s="104" t="s">
        <v>3141</v>
      </c>
      <c r="I445" s="113" t="s">
        <v>3142</v>
      </c>
      <c r="J445" s="115">
        <v>10000</v>
      </c>
      <c r="K445" s="115">
        <v>1490000</v>
      </c>
      <c r="L445" s="28" t="s">
        <v>75</v>
      </c>
      <c r="M445" s="114"/>
      <c r="N445" s="114"/>
      <c r="O445" s="28"/>
      <c r="P445" s="28" t="s">
        <v>75</v>
      </c>
      <c r="Q445" s="28"/>
    </row>
    <row r="446" spans="2:17" ht="21" x14ac:dyDescent="0.35">
      <c r="B446" s="27">
        <v>20</v>
      </c>
      <c r="C446" s="27" t="s">
        <v>93</v>
      </c>
      <c r="D446" s="27" t="s">
        <v>584</v>
      </c>
      <c r="E446" s="110">
        <v>45589</v>
      </c>
      <c r="F446" s="109">
        <v>0.84861111111111109</v>
      </c>
      <c r="G446" s="113" t="s">
        <v>3143</v>
      </c>
      <c r="H446" s="113" t="s">
        <v>3141</v>
      </c>
      <c r="I446" s="113" t="s">
        <v>3144</v>
      </c>
      <c r="J446" s="115">
        <v>5000</v>
      </c>
      <c r="K446" s="115">
        <v>2995000</v>
      </c>
      <c r="L446" s="28" t="s">
        <v>75</v>
      </c>
      <c r="M446" s="114"/>
      <c r="N446" s="114"/>
      <c r="O446" s="28"/>
      <c r="P446" s="28" t="s">
        <v>75</v>
      </c>
      <c r="Q446" s="28"/>
    </row>
    <row r="447" spans="2:17" ht="21" x14ac:dyDescent="0.35">
      <c r="B447" s="27">
        <v>21</v>
      </c>
      <c r="C447" s="27" t="s">
        <v>93</v>
      </c>
      <c r="D447" s="28"/>
      <c r="E447" s="110">
        <v>45589</v>
      </c>
      <c r="F447" s="109">
        <v>0.625</v>
      </c>
      <c r="G447" s="113" t="s">
        <v>3145</v>
      </c>
      <c r="H447" s="104" t="s">
        <v>3141</v>
      </c>
      <c r="I447" s="113" t="s">
        <v>3146</v>
      </c>
      <c r="J447" s="115">
        <v>5000</v>
      </c>
      <c r="K447" s="115">
        <v>1495000</v>
      </c>
      <c r="L447" s="28" t="s">
        <v>75</v>
      </c>
      <c r="M447" s="114"/>
      <c r="N447" s="114"/>
      <c r="O447" s="28"/>
      <c r="P447" s="28" t="s">
        <v>75</v>
      </c>
      <c r="Q447" s="28"/>
    </row>
    <row r="448" spans="2:17" ht="21" x14ac:dyDescent="0.35">
      <c r="B448" s="27">
        <v>22</v>
      </c>
      <c r="C448" s="27" t="s">
        <v>93</v>
      </c>
      <c r="D448" s="28"/>
      <c r="E448" s="110">
        <v>45596</v>
      </c>
      <c r="F448" s="109">
        <v>0.97569444444444442</v>
      </c>
      <c r="G448" s="113" t="s">
        <v>3147</v>
      </c>
      <c r="H448" s="104" t="s">
        <v>3141</v>
      </c>
      <c r="I448" s="113" t="s">
        <v>3148</v>
      </c>
      <c r="J448" s="115">
        <v>5000</v>
      </c>
      <c r="K448" s="115">
        <v>1495000</v>
      </c>
      <c r="L448" s="28" t="s">
        <v>75</v>
      </c>
      <c r="M448" s="114"/>
      <c r="N448" s="114"/>
      <c r="O448" s="28"/>
      <c r="P448" s="28" t="s">
        <v>75</v>
      </c>
      <c r="Q448" s="28"/>
    </row>
    <row r="449" spans="2:17" ht="39" x14ac:dyDescent="0.35">
      <c r="B449" s="27">
        <v>23</v>
      </c>
      <c r="C449" s="27" t="s">
        <v>93</v>
      </c>
      <c r="D449" s="27" t="s">
        <v>1791</v>
      </c>
      <c r="E449" s="108">
        <v>45583</v>
      </c>
      <c r="F449" s="109">
        <v>0.30208333333333331</v>
      </c>
      <c r="G449" s="104" t="s">
        <v>3149</v>
      </c>
      <c r="H449" s="113" t="s">
        <v>3150</v>
      </c>
      <c r="I449" s="104" t="s">
        <v>3151</v>
      </c>
      <c r="J449" s="115" t="s">
        <v>290</v>
      </c>
      <c r="K449" s="115" t="s">
        <v>271</v>
      </c>
      <c r="L449" s="28" t="s">
        <v>75</v>
      </c>
      <c r="M449" s="28" t="s">
        <v>75</v>
      </c>
      <c r="N449" s="28" t="s">
        <v>75</v>
      </c>
      <c r="O449" s="28" t="s">
        <v>75</v>
      </c>
      <c r="P449" s="28" t="s">
        <v>75</v>
      </c>
      <c r="Q449" s="28" t="s">
        <v>75</v>
      </c>
    </row>
    <row r="450" spans="2:17" ht="21" x14ac:dyDescent="0.35">
      <c r="B450" s="27">
        <v>24</v>
      </c>
      <c r="C450" s="27" t="s">
        <v>93</v>
      </c>
      <c r="D450" s="27" t="s">
        <v>1791</v>
      </c>
      <c r="E450" s="108">
        <v>45589</v>
      </c>
      <c r="F450" s="109">
        <v>0.76875000000000004</v>
      </c>
      <c r="G450" s="104" t="s">
        <v>3152</v>
      </c>
      <c r="H450" s="113" t="s">
        <v>3150</v>
      </c>
      <c r="I450" s="104" t="s">
        <v>3153</v>
      </c>
      <c r="J450" s="115" t="s">
        <v>189</v>
      </c>
      <c r="K450" s="115" t="s">
        <v>291</v>
      </c>
      <c r="L450" s="28" t="s">
        <v>75</v>
      </c>
      <c r="M450" s="28" t="s">
        <v>75</v>
      </c>
      <c r="N450" s="28" t="s">
        <v>75</v>
      </c>
      <c r="O450" s="28" t="s">
        <v>75</v>
      </c>
      <c r="P450" s="28" t="s">
        <v>75</v>
      </c>
      <c r="Q450" s="28" t="s">
        <v>75</v>
      </c>
    </row>
    <row r="451" spans="2:17" ht="39" x14ac:dyDescent="0.35">
      <c r="B451" s="27">
        <v>25</v>
      </c>
      <c r="C451" s="27" t="s">
        <v>93</v>
      </c>
      <c r="D451" s="27" t="s">
        <v>1791</v>
      </c>
      <c r="E451" s="108">
        <v>45595</v>
      </c>
      <c r="F451" s="109">
        <v>0.75277777777777777</v>
      </c>
      <c r="G451" s="104" t="s">
        <v>3154</v>
      </c>
      <c r="H451" s="113" t="s">
        <v>3150</v>
      </c>
      <c r="I451" s="104" t="s">
        <v>3155</v>
      </c>
      <c r="J451" s="115" t="s">
        <v>292</v>
      </c>
      <c r="K451" s="115" t="s">
        <v>293</v>
      </c>
      <c r="L451" s="28" t="s">
        <v>75</v>
      </c>
      <c r="M451" s="28" t="s">
        <v>75</v>
      </c>
      <c r="N451" s="28" t="s">
        <v>75</v>
      </c>
      <c r="O451" s="28" t="s">
        <v>75</v>
      </c>
      <c r="P451" s="28" t="s">
        <v>75</v>
      </c>
      <c r="Q451" s="28" t="s">
        <v>75</v>
      </c>
    </row>
    <row r="452" spans="2:17" ht="21" x14ac:dyDescent="0.35">
      <c r="B452" s="27">
        <v>26</v>
      </c>
      <c r="C452" s="27" t="s">
        <v>93</v>
      </c>
      <c r="D452" s="27" t="s">
        <v>1792</v>
      </c>
      <c r="E452" s="108">
        <v>45570</v>
      </c>
      <c r="F452" s="109">
        <v>0.80555555555555558</v>
      </c>
      <c r="G452" s="104" t="s">
        <v>3156</v>
      </c>
      <c r="H452" s="113" t="s">
        <v>3157</v>
      </c>
      <c r="I452" s="104" t="s">
        <v>3158</v>
      </c>
      <c r="J452" s="115">
        <v>3000</v>
      </c>
      <c r="K452" s="115">
        <v>7000</v>
      </c>
      <c r="L452" s="28" t="s">
        <v>75</v>
      </c>
      <c r="M452" s="28" t="s">
        <v>75</v>
      </c>
      <c r="N452" s="28" t="s">
        <v>75</v>
      </c>
      <c r="O452" s="28" t="s">
        <v>75</v>
      </c>
      <c r="P452" s="28" t="s">
        <v>75</v>
      </c>
      <c r="Q452" s="28" t="s">
        <v>75</v>
      </c>
    </row>
    <row r="453" spans="2:17" ht="21" x14ac:dyDescent="0.35">
      <c r="B453" s="27">
        <v>26</v>
      </c>
      <c r="C453" s="27" t="s">
        <v>93</v>
      </c>
      <c r="D453" s="27" t="s">
        <v>1792</v>
      </c>
      <c r="E453" s="108">
        <v>45595</v>
      </c>
      <c r="F453" s="109">
        <v>0.83333333333333337</v>
      </c>
      <c r="G453" s="104" t="s">
        <v>3159</v>
      </c>
      <c r="H453" s="104" t="s">
        <v>3128</v>
      </c>
      <c r="I453" s="104" t="s">
        <v>3160</v>
      </c>
      <c r="J453" s="115">
        <v>500</v>
      </c>
      <c r="K453" s="115">
        <v>20000</v>
      </c>
      <c r="L453" s="28" t="s">
        <v>75</v>
      </c>
      <c r="M453" s="28" t="s">
        <v>75</v>
      </c>
      <c r="N453" s="28" t="s">
        <v>75</v>
      </c>
      <c r="O453" s="28" t="s">
        <v>75</v>
      </c>
      <c r="P453" s="28" t="s">
        <v>75</v>
      </c>
      <c r="Q453" s="28" t="s">
        <v>75</v>
      </c>
    </row>
    <row r="454" spans="2:17" ht="21" x14ac:dyDescent="0.35">
      <c r="B454" s="27">
        <v>27</v>
      </c>
      <c r="C454" s="27" t="s">
        <v>93</v>
      </c>
      <c r="D454" s="28" t="s">
        <v>587</v>
      </c>
      <c r="E454" s="108">
        <v>45593</v>
      </c>
      <c r="F454" s="109">
        <v>0.94722222222222219</v>
      </c>
      <c r="G454" s="104" t="s">
        <v>3161</v>
      </c>
      <c r="H454" s="113" t="s">
        <v>3162</v>
      </c>
      <c r="I454" s="104" t="s">
        <v>3163</v>
      </c>
      <c r="J454" s="115">
        <v>1000</v>
      </c>
      <c r="K454" s="115">
        <v>50000</v>
      </c>
      <c r="L454" s="28" t="s">
        <v>20</v>
      </c>
      <c r="M454" s="28" t="s">
        <v>20</v>
      </c>
      <c r="N454" s="28" t="s">
        <v>20</v>
      </c>
      <c r="O454" s="28" t="s">
        <v>20</v>
      </c>
      <c r="P454" s="28" t="s">
        <v>20</v>
      </c>
      <c r="Q454" s="28" t="s">
        <v>20</v>
      </c>
    </row>
    <row r="455" spans="2:17" ht="21" x14ac:dyDescent="0.35">
      <c r="B455" s="27">
        <v>28</v>
      </c>
      <c r="C455" s="27" t="s">
        <v>93</v>
      </c>
      <c r="D455" s="28" t="s">
        <v>587</v>
      </c>
      <c r="E455" s="108">
        <v>45596</v>
      </c>
      <c r="F455" s="109">
        <v>0.92500000000000004</v>
      </c>
      <c r="G455" s="104" t="s">
        <v>3164</v>
      </c>
      <c r="H455" s="113" t="s">
        <v>3165</v>
      </c>
      <c r="I455" s="104" t="s">
        <v>2019</v>
      </c>
      <c r="J455" s="115">
        <v>500</v>
      </c>
      <c r="K455" s="115">
        <v>600000</v>
      </c>
      <c r="L455" s="28" t="s">
        <v>20</v>
      </c>
      <c r="M455" s="28" t="s">
        <v>20</v>
      </c>
      <c r="N455" s="28" t="s">
        <v>20</v>
      </c>
      <c r="O455" s="28" t="s">
        <v>20</v>
      </c>
      <c r="P455" s="28" t="s">
        <v>20</v>
      </c>
      <c r="Q455" s="28" t="s">
        <v>20</v>
      </c>
    </row>
    <row r="456" spans="2:17" ht="21" x14ac:dyDescent="0.35">
      <c r="B456" s="27">
        <v>1</v>
      </c>
      <c r="C456" s="27" t="s">
        <v>93</v>
      </c>
      <c r="D456" s="27" t="s">
        <v>94</v>
      </c>
      <c r="E456" s="108">
        <v>45597</v>
      </c>
      <c r="F456" s="109">
        <v>0.90625</v>
      </c>
      <c r="G456" s="104" t="s">
        <v>3166</v>
      </c>
      <c r="H456" s="104" t="s">
        <v>3167</v>
      </c>
      <c r="I456" s="104" t="s">
        <v>3168</v>
      </c>
      <c r="J456" s="115">
        <v>30000</v>
      </c>
      <c r="K456" s="115">
        <v>1970000</v>
      </c>
      <c r="L456" s="28" t="s">
        <v>20</v>
      </c>
      <c r="M456" s="28" t="s">
        <v>20</v>
      </c>
      <c r="N456" s="28" t="s">
        <v>20</v>
      </c>
      <c r="O456" s="28" t="s">
        <v>20</v>
      </c>
      <c r="P456" s="28" t="s">
        <v>20</v>
      </c>
      <c r="Q456" s="28" t="s">
        <v>20</v>
      </c>
    </row>
    <row r="457" spans="2:17" ht="21" x14ac:dyDescent="0.35">
      <c r="B457" s="27">
        <v>2</v>
      </c>
      <c r="C457" s="27" t="s">
        <v>93</v>
      </c>
      <c r="D457" s="27" t="s">
        <v>94</v>
      </c>
      <c r="E457" s="108">
        <v>45597</v>
      </c>
      <c r="F457" s="109">
        <v>0.96180555555555558</v>
      </c>
      <c r="G457" s="104" t="s">
        <v>3169</v>
      </c>
      <c r="H457" s="104" t="s">
        <v>3167</v>
      </c>
      <c r="I457" s="104" t="s">
        <v>3170</v>
      </c>
      <c r="J457" s="115" t="s">
        <v>20</v>
      </c>
      <c r="K457" s="115">
        <v>2000000</v>
      </c>
      <c r="L457" s="28" t="s">
        <v>20</v>
      </c>
      <c r="M457" s="28" t="s">
        <v>20</v>
      </c>
      <c r="N457" s="28" t="s">
        <v>20</v>
      </c>
      <c r="O457" s="28" t="s">
        <v>20</v>
      </c>
      <c r="P457" s="28" t="s">
        <v>20</v>
      </c>
      <c r="Q457" s="28" t="s">
        <v>20</v>
      </c>
    </row>
    <row r="458" spans="2:17" ht="21" x14ac:dyDescent="0.35">
      <c r="B458" s="27">
        <v>3</v>
      </c>
      <c r="C458" s="27" t="s">
        <v>93</v>
      </c>
      <c r="D458" s="27" t="s">
        <v>94</v>
      </c>
      <c r="E458" s="108">
        <v>45597</v>
      </c>
      <c r="F458" s="109">
        <v>0.78472222222222221</v>
      </c>
      <c r="G458" s="104" t="s">
        <v>3171</v>
      </c>
      <c r="H458" s="104" t="s">
        <v>3172</v>
      </c>
      <c r="I458" s="104" t="s">
        <v>3173</v>
      </c>
      <c r="J458" s="115">
        <v>10000</v>
      </c>
      <c r="K458" s="115">
        <v>990000</v>
      </c>
      <c r="L458" s="28" t="s">
        <v>20</v>
      </c>
      <c r="M458" s="28" t="s">
        <v>20</v>
      </c>
      <c r="N458" s="28" t="s">
        <v>20</v>
      </c>
      <c r="O458" s="28" t="s">
        <v>20</v>
      </c>
      <c r="P458" s="28" t="s">
        <v>20</v>
      </c>
      <c r="Q458" s="28" t="s">
        <v>20</v>
      </c>
    </row>
    <row r="459" spans="2:17" ht="21" x14ac:dyDescent="0.35">
      <c r="B459" s="27">
        <v>4</v>
      </c>
      <c r="C459" s="27" t="s">
        <v>93</v>
      </c>
      <c r="D459" s="27" t="s">
        <v>94</v>
      </c>
      <c r="E459" s="108">
        <v>45599</v>
      </c>
      <c r="F459" s="109">
        <v>3.7499999999999999E-2</v>
      </c>
      <c r="G459" s="104" t="s">
        <v>3174</v>
      </c>
      <c r="H459" s="104" t="s">
        <v>3175</v>
      </c>
      <c r="I459" s="104" t="s">
        <v>3176</v>
      </c>
      <c r="J459" s="115">
        <v>160000</v>
      </c>
      <c r="K459" s="115">
        <v>840000</v>
      </c>
      <c r="L459" s="28" t="s">
        <v>20</v>
      </c>
      <c r="M459" s="28" t="s">
        <v>20</v>
      </c>
      <c r="N459" s="28" t="s">
        <v>20</v>
      </c>
      <c r="O459" s="28" t="s">
        <v>20</v>
      </c>
      <c r="P459" s="28">
        <v>10</v>
      </c>
      <c r="Q459" s="28" t="s">
        <v>20</v>
      </c>
    </row>
    <row r="460" spans="2:17" ht="21" x14ac:dyDescent="0.35">
      <c r="B460" s="27">
        <v>5</v>
      </c>
      <c r="C460" s="27" t="s">
        <v>93</v>
      </c>
      <c r="D460" s="27" t="s">
        <v>94</v>
      </c>
      <c r="E460" s="108">
        <v>45600</v>
      </c>
      <c r="F460" s="109">
        <v>0.13263888888888889</v>
      </c>
      <c r="G460" s="104" t="s">
        <v>3177</v>
      </c>
      <c r="H460" s="104" t="s">
        <v>3178</v>
      </c>
      <c r="I460" s="104" t="s">
        <v>3179</v>
      </c>
      <c r="J460" s="115">
        <v>450000</v>
      </c>
      <c r="K460" s="115">
        <v>12550000</v>
      </c>
      <c r="L460" s="28" t="s">
        <v>20</v>
      </c>
      <c r="M460" s="28" t="s">
        <v>20</v>
      </c>
      <c r="N460" s="28" t="s">
        <v>20</v>
      </c>
      <c r="O460" s="28" t="s">
        <v>20</v>
      </c>
      <c r="P460" s="28">
        <v>4</v>
      </c>
      <c r="Q460" s="28" t="s">
        <v>20</v>
      </c>
    </row>
    <row r="461" spans="2:17" ht="21" x14ac:dyDescent="0.35">
      <c r="B461" s="27">
        <v>6</v>
      </c>
      <c r="C461" s="27" t="s">
        <v>93</v>
      </c>
      <c r="D461" s="27" t="s">
        <v>94</v>
      </c>
      <c r="E461" s="108">
        <v>45603</v>
      </c>
      <c r="F461" s="109">
        <v>0.43263888888888891</v>
      </c>
      <c r="G461" s="104" t="s">
        <v>3180</v>
      </c>
      <c r="H461" s="104" t="s">
        <v>3181</v>
      </c>
      <c r="I461" s="104" t="s">
        <v>3182</v>
      </c>
      <c r="J461" s="115">
        <v>15000</v>
      </c>
      <c r="K461" s="115">
        <v>985000</v>
      </c>
      <c r="L461" s="28" t="s">
        <v>20</v>
      </c>
      <c r="M461" s="28" t="s">
        <v>20</v>
      </c>
      <c r="N461" s="28" t="s">
        <v>20</v>
      </c>
      <c r="O461" s="28" t="s">
        <v>20</v>
      </c>
      <c r="P461" s="28" t="s">
        <v>20</v>
      </c>
      <c r="Q461" s="28" t="s">
        <v>20</v>
      </c>
    </row>
    <row r="462" spans="2:17" ht="21" x14ac:dyDescent="0.35">
      <c r="B462" s="27">
        <v>7</v>
      </c>
      <c r="C462" s="27" t="s">
        <v>93</v>
      </c>
      <c r="D462" s="27" t="s">
        <v>94</v>
      </c>
      <c r="E462" s="108">
        <v>45605</v>
      </c>
      <c r="F462" s="109">
        <v>0.61250000000000004</v>
      </c>
      <c r="G462" s="104" t="s">
        <v>3183</v>
      </c>
      <c r="H462" s="104" t="s">
        <v>3184</v>
      </c>
      <c r="I462" s="104" t="s">
        <v>3185</v>
      </c>
      <c r="J462" s="115">
        <v>30000</v>
      </c>
      <c r="K462" s="115">
        <v>4970000</v>
      </c>
      <c r="L462" s="28" t="s">
        <v>20</v>
      </c>
      <c r="M462" s="28" t="s">
        <v>20</v>
      </c>
      <c r="N462" s="28" t="s">
        <v>20</v>
      </c>
      <c r="O462" s="28" t="s">
        <v>20</v>
      </c>
      <c r="P462" s="28">
        <v>2</v>
      </c>
      <c r="Q462" s="28" t="s">
        <v>20</v>
      </c>
    </row>
    <row r="463" spans="2:17" ht="21" x14ac:dyDescent="0.35">
      <c r="B463" s="27">
        <v>8</v>
      </c>
      <c r="C463" s="27" t="s">
        <v>93</v>
      </c>
      <c r="D463" s="27" t="s">
        <v>94</v>
      </c>
      <c r="E463" s="108">
        <v>45606</v>
      </c>
      <c r="F463" s="109">
        <v>0.67152777777777772</v>
      </c>
      <c r="G463" s="113" t="s">
        <v>3186</v>
      </c>
      <c r="H463" s="104" t="s">
        <v>3187</v>
      </c>
      <c r="I463" s="113" t="s">
        <v>3188</v>
      </c>
      <c r="J463" s="115">
        <v>105000</v>
      </c>
      <c r="K463" s="115">
        <v>765000</v>
      </c>
      <c r="L463" s="28" t="s">
        <v>20</v>
      </c>
      <c r="M463" s="28" t="s">
        <v>20</v>
      </c>
      <c r="N463" s="28" t="s">
        <v>20</v>
      </c>
      <c r="O463" s="28" t="s">
        <v>20</v>
      </c>
      <c r="P463" s="28">
        <v>1</v>
      </c>
      <c r="Q463" s="28" t="s">
        <v>20</v>
      </c>
    </row>
    <row r="464" spans="2:17" ht="21" x14ac:dyDescent="0.35">
      <c r="B464" s="27">
        <v>9</v>
      </c>
      <c r="C464" s="27" t="s">
        <v>93</v>
      </c>
      <c r="D464" s="27" t="s">
        <v>94</v>
      </c>
      <c r="E464" s="108">
        <v>45607</v>
      </c>
      <c r="F464" s="109">
        <v>0.58402777777777781</v>
      </c>
      <c r="G464" s="113" t="s">
        <v>3189</v>
      </c>
      <c r="H464" s="104" t="s">
        <v>3190</v>
      </c>
      <c r="I464" s="113" t="s">
        <v>3191</v>
      </c>
      <c r="J464" s="115">
        <v>5000</v>
      </c>
      <c r="K464" s="115">
        <v>995000</v>
      </c>
      <c r="L464" s="28" t="s">
        <v>20</v>
      </c>
      <c r="M464" s="28" t="s">
        <v>20</v>
      </c>
      <c r="N464" s="28" t="s">
        <v>20</v>
      </c>
      <c r="O464" s="28" t="s">
        <v>20</v>
      </c>
      <c r="P464" s="28" t="s">
        <v>20</v>
      </c>
      <c r="Q464" s="28" t="s">
        <v>20</v>
      </c>
    </row>
    <row r="465" spans="2:17" ht="21" x14ac:dyDescent="0.35">
      <c r="B465" s="27">
        <v>10</v>
      </c>
      <c r="C465" s="27" t="s">
        <v>93</v>
      </c>
      <c r="D465" s="27" t="s">
        <v>94</v>
      </c>
      <c r="E465" s="108">
        <v>45609</v>
      </c>
      <c r="F465" s="109">
        <v>0.49236111111111114</v>
      </c>
      <c r="G465" s="113" t="s">
        <v>3192</v>
      </c>
      <c r="H465" s="104" t="s">
        <v>3193</v>
      </c>
      <c r="I465" s="113" t="s">
        <v>3194</v>
      </c>
      <c r="J465" s="115">
        <v>3000</v>
      </c>
      <c r="K465" s="115">
        <v>997000</v>
      </c>
      <c r="L465" s="28" t="s">
        <v>20</v>
      </c>
      <c r="M465" s="28" t="s">
        <v>20</v>
      </c>
      <c r="N465" s="28" t="s">
        <v>20</v>
      </c>
      <c r="O465" s="28" t="s">
        <v>20</v>
      </c>
      <c r="P465" s="28">
        <v>30</v>
      </c>
      <c r="Q465" s="28" t="s">
        <v>20</v>
      </c>
    </row>
    <row r="466" spans="2:17" ht="21" x14ac:dyDescent="0.35">
      <c r="B466" s="27">
        <v>11</v>
      </c>
      <c r="C466" s="27" t="s">
        <v>93</v>
      </c>
      <c r="D466" s="27" t="s">
        <v>94</v>
      </c>
      <c r="E466" s="108">
        <v>45610</v>
      </c>
      <c r="F466" s="109">
        <v>0.63888888888888884</v>
      </c>
      <c r="G466" s="113" t="s">
        <v>3195</v>
      </c>
      <c r="H466" s="104" t="s">
        <v>3184</v>
      </c>
      <c r="I466" s="113" t="s">
        <v>3196</v>
      </c>
      <c r="J466" s="115">
        <v>15000</v>
      </c>
      <c r="K466" s="115">
        <v>2985000</v>
      </c>
      <c r="L466" s="28" t="s">
        <v>20</v>
      </c>
      <c r="M466" s="28" t="s">
        <v>20</v>
      </c>
      <c r="N466" s="28" t="s">
        <v>20</v>
      </c>
      <c r="O466" s="28" t="s">
        <v>20</v>
      </c>
      <c r="P466" s="28">
        <v>8</v>
      </c>
      <c r="Q466" s="28" t="s">
        <v>20</v>
      </c>
    </row>
    <row r="467" spans="2:17" ht="21" x14ac:dyDescent="0.35">
      <c r="B467" s="27">
        <v>12</v>
      </c>
      <c r="C467" s="27" t="s">
        <v>93</v>
      </c>
      <c r="D467" s="27" t="s">
        <v>94</v>
      </c>
      <c r="E467" s="108">
        <v>45611</v>
      </c>
      <c r="F467" s="109">
        <v>0.87847222222222221</v>
      </c>
      <c r="G467" s="113" t="s">
        <v>3197</v>
      </c>
      <c r="H467" s="104" t="s">
        <v>3198</v>
      </c>
      <c r="I467" s="113" t="s">
        <v>3199</v>
      </c>
      <c r="J467" s="115">
        <v>200</v>
      </c>
      <c r="K467" s="115">
        <v>800</v>
      </c>
      <c r="L467" s="28" t="s">
        <v>20</v>
      </c>
      <c r="M467" s="28" t="s">
        <v>20</v>
      </c>
      <c r="N467" s="28" t="s">
        <v>20</v>
      </c>
      <c r="O467" s="28" t="s">
        <v>20</v>
      </c>
      <c r="P467" s="28" t="s">
        <v>20</v>
      </c>
      <c r="Q467" s="28" t="s">
        <v>20</v>
      </c>
    </row>
    <row r="468" spans="2:17" ht="21" x14ac:dyDescent="0.35">
      <c r="B468" s="27">
        <v>13</v>
      </c>
      <c r="C468" s="27" t="s">
        <v>93</v>
      </c>
      <c r="D468" s="27" t="s">
        <v>94</v>
      </c>
      <c r="E468" s="108">
        <v>45612</v>
      </c>
      <c r="F468" s="109">
        <v>0.12916666666666668</v>
      </c>
      <c r="G468" s="113" t="s">
        <v>3200</v>
      </c>
      <c r="H468" s="104" t="s">
        <v>3201</v>
      </c>
      <c r="I468" s="113" t="s">
        <v>3202</v>
      </c>
      <c r="J468" s="115">
        <v>500</v>
      </c>
      <c r="K468" s="115">
        <v>4500</v>
      </c>
      <c r="L468" s="28" t="s">
        <v>20</v>
      </c>
      <c r="M468" s="28" t="s">
        <v>20</v>
      </c>
      <c r="N468" s="28" t="s">
        <v>20</v>
      </c>
      <c r="O468" s="28" t="s">
        <v>20</v>
      </c>
      <c r="P468" s="28" t="s">
        <v>20</v>
      </c>
      <c r="Q468" s="28" t="s">
        <v>20</v>
      </c>
    </row>
    <row r="469" spans="2:17" ht="21" x14ac:dyDescent="0.35">
      <c r="B469" s="27">
        <v>14</v>
      </c>
      <c r="C469" s="27" t="s">
        <v>93</v>
      </c>
      <c r="D469" s="27" t="s">
        <v>94</v>
      </c>
      <c r="E469" s="108">
        <v>45614</v>
      </c>
      <c r="F469" s="109">
        <v>0.46041666666666664</v>
      </c>
      <c r="G469" s="113" t="s">
        <v>3203</v>
      </c>
      <c r="H469" s="104" t="s">
        <v>406</v>
      </c>
      <c r="I469" s="113" t="s">
        <v>3204</v>
      </c>
      <c r="J469" s="115">
        <v>2000</v>
      </c>
      <c r="K469" s="115">
        <v>18000</v>
      </c>
      <c r="L469" s="28" t="s">
        <v>20</v>
      </c>
      <c r="M469" s="28" t="s">
        <v>20</v>
      </c>
      <c r="N469" s="28" t="s">
        <v>20</v>
      </c>
      <c r="O469" s="28" t="s">
        <v>20</v>
      </c>
      <c r="P469" s="28">
        <v>5</v>
      </c>
      <c r="Q469" s="28" t="s">
        <v>20</v>
      </c>
    </row>
    <row r="470" spans="2:17" ht="21" x14ac:dyDescent="0.35">
      <c r="B470" s="27">
        <v>15</v>
      </c>
      <c r="C470" s="27" t="s">
        <v>93</v>
      </c>
      <c r="D470" s="27" t="s">
        <v>94</v>
      </c>
      <c r="E470" s="108">
        <v>45616</v>
      </c>
      <c r="F470" s="109">
        <v>0.35416666666666669</v>
      </c>
      <c r="G470" s="113" t="s">
        <v>3205</v>
      </c>
      <c r="H470" s="104" t="s">
        <v>406</v>
      </c>
      <c r="I470" s="113" t="s">
        <v>3206</v>
      </c>
      <c r="J470" s="115">
        <v>1000</v>
      </c>
      <c r="K470" s="115">
        <v>19000</v>
      </c>
      <c r="L470" s="28">
        <v>1</v>
      </c>
      <c r="M470" s="28" t="s">
        <v>20</v>
      </c>
      <c r="N470" s="28" t="s">
        <v>20</v>
      </c>
      <c r="O470" s="28" t="s">
        <v>20</v>
      </c>
      <c r="P470" s="28" t="s">
        <v>20</v>
      </c>
      <c r="Q470" s="28" t="s">
        <v>20</v>
      </c>
    </row>
    <row r="471" spans="2:17" ht="21" x14ac:dyDescent="0.35">
      <c r="B471" s="27">
        <v>16</v>
      </c>
      <c r="C471" s="27" t="s">
        <v>93</v>
      </c>
      <c r="D471" s="27" t="s">
        <v>94</v>
      </c>
      <c r="E471" s="108">
        <v>45616</v>
      </c>
      <c r="F471" s="109">
        <v>0.58194444444444449</v>
      </c>
      <c r="G471" s="113" t="s">
        <v>2715</v>
      </c>
      <c r="H471" s="104" t="s">
        <v>3207</v>
      </c>
      <c r="I471" s="113" t="s">
        <v>3208</v>
      </c>
      <c r="J471" s="115">
        <v>50000</v>
      </c>
      <c r="K471" s="115">
        <v>100000</v>
      </c>
      <c r="L471" s="28" t="s">
        <v>20</v>
      </c>
      <c r="M471" s="28" t="s">
        <v>20</v>
      </c>
      <c r="N471" s="28" t="s">
        <v>20</v>
      </c>
      <c r="O471" s="28" t="s">
        <v>20</v>
      </c>
      <c r="P471" s="28">
        <v>2</v>
      </c>
      <c r="Q471" s="28" t="s">
        <v>20</v>
      </c>
    </row>
    <row r="472" spans="2:17" ht="21" x14ac:dyDescent="0.35">
      <c r="B472" s="27">
        <v>17</v>
      </c>
      <c r="C472" s="27" t="s">
        <v>93</v>
      </c>
      <c r="D472" s="27" t="s">
        <v>94</v>
      </c>
      <c r="E472" s="108">
        <v>45620</v>
      </c>
      <c r="F472" s="109">
        <v>0.66597222222222219</v>
      </c>
      <c r="G472" s="113" t="s">
        <v>3209</v>
      </c>
      <c r="H472" s="104" t="s">
        <v>406</v>
      </c>
      <c r="I472" s="113" t="s">
        <v>3210</v>
      </c>
      <c r="J472" s="115">
        <v>20000</v>
      </c>
      <c r="K472" s="115">
        <v>2980000</v>
      </c>
      <c r="L472" s="28" t="s">
        <v>20</v>
      </c>
      <c r="M472" s="28" t="s">
        <v>20</v>
      </c>
      <c r="N472" s="28" t="s">
        <v>20</v>
      </c>
      <c r="O472" s="28" t="s">
        <v>20</v>
      </c>
      <c r="P472" s="28">
        <v>3</v>
      </c>
      <c r="Q472" s="28" t="s">
        <v>20</v>
      </c>
    </row>
    <row r="473" spans="2:17" ht="21" x14ac:dyDescent="0.35">
      <c r="B473" s="27">
        <v>18</v>
      </c>
      <c r="C473" s="27" t="s">
        <v>93</v>
      </c>
      <c r="D473" s="27" t="s">
        <v>94</v>
      </c>
      <c r="E473" s="108">
        <v>45622</v>
      </c>
      <c r="F473" s="109">
        <v>2.7777777777777776E-2</v>
      </c>
      <c r="G473" s="113" t="s">
        <v>3211</v>
      </c>
      <c r="H473" s="104" t="s">
        <v>2625</v>
      </c>
      <c r="I473" s="113" t="s">
        <v>3212</v>
      </c>
      <c r="J473" s="115">
        <v>1000</v>
      </c>
      <c r="K473" s="115">
        <v>19000</v>
      </c>
      <c r="L473" s="28" t="s">
        <v>20</v>
      </c>
      <c r="M473" s="28" t="s">
        <v>20</v>
      </c>
      <c r="N473" s="28" t="s">
        <v>20</v>
      </c>
      <c r="O473" s="28" t="s">
        <v>20</v>
      </c>
      <c r="P473" s="28" t="s">
        <v>20</v>
      </c>
      <c r="Q473" s="28" t="s">
        <v>20</v>
      </c>
    </row>
    <row r="474" spans="2:17" ht="21" x14ac:dyDescent="0.35">
      <c r="B474" s="27">
        <v>19</v>
      </c>
      <c r="C474" s="27" t="s">
        <v>93</v>
      </c>
      <c r="D474" s="27" t="s">
        <v>94</v>
      </c>
      <c r="E474" s="108">
        <v>45622</v>
      </c>
      <c r="F474" s="109">
        <v>0.45416666666666666</v>
      </c>
      <c r="G474" s="113" t="s">
        <v>3213</v>
      </c>
      <c r="H474" s="104" t="s">
        <v>2625</v>
      </c>
      <c r="I474" s="113" t="s">
        <v>3214</v>
      </c>
      <c r="J474" s="115">
        <v>350000</v>
      </c>
      <c r="K474" s="115">
        <v>4650000</v>
      </c>
      <c r="L474" s="28" t="s">
        <v>20</v>
      </c>
      <c r="M474" s="28" t="s">
        <v>20</v>
      </c>
      <c r="N474" s="28" t="s">
        <v>20</v>
      </c>
      <c r="O474" s="28" t="s">
        <v>20</v>
      </c>
      <c r="P474" s="28">
        <v>3</v>
      </c>
      <c r="Q474" s="28" t="s">
        <v>20</v>
      </c>
    </row>
    <row r="475" spans="2:17" ht="21" x14ac:dyDescent="0.35">
      <c r="B475" s="27">
        <v>20</v>
      </c>
      <c r="C475" s="27" t="s">
        <v>93</v>
      </c>
      <c r="D475" s="27" t="s">
        <v>94</v>
      </c>
      <c r="E475" s="110">
        <v>45597</v>
      </c>
      <c r="F475" s="109">
        <v>0.875</v>
      </c>
      <c r="G475" s="113" t="s">
        <v>3215</v>
      </c>
      <c r="H475" s="104" t="s">
        <v>3216</v>
      </c>
      <c r="I475" s="113" t="s">
        <v>3217</v>
      </c>
      <c r="J475" s="115">
        <v>1000</v>
      </c>
      <c r="K475" s="115">
        <v>4999000</v>
      </c>
      <c r="L475" s="28" t="s">
        <v>75</v>
      </c>
      <c r="M475" s="28" t="s">
        <v>75</v>
      </c>
      <c r="N475" s="28" t="s">
        <v>75</v>
      </c>
      <c r="O475" s="28" t="s">
        <v>75</v>
      </c>
      <c r="P475" s="28">
        <v>7</v>
      </c>
      <c r="Q475" s="28" t="s">
        <v>75</v>
      </c>
    </row>
    <row r="476" spans="2:17" ht="39" x14ac:dyDescent="0.35">
      <c r="B476" s="27">
        <v>21</v>
      </c>
      <c r="C476" s="27" t="s">
        <v>93</v>
      </c>
      <c r="D476" s="27" t="s">
        <v>94</v>
      </c>
      <c r="E476" s="110">
        <v>45598</v>
      </c>
      <c r="F476" s="109">
        <v>7.9166666666666663E-2</v>
      </c>
      <c r="G476" s="113" t="s">
        <v>3218</v>
      </c>
      <c r="H476" s="104" t="s">
        <v>3219</v>
      </c>
      <c r="I476" s="113" t="s">
        <v>3220</v>
      </c>
      <c r="J476" s="115" t="s">
        <v>134</v>
      </c>
      <c r="K476" s="115" t="s">
        <v>134</v>
      </c>
      <c r="L476" s="28"/>
      <c r="M476" s="28"/>
      <c r="N476" s="28"/>
      <c r="O476" s="28"/>
      <c r="P476" s="28"/>
      <c r="Q476" s="28"/>
    </row>
    <row r="477" spans="2:17" ht="21" x14ac:dyDescent="0.35">
      <c r="B477" s="27">
        <v>22</v>
      </c>
      <c r="C477" s="27" t="s">
        <v>93</v>
      </c>
      <c r="D477" s="27" t="s">
        <v>584</v>
      </c>
      <c r="E477" s="110">
        <v>45600</v>
      </c>
      <c r="F477" s="109">
        <v>0.10208333333333333</v>
      </c>
      <c r="G477" s="113" t="s">
        <v>3221</v>
      </c>
      <c r="H477" s="113" t="s">
        <v>3141</v>
      </c>
      <c r="I477" s="113" t="s">
        <v>3222</v>
      </c>
      <c r="J477" s="115">
        <v>400000</v>
      </c>
      <c r="K477" s="115">
        <v>4600000</v>
      </c>
      <c r="L477" s="28" t="s">
        <v>75</v>
      </c>
      <c r="M477" s="28" t="s">
        <v>75</v>
      </c>
      <c r="N477" s="28" t="s">
        <v>75</v>
      </c>
      <c r="O477" s="28" t="s">
        <v>75</v>
      </c>
      <c r="P477" s="28" t="s">
        <v>75</v>
      </c>
      <c r="Q477" s="28" t="s">
        <v>75</v>
      </c>
    </row>
    <row r="478" spans="2:17" ht="21" x14ac:dyDescent="0.35">
      <c r="B478" s="27">
        <v>23</v>
      </c>
      <c r="C478" s="27" t="s">
        <v>93</v>
      </c>
      <c r="D478" s="27" t="s">
        <v>584</v>
      </c>
      <c r="E478" s="110">
        <v>45603</v>
      </c>
      <c r="F478" s="28"/>
      <c r="G478" s="113" t="s">
        <v>3223</v>
      </c>
      <c r="H478" s="104" t="s">
        <v>3224</v>
      </c>
      <c r="I478" s="113" t="s">
        <v>3225</v>
      </c>
      <c r="J478" s="115" t="s">
        <v>20</v>
      </c>
      <c r="K478" s="115">
        <v>2000000</v>
      </c>
      <c r="L478" s="28" t="s">
        <v>75</v>
      </c>
      <c r="M478" s="28" t="s">
        <v>75</v>
      </c>
      <c r="N478" s="28" t="s">
        <v>75</v>
      </c>
      <c r="O478" s="28" t="s">
        <v>75</v>
      </c>
      <c r="P478" s="28">
        <v>5</v>
      </c>
      <c r="Q478" s="28" t="s">
        <v>75</v>
      </c>
    </row>
    <row r="479" spans="2:17" ht="21" x14ac:dyDescent="0.35">
      <c r="B479" s="27">
        <v>24</v>
      </c>
      <c r="C479" s="27" t="s">
        <v>93</v>
      </c>
      <c r="D479" s="27" t="s">
        <v>584</v>
      </c>
      <c r="E479" s="110">
        <v>45604</v>
      </c>
      <c r="F479" s="109">
        <v>0.92708333333333337</v>
      </c>
      <c r="G479" s="113" t="s">
        <v>3226</v>
      </c>
      <c r="H479" s="104" t="s">
        <v>3141</v>
      </c>
      <c r="I479" s="113" t="s">
        <v>1947</v>
      </c>
      <c r="J479" s="115">
        <v>300000</v>
      </c>
      <c r="K479" s="115">
        <v>4700000</v>
      </c>
      <c r="L479" s="28" t="s">
        <v>75</v>
      </c>
      <c r="M479" s="28" t="s">
        <v>75</v>
      </c>
      <c r="N479" s="28" t="s">
        <v>75</v>
      </c>
      <c r="O479" s="28" t="s">
        <v>75</v>
      </c>
      <c r="P479" s="28">
        <v>7</v>
      </c>
      <c r="Q479" s="28" t="s">
        <v>75</v>
      </c>
    </row>
    <row r="480" spans="2:17" ht="21" x14ac:dyDescent="0.35">
      <c r="B480" s="27">
        <v>25</v>
      </c>
      <c r="C480" s="27" t="s">
        <v>93</v>
      </c>
      <c r="D480" s="27" t="s">
        <v>584</v>
      </c>
      <c r="E480" s="110">
        <v>45617</v>
      </c>
      <c r="F480" s="109">
        <v>0.6381944444444444</v>
      </c>
      <c r="G480" s="113" t="s">
        <v>3227</v>
      </c>
      <c r="H480" s="104" t="s">
        <v>3228</v>
      </c>
      <c r="I480" s="113" t="s">
        <v>3229</v>
      </c>
      <c r="J480" s="115">
        <v>600000</v>
      </c>
      <c r="K480" s="115">
        <v>4200000</v>
      </c>
      <c r="L480" s="28" t="s">
        <v>75</v>
      </c>
      <c r="M480" s="28" t="s">
        <v>75</v>
      </c>
      <c r="N480" s="28" t="s">
        <v>75</v>
      </c>
      <c r="O480" s="28" t="s">
        <v>75</v>
      </c>
      <c r="P480" s="28" t="s">
        <v>75</v>
      </c>
      <c r="Q480" s="28" t="s">
        <v>75</v>
      </c>
    </row>
    <row r="481" spans="2:17" ht="21" x14ac:dyDescent="0.35">
      <c r="B481" s="27">
        <v>26</v>
      </c>
      <c r="C481" s="27" t="s">
        <v>93</v>
      </c>
      <c r="D481" s="27" t="s">
        <v>584</v>
      </c>
      <c r="E481" s="110">
        <v>45619</v>
      </c>
      <c r="F481" s="109">
        <v>7.4305555555555555E-2</v>
      </c>
      <c r="G481" s="113" t="s">
        <v>3230</v>
      </c>
      <c r="H481" s="104" t="s">
        <v>3228</v>
      </c>
      <c r="I481" s="113" t="s">
        <v>3231</v>
      </c>
      <c r="J481" s="115">
        <v>600000</v>
      </c>
      <c r="K481" s="115">
        <v>50000</v>
      </c>
      <c r="L481" s="28" t="s">
        <v>75</v>
      </c>
      <c r="M481" s="28" t="s">
        <v>75</v>
      </c>
      <c r="N481" s="28" t="s">
        <v>75</v>
      </c>
      <c r="O481" s="28" t="s">
        <v>75</v>
      </c>
      <c r="P481" s="28" t="s">
        <v>75</v>
      </c>
      <c r="Q481" s="28" t="s">
        <v>75</v>
      </c>
    </row>
    <row r="482" spans="2:17" ht="21" x14ac:dyDescent="0.35">
      <c r="B482" s="27">
        <v>27</v>
      </c>
      <c r="C482" s="27" t="s">
        <v>93</v>
      </c>
      <c r="D482" s="27" t="s">
        <v>584</v>
      </c>
      <c r="E482" s="110">
        <v>45621</v>
      </c>
      <c r="F482" s="109">
        <v>6.5277777777777782E-2</v>
      </c>
      <c r="G482" s="113" t="s">
        <v>3232</v>
      </c>
      <c r="H482" s="104" t="s">
        <v>3228</v>
      </c>
      <c r="I482" s="113" t="s">
        <v>3233</v>
      </c>
      <c r="J482" s="115">
        <v>850000</v>
      </c>
      <c r="K482" s="115">
        <v>1150000</v>
      </c>
      <c r="L482" s="28" t="s">
        <v>75</v>
      </c>
      <c r="M482" s="28" t="s">
        <v>75</v>
      </c>
      <c r="N482" s="28" t="s">
        <v>75</v>
      </c>
      <c r="O482" s="28" t="s">
        <v>75</v>
      </c>
      <c r="P482" s="28" t="s">
        <v>75</v>
      </c>
      <c r="Q482" s="28" t="s">
        <v>75</v>
      </c>
    </row>
    <row r="483" spans="2:17" ht="21" x14ac:dyDescent="0.35">
      <c r="B483" s="27">
        <v>28</v>
      </c>
      <c r="C483" s="27" t="s">
        <v>93</v>
      </c>
      <c r="D483" s="27" t="s">
        <v>584</v>
      </c>
      <c r="E483" s="110">
        <v>45625</v>
      </c>
      <c r="F483" s="109">
        <v>0.86458333333333337</v>
      </c>
      <c r="G483" s="113" t="s">
        <v>3234</v>
      </c>
      <c r="H483" s="104" t="s">
        <v>3235</v>
      </c>
      <c r="I483" s="113" t="s">
        <v>353</v>
      </c>
      <c r="J483" s="115">
        <v>1000</v>
      </c>
      <c r="K483" s="115">
        <v>4999000</v>
      </c>
      <c r="L483" s="28" t="s">
        <v>75</v>
      </c>
      <c r="M483" s="28" t="s">
        <v>75</v>
      </c>
      <c r="N483" s="28" t="s">
        <v>75</v>
      </c>
      <c r="O483" s="28" t="s">
        <v>75</v>
      </c>
      <c r="P483" s="28" t="s">
        <v>75</v>
      </c>
      <c r="Q483" s="28" t="s">
        <v>75</v>
      </c>
    </row>
    <row r="484" spans="2:17" ht="21" x14ac:dyDescent="0.35">
      <c r="B484" s="27">
        <v>29</v>
      </c>
      <c r="C484" s="27" t="s">
        <v>93</v>
      </c>
      <c r="D484" s="27" t="s">
        <v>584</v>
      </c>
      <c r="E484" s="110">
        <v>45626</v>
      </c>
      <c r="F484" s="109">
        <v>0.55763888888888891</v>
      </c>
      <c r="G484" s="113" t="s">
        <v>3236</v>
      </c>
      <c r="H484" s="104" t="s">
        <v>3237</v>
      </c>
      <c r="I484" s="113" t="s">
        <v>3238</v>
      </c>
      <c r="J484" s="115">
        <v>20000</v>
      </c>
      <c r="K484" s="115">
        <v>480000</v>
      </c>
      <c r="L484" s="28" t="s">
        <v>75</v>
      </c>
      <c r="M484" s="28" t="s">
        <v>75</v>
      </c>
      <c r="N484" s="28" t="s">
        <v>75</v>
      </c>
      <c r="O484" s="28" t="s">
        <v>75</v>
      </c>
      <c r="P484" s="28" t="s">
        <v>75</v>
      </c>
      <c r="Q484" s="28" t="s">
        <v>75</v>
      </c>
    </row>
    <row r="485" spans="2:17" ht="21" x14ac:dyDescent="0.35">
      <c r="B485" s="27"/>
      <c r="C485" s="27" t="s">
        <v>93</v>
      </c>
      <c r="D485" s="27" t="s">
        <v>1791</v>
      </c>
      <c r="E485" s="108">
        <v>45603</v>
      </c>
      <c r="F485" s="109">
        <v>3.7499999999999999E-2</v>
      </c>
      <c r="G485" s="104" t="s">
        <v>3239</v>
      </c>
      <c r="H485" s="113" t="s">
        <v>3240</v>
      </c>
      <c r="I485" s="104" t="s">
        <v>3241</v>
      </c>
      <c r="J485" s="115" t="s">
        <v>20</v>
      </c>
      <c r="K485" s="115" t="s">
        <v>20</v>
      </c>
      <c r="L485" s="28" t="s">
        <v>23</v>
      </c>
      <c r="M485" s="28" t="s">
        <v>23</v>
      </c>
      <c r="N485" s="28" t="s">
        <v>23</v>
      </c>
      <c r="O485" s="28" t="s">
        <v>23</v>
      </c>
      <c r="P485" s="28" t="s">
        <v>23</v>
      </c>
      <c r="Q485" s="28" t="s">
        <v>23</v>
      </c>
    </row>
    <row r="486" spans="2:17" ht="39" x14ac:dyDescent="0.35">
      <c r="B486" s="27">
        <v>30</v>
      </c>
      <c r="C486" s="27" t="s">
        <v>93</v>
      </c>
      <c r="D486" s="27" t="s">
        <v>1791</v>
      </c>
      <c r="E486" s="108">
        <v>45617</v>
      </c>
      <c r="F486" s="109">
        <v>0.49166666666666664</v>
      </c>
      <c r="G486" s="104" t="s">
        <v>3242</v>
      </c>
      <c r="H486" s="113" t="s">
        <v>3243</v>
      </c>
      <c r="I486" s="104" t="s">
        <v>3244</v>
      </c>
      <c r="J486" s="115" t="s">
        <v>20</v>
      </c>
      <c r="K486" s="115" t="s">
        <v>302</v>
      </c>
      <c r="L486" s="28" t="s">
        <v>23</v>
      </c>
      <c r="M486" s="28" t="s">
        <v>23</v>
      </c>
      <c r="N486" s="28" t="s">
        <v>23</v>
      </c>
      <c r="O486" s="28" t="s">
        <v>23</v>
      </c>
      <c r="P486" s="28" t="s">
        <v>23</v>
      </c>
      <c r="Q486" s="28" t="s">
        <v>23</v>
      </c>
    </row>
    <row r="487" spans="2:17" ht="39" x14ac:dyDescent="0.35">
      <c r="B487" s="27">
        <v>31</v>
      </c>
      <c r="C487" s="27" t="s">
        <v>93</v>
      </c>
      <c r="D487" s="27" t="s">
        <v>1791</v>
      </c>
      <c r="E487" s="108">
        <v>45625</v>
      </c>
      <c r="F487" s="109">
        <v>0.69930555555555551</v>
      </c>
      <c r="G487" s="104" t="s">
        <v>3245</v>
      </c>
      <c r="H487" s="113" t="s">
        <v>3246</v>
      </c>
      <c r="I487" s="104" t="s">
        <v>3247</v>
      </c>
      <c r="J487" s="115" t="s">
        <v>211</v>
      </c>
      <c r="K487" s="115" t="s">
        <v>303</v>
      </c>
      <c r="L487" s="28" t="s">
        <v>23</v>
      </c>
      <c r="M487" s="28" t="s">
        <v>23</v>
      </c>
      <c r="N487" s="28" t="s">
        <v>23</v>
      </c>
      <c r="O487" s="28" t="s">
        <v>23</v>
      </c>
      <c r="P487" s="28" t="s">
        <v>23</v>
      </c>
      <c r="Q487" s="28" t="s">
        <v>23</v>
      </c>
    </row>
    <row r="488" spans="2:17" ht="21" x14ac:dyDescent="0.35">
      <c r="B488" s="27">
        <v>32</v>
      </c>
      <c r="C488" s="27" t="s">
        <v>93</v>
      </c>
      <c r="D488" s="27" t="s">
        <v>1792</v>
      </c>
      <c r="E488" s="108">
        <v>45616</v>
      </c>
      <c r="F488" s="109">
        <v>0.31458333333333333</v>
      </c>
      <c r="G488" s="104" t="s">
        <v>3248</v>
      </c>
      <c r="H488" s="113" t="s">
        <v>3249</v>
      </c>
      <c r="I488" s="104" t="s">
        <v>3250</v>
      </c>
      <c r="J488" s="115" t="s">
        <v>1845</v>
      </c>
      <c r="K488" s="115" t="s">
        <v>1846</v>
      </c>
      <c r="L488" s="28" t="s">
        <v>23</v>
      </c>
      <c r="M488" s="28" t="s">
        <v>23</v>
      </c>
      <c r="N488" s="28" t="s">
        <v>23</v>
      </c>
      <c r="O488" s="28" t="s">
        <v>23</v>
      </c>
      <c r="P488" s="28" t="s">
        <v>23</v>
      </c>
      <c r="Q488" s="28" t="s">
        <v>23</v>
      </c>
    </row>
    <row r="489" spans="2:17" ht="21" x14ac:dyDescent="0.35">
      <c r="B489" s="27">
        <v>33</v>
      </c>
      <c r="C489" s="27" t="s">
        <v>93</v>
      </c>
      <c r="D489" s="27" t="s">
        <v>587</v>
      </c>
      <c r="E489" s="108">
        <v>45599</v>
      </c>
      <c r="F489" s="109">
        <v>0.68055555555555558</v>
      </c>
      <c r="G489" s="104" t="s">
        <v>3251</v>
      </c>
      <c r="H489" s="113" t="s">
        <v>3252</v>
      </c>
      <c r="I489" s="104" t="s">
        <v>3160</v>
      </c>
      <c r="J489" s="115">
        <v>1500</v>
      </c>
      <c r="K489" s="115">
        <v>98500</v>
      </c>
      <c r="L489" s="28" t="s">
        <v>23</v>
      </c>
      <c r="M489" s="28" t="s">
        <v>23</v>
      </c>
      <c r="N489" s="28" t="s">
        <v>23</v>
      </c>
      <c r="O489" s="28" t="s">
        <v>23</v>
      </c>
      <c r="P489" s="28" t="s">
        <v>23</v>
      </c>
      <c r="Q489" s="28" t="s">
        <v>23</v>
      </c>
    </row>
    <row r="490" spans="2:17" ht="21" x14ac:dyDescent="0.35">
      <c r="B490" s="27">
        <v>1</v>
      </c>
      <c r="C490" s="27" t="s">
        <v>93</v>
      </c>
      <c r="D490" s="27" t="s">
        <v>94</v>
      </c>
      <c r="E490" s="108">
        <v>45546</v>
      </c>
      <c r="F490" s="109">
        <v>0.41736111111111113</v>
      </c>
      <c r="G490" s="113" t="s">
        <v>3253</v>
      </c>
      <c r="H490" s="104" t="s">
        <v>3254</v>
      </c>
      <c r="I490" s="113" t="s">
        <v>3255</v>
      </c>
      <c r="J490" s="115">
        <v>20000</v>
      </c>
      <c r="K490" s="115">
        <v>4980000</v>
      </c>
      <c r="L490" s="28" t="s">
        <v>23</v>
      </c>
      <c r="M490" s="28" t="s">
        <v>23</v>
      </c>
      <c r="N490" s="28" t="s">
        <v>20</v>
      </c>
      <c r="O490" s="28"/>
      <c r="P490" s="28" t="s">
        <v>20</v>
      </c>
      <c r="Q490" s="28"/>
    </row>
    <row r="491" spans="2:17" ht="21" x14ac:dyDescent="0.35">
      <c r="B491" s="27">
        <v>2</v>
      </c>
      <c r="C491" s="27" t="s">
        <v>93</v>
      </c>
      <c r="D491" s="27" t="s">
        <v>94</v>
      </c>
      <c r="E491" s="108">
        <v>45546</v>
      </c>
      <c r="F491" s="109">
        <v>0.79513888888888884</v>
      </c>
      <c r="G491" s="113" t="s">
        <v>3256</v>
      </c>
      <c r="H491" s="104" t="s">
        <v>3257</v>
      </c>
      <c r="I491" s="113" t="s">
        <v>3258</v>
      </c>
      <c r="J491" s="115">
        <v>10000</v>
      </c>
      <c r="K491" s="115">
        <v>790000</v>
      </c>
      <c r="L491" s="28" t="s">
        <v>23</v>
      </c>
      <c r="M491" s="28" t="s">
        <v>23</v>
      </c>
      <c r="N491" s="28" t="s">
        <v>20</v>
      </c>
      <c r="O491" s="28"/>
      <c r="P491" s="28" t="s">
        <v>20</v>
      </c>
      <c r="Q491" s="28"/>
    </row>
    <row r="492" spans="2:17" ht="42" x14ac:dyDescent="0.35">
      <c r="B492" s="27">
        <v>3</v>
      </c>
      <c r="C492" s="27" t="s">
        <v>93</v>
      </c>
      <c r="D492" s="27" t="s">
        <v>94</v>
      </c>
      <c r="E492" s="108">
        <v>45550</v>
      </c>
      <c r="F492" s="109">
        <v>0.49305555555555558</v>
      </c>
      <c r="G492" s="113" t="s">
        <v>3259</v>
      </c>
      <c r="H492" s="128" t="s">
        <v>2714</v>
      </c>
      <c r="I492" s="113" t="s">
        <v>3260</v>
      </c>
      <c r="J492" s="120" t="s">
        <v>2714</v>
      </c>
      <c r="K492" s="120" t="s">
        <v>2714</v>
      </c>
      <c r="L492" s="28" t="s">
        <v>23</v>
      </c>
      <c r="M492" s="28" t="s">
        <v>23</v>
      </c>
      <c r="N492" s="28" t="s">
        <v>20</v>
      </c>
      <c r="O492" s="28"/>
      <c r="P492" s="28" t="s">
        <v>20</v>
      </c>
      <c r="Q492" s="28"/>
    </row>
    <row r="493" spans="2:17" ht="21" x14ac:dyDescent="0.35">
      <c r="B493" s="27">
        <v>4</v>
      </c>
      <c r="C493" s="27" t="s">
        <v>93</v>
      </c>
      <c r="D493" s="27" t="s">
        <v>94</v>
      </c>
      <c r="E493" s="108">
        <v>45551</v>
      </c>
      <c r="F493" s="109">
        <v>0.79513888888888884</v>
      </c>
      <c r="G493" s="113" t="s">
        <v>3261</v>
      </c>
      <c r="H493" s="104" t="s">
        <v>3262</v>
      </c>
      <c r="I493" s="113" t="s">
        <v>3263</v>
      </c>
      <c r="J493" s="115">
        <v>225000</v>
      </c>
      <c r="K493" s="115">
        <v>5775000</v>
      </c>
      <c r="L493" s="28" t="s">
        <v>23</v>
      </c>
      <c r="M493" s="28" t="s">
        <v>23</v>
      </c>
      <c r="N493" s="28" t="s">
        <v>20</v>
      </c>
      <c r="O493" s="28"/>
      <c r="P493" s="28" t="s">
        <v>20</v>
      </c>
      <c r="Q493" s="28"/>
    </row>
    <row r="494" spans="2:17" ht="42" x14ac:dyDescent="0.35">
      <c r="B494" s="27">
        <v>5</v>
      </c>
      <c r="C494" s="27" t="s">
        <v>93</v>
      </c>
      <c r="D494" s="27" t="s">
        <v>94</v>
      </c>
      <c r="E494" s="108">
        <v>45551</v>
      </c>
      <c r="F494" s="109">
        <v>0.61250000000000004</v>
      </c>
      <c r="G494" s="113" t="s">
        <v>3264</v>
      </c>
      <c r="H494" s="128" t="s">
        <v>2714</v>
      </c>
      <c r="I494" s="113" t="s">
        <v>3265</v>
      </c>
      <c r="J494" s="120" t="s">
        <v>2714</v>
      </c>
      <c r="K494" s="120" t="s">
        <v>2714</v>
      </c>
      <c r="L494" s="28" t="s">
        <v>23</v>
      </c>
      <c r="M494" s="28" t="s">
        <v>23</v>
      </c>
      <c r="N494" s="28" t="s">
        <v>20</v>
      </c>
      <c r="O494" s="28"/>
      <c r="P494" s="28" t="s">
        <v>20</v>
      </c>
      <c r="Q494" s="28"/>
    </row>
    <row r="495" spans="2:17" ht="21" x14ac:dyDescent="0.35">
      <c r="B495" s="27">
        <v>6</v>
      </c>
      <c r="C495" s="27" t="s">
        <v>93</v>
      </c>
      <c r="D495" s="27" t="s">
        <v>94</v>
      </c>
      <c r="E495" s="108">
        <v>45554</v>
      </c>
      <c r="F495" s="109">
        <v>0.84444444444444444</v>
      </c>
      <c r="G495" s="113" t="s">
        <v>3266</v>
      </c>
      <c r="H495" s="104" t="s">
        <v>3262</v>
      </c>
      <c r="I495" s="113" t="s">
        <v>3267</v>
      </c>
      <c r="J495" s="115">
        <v>40000</v>
      </c>
      <c r="K495" s="115">
        <v>6960000</v>
      </c>
      <c r="L495" s="28" t="s">
        <v>23</v>
      </c>
      <c r="M495" s="28" t="s">
        <v>23</v>
      </c>
      <c r="N495" s="28" t="s">
        <v>20</v>
      </c>
      <c r="O495" s="28"/>
      <c r="P495" s="28" t="s">
        <v>20</v>
      </c>
      <c r="Q495" s="28"/>
    </row>
    <row r="496" spans="2:17" ht="42" x14ac:dyDescent="0.35">
      <c r="B496" s="27">
        <v>7</v>
      </c>
      <c r="C496" s="27" t="s">
        <v>93</v>
      </c>
      <c r="D496" s="27" t="s">
        <v>94</v>
      </c>
      <c r="E496" s="108">
        <v>45555</v>
      </c>
      <c r="F496" s="109">
        <v>0.78888888888888886</v>
      </c>
      <c r="G496" s="113" t="s">
        <v>3268</v>
      </c>
      <c r="H496" s="128" t="s">
        <v>2714</v>
      </c>
      <c r="I496" s="113" t="s">
        <v>3269</v>
      </c>
      <c r="J496" s="120" t="s">
        <v>2714</v>
      </c>
      <c r="K496" s="120" t="s">
        <v>2714</v>
      </c>
      <c r="L496" s="28" t="s">
        <v>23</v>
      </c>
      <c r="M496" s="28" t="s">
        <v>23</v>
      </c>
      <c r="N496" s="28" t="s">
        <v>20</v>
      </c>
      <c r="O496" s="28"/>
      <c r="P496" s="28" t="s">
        <v>20</v>
      </c>
      <c r="Q496" s="28"/>
    </row>
    <row r="497" spans="2:17" ht="21" x14ac:dyDescent="0.35">
      <c r="B497" s="27">
        <v>8</v>
      </c>
      <c r="C497" s="27" t="s">
        <v>93</v>
      </c>
      <c r="D497" s="27" t="s">
        <v>584</v>
      </c>
      <c r="E497" s="110">
        <v>45537</v>
      </c>
      <c r="F497" s="109">
        <v>0.59861111111111109</v>
      </c>
      <c r="G497" s="113" t="s">
        <v>3270</v>
      </c>
      <c r="H497" s="104" t="s">
        <v>3271</v>
      </c>
      <c r="I497" s="113" t="s">
        <v>2649</v>
      </c>
      <c r="J497" s="115">
        <v>1000</v>
      </c>
      <c r="K497" s="115">
        <v>1999000</v>
      </c>
      <c r="L497" s="28" t="s">
        <v>23</v>
      </c>
      <c r="M497" s="28" t="s">
        <v>23</v>
      </c>
      <c r="N497" s="28" t="s">
        <v>75</v>
      </c>
      <c r="O497" s="28"/>
      <c r="P497" s="28" t="s">
        <v>75</v>
      </c>
      <c r="Q497" s="28"/>
    </row>
    <row r="498" spans="2:17" ht="21" x14ac:dyDescent="0.35">
      <c r="B498" s="27">
        <v>9</v>
      </c>
      <c r="C498" s="27" t="s">
        <v>93</v>
      </c>
      <c r="D498" s="27" t="s">
        <v>584</v>
      </c>
      <c r="E498" s="110">
        <v>45556</v>
      </c>
      <c r="F498" s="28">
        <v>6.6122685185185187E-2</v>
      </c>
      <c r="G498" s="113" t="s">
        <v>3272</v>
      </c>
      <c r="H498" s="113" t="s">
        <v>3273</v>
      </c>
      <c r="I498" s="113" t="s">
        <v>3621</v>
      </c>
      <c r="J498" s="115">
        <v>400000</v>
      </c>
      <c r="K498" s="115">
        <v>500000</v>
      </c>
      <c r="L498" s="28" t="s">
        <v>23</v>
      </c>
      <c r="M498" s="28" t="s">
        <v>23</v>
      </c>
      <c r="N498" s="28" t="s">
        <v>75</v>
      </c>
      <c r="O498" s="28"/>
      <c r="P498" s="28" t="s">
        <v>75</v>
      </c>
      <c r="Q498" s="28"/>
    </row>
    <row r="499" spans="2:17" ht="21" x14ac:dyDescent="0.35">
      <c r="B499" s="27">
        <v>10</v>
      </c>
      <c r="C499" s="27" t="s">
        <v>93</v>
      </c>
      <c r="D499" s="27" t="s">
        <v>584</v>
      </c>
      <c r="E499" s="110">
        <v>45556</v>
      </c>
      <c r="F499" s="28">
        <v>7.2777777777777775E-2</v>
      </c>
      <c r="G499" s="113" t="s">
        <v>3274</v>
      </c>
      <c r="H499" s="113" t="s">
        <v>3275</v>
      </c>
      <c r="I499" s="113" t="s">
        <v>3276</v>
      </c>
      <c r="J499" s="115">
        <v>30000</v>
      </c>
      <c r="K499" s="115">
        <v>3970000</v>
      </c>
      <c r="L499" s="28" t="s">
        <v>23</v>
      </c>
      <c r="M499" s="28" t="s">
        <v>23</v>
      </c>
      <c r="N499" s="28" t="s">
        <v>75</v>
      </c>
      <c r="O499" s="28"/>
      <c r="P499" s="28" t="s">
        <v>75</v>
      </c>
      <c r="Q499" s="28"/>
    </row>
    <row r="500" spans="2:17" ht="21" x14ac:dyDescent="0.35">
      <c r="B500" s="27">
        <v>11</v>
      </c>
      <c r="C500" s="27" t="s">
        <v>93</v>
      </c>
      <c r="D500" s="27" t="s">
        <v>584</v>
      </c>
      <c r="E500" s="110">
        <v>45563</v>
      </c>
      <c r="F500" s="28">
        <v>7.2488425925925928E-2</v>
      </c>
      <c r="G500" s="113" t="s">
        <v>3277</v>
      </c>
      <c r="H500" s="104" t="s">
        <v>3141</v>
      </c>
      <c r="I500" s="113" t="s">
        <v>3278</v>
      </c>
      <c r="J500" s="115">
        <v>50000</v>
      </c>
      <c r="K500" s="115">
        <v>29950000</v>
      </c>
      <c r="L500" s="28" t="s">
        <v>23</v>
      </c>
      <c r="M500" s="28" t="s">
        <v>23</v>
      </c>
      <c r="N500" s="28" t="s">
        <v>75</v>
      </c>
      <c r="O500" s="28"/>
      <c r="P500" s="28" t="s">
        <v>75</v>
      </c>
      <c r="Q500" s="28"/>
    </row>
    <row r="501" spans="2:17" ht="39" x14ac:dyDescent="0.35">
      <c r="B501" s="27">
        <v>12</v>
      </c>
      <c r="C501" s="27" t="s">
        <v>93</v>
      </c>
      <c r="D501" s="27" t="s">
        <v>1791</v>
      </c>
      <c r="E501" s="110">
        <v>45536</v>
      </c>
      <c r="F501" s="109">
        <v>0.4152777777777778</v>
      </c>
      <c r="G501" s="113" t="s">
        <v>3279</v>
      </c>
      <c r="H501" s="113" t="s">
        <v>3280</v>
      </c>
      <c r="I501" s="104" t="s">
        <v>3281</v>
      </c>
      <c r="J501" s="115" t="s">
        <v>189</v>
      </c>
      <c r="K501" s="115" t="s">
        <v>190</v>
      </c>
      <c r="L501" s="28"/>
      <c r="M501" s="28" t="s">
        <v>23</v>
      </c>
      <c r="N501" s="28"/>
      <c r="O501" s="28" t="s">
        <v>23</v>
      </c>
      <c r="P501" s="28" t="s">
        <v>23</v>
      </c>
      <c r="Q501" s="28"/>
    </row>
    <row r="502" spans="2:17" ht="21" x14ac:dyDescent="0.35">
      <c r="B502" s="27">
        <v>13</v>
      </c>
      <c r="C502" s="27" t="s">
        <v>93</v>
      </c>
      <c r="D502" s="27" t="s">
        <v>1792</v>
      </c>
      <c r="E502" s="108">
        <v>45551</v>
      </c>
      <c r="F502" s="109">
        <v>8.6805555555555552E-2</v>
      </c>
      <c r="G502" s="104" t="s">
        <v>3282</v>
      </c>
      <c r="H502" s="113" t="s">
        <v>309</v>
      </c>
      <c r="I502" s="104" t="s">
        <v>1947</v>
      </c>
      <c r="J502" s="115">
        <v>250000</v>
      </c>
      <c r="K502" s="115">
        <v>1250000</v>
      </c>
      <c r="L502" s="28"/>
      <c r="M502" s="28" t="s">
        <v>23</v>
      </c>
      <c r="N502" s="28"/>
      <c r="O502" s="28" t="s">
        <v>23</v>
      </c>
      <c r="P502" s="28" t="s">
        <v>23</v>
      </c>
      <c r="Q502" s="28"/>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60E19-CC82-4CE8-9E77-FECEF7B2EB56}">
  <dimension ref="B2:Q426"/>
  <sheetViews>
    <sheetView topLeftCell="E69" zoomScale="70" zoomScaleNormal="70" workbookViewId="0">
      <selection activeCell="J3" sqref="J3:Q74"/>
    </sheetView>
  </sheetViews>
  <sheetFormatPr defaultRowHeight="15" x14ac:dyDescent="0.25"/>
  <cols>
    <col min="5" max="5" width="13.42578125" bestFit="1" customWidth="1"/>
    <col min="6" max="6" width="12" style="102" customWidth="1"/>
    <col min="7" max="7" width="41.7109375" customWidth="1"/>
    <col min="8" max="8" width="17.7109375" customWidth="1"/>
    <col min="9" max="9" width="11.28515625" customWidth="1"/>
    <col min="10" max="10" width="13.7109375" customWidth="1"/>
    <col min="11" max="11" width="11.5703125" bestFit="1" customWidth="1"/>
  </cols>
  <sheetData>
    <row r="2" spans="2:17" ht="168" x14ac:dyDescent="0.25">
      <c r="B2" s="192" t="s">
        <v>4765</v>
      </c>
      <c r="C2" s="105" t="s">
        <v>77</v>
      </c>
      <c r="D2" s="27" t="s">
        <v>78</v>
      </c>
      <c r="E2" s="187" t="s">
        <v>79</v>
      </c>
      <c r="F2" s="27" t="s">
        <v>80</v>
      </c>
      <c r="G2" s="27" t="s">
        <v>81</v>
      </c>
      <c r="H2" s="183" t="s">
        <v>82</v>
      </c>
      <c r="I2" s="27" t="s">
        <v>83</v>
      </c>
      <c r="J2" s="27" t="s">
        <v>84</v>
      </c>
      <c r="K2" s="27" t="s">
        <v>85</v>
      </c>
      <c r="L2" s="27" t="s">
        <v>86</v>
      </c>
      <c r="M2" s="27" t="s">
        <v>91</v>
      </c>
      <c r="N2" s="27" t="s">
        <v>87</v>
      </c>
      <c r="O2" s="27" t="s">
        <v>90</v>
      </c>
      <c r="P2" s="27" t="s">
        <v>88</v>
      </c>
      <c r="Q2" s="27" t="s">
        <v>89</v>
      </c>
    </row>
    <row r="3" spans="2:17" ht="19.5" x14ac:dyDescent="0.25">
      <c r="B3" s="146">
        <v>1</v>
      </c>
      <c r="C3" s="122" t="s">
        <v>4827</v>
      </c>
      <c r="D3" s="28" t="s">
        <v>5717</v>
      </c>
      <c r="E3" s="108">
        <v>45444</v>
      </c>
      <c r="F3" s="109">
        <v>0.85</v>
      </c>
      <c r="G3" s="28" t="s">
        <v>6139</v>
      </c>
      <c r="H3" s="124" t="s">
        <v>406</v>
      </c>
      <c r="I3" s="28" t="s">
        <v>6140</v>
      </c>
      <c r="J3" s="28" t="s">
        <v>20</v>
      </c>
      <c r="K3" s="28" t="s">
        <v>20</v>
      </c>
      <c r="L3" s="28" t="s">
        <v>20</v>
      </c>
      <c r="M3" s="28" t="s">
        <v>20</v>
      </c>
      <c r="N3" s="28" t="s">
        <v>20</v>
      </c>
      <c r="O3" s="28" t="s">
        <v>20</v>
      </c>
      <c r="P3" s="28" t="s">
        <v>20</v>
      </c>
      <c r="Q3" s="28" t="s">
        <v>20</v>
      </c>
    </row>
    <row r="4" spans="2:17" ht="39" x14ac:dyDescent="0.25">
      <c r="B4" s="146">
        <v>2</v>
      </c>
      <c r="C4" s="122" t="s">
        <v>4827</v>
      </c>
      <c r="D4" s="28" t="s">
        <v>5717</v>
      </c>
      <c r="E4" s="108">
        <v>45445</v>
      </c>
      <c r="F4" s="109">
        <v>0.20277777777777778</v>
      </c>
      <c r="G4" s="28" t="s">
        <v>6141</v>
      </c>
      <c r="H4" s="124" t="s">
        <v>4970</v>
      </c>
      <c r="I4" s="28" t="s">
        <v>434</v>
      </c>
      <c r="J4" s="28">
        <v>800000</v>
      </c>
      <c r="K4" s="28">
        <v>1200000</v>
      </c>
      <c r="L4" s="28" t="s">
        <v>20</v>
      </c>
      <c r="M4" s="28" t="s">
        <v>20</v>
      </c>
      <c r="N4" s="28" t="s">
        <v>20</v>
      </c>
      <c r="O4" s="28" t="s">
        <v>20</v>
      </c>
      <c r="P4" s="28" t="s">
        <v>20</v>
      </c>
      <c r="Q4" s="28" t="s">
        <v>20</v>
      </c>
    </row>
    <row r="5" spans="2:17" ht="19.5" x14ac:dyDescent="0.25">
      <c r="B5" s="146">
        <v>3</v>
      </c>
      <c r="C5" s="122" t="s">
        <v>4827</v>
      </c>
      <c r="D5" s="28" t="s">
        <v>5717</v>
      </c>
      <c r="E5" s="108">
        <v>45445</v>
      </c>
      <c r="F5" s="109">
        <v>0.76041666666666663</v>
      </c>
      <c r="G5" s="28" t="s">
        <v>6142</v>
      </c>
      <c r="H5" s="124" t="s">
        <v>1904</v>
      </c>
      <c r="I5" s="28" t="s">
        <v>6143</v>
      </c>
      <c r="J5" s="28">
        <v>250000</v>
      </c>
      <c r="K5" s="28">
        <v>250000</v>
      </c>
      <c r="L5" s="28" t="s">
        <v>20</v>
      </c>
      <c r="M5" s="28">
        <v>4</v>
      </c>
      <c r="N5" s="28" t="s">
        <v>20</v>
      </c>
      <c r="O5" s="28" t="s">
        <v>20</v>
      </c>
      <c r="P5" s="28" t="s">
        <v>20</v>
      </c>
      <c r="Q5" s="28" t="s">
        <v>20</v>
      </c>
    </row>
    <row r="6" spans="2:17" ht="19.5" x14ac:dyDescent="0.25">
      <c r="B6" s="146">
        <v>4</v>
      </c>
      <c r="C6" s="122" t="s">
        <v>4827</v>
      </c>
      <c r="D6" s="28" t="s">
        <v>5717</v>
      </c>
      <c r="E6" s="108">
        <v>45447</v>
      </c>
      <c r="F6" s="109">
        <v>0.15138888888888888</v>
      </c>
      <c r="G6" s="28" t="s">
        <v>6144</v>
      </c>
      <c r="H6" s="124" t="s">
        <v>406</v>
      </c>
      <c r="I6" s="28" t="s">
        <v>434</v>
      </c>
      <c r="J6" s="28" t="s">
        <v>20</v>
      </c>
      <c r="K6" s="28" t="s">
        <v>20</v>
      </c>
      <c r="L6" s="28" t="s">
        <v>20</v>
      </c>
      <c r="M6" s="28" t="s">
        <v>20</v>
      </c>
      <c r="N6" s="28" t="s">
        <v>20</v>
      </c>
      <c r="O6" s="28" t="s">
        <v>20</v>
      </c>
      <c r="P6" s="28" t="s">
        <v>20</v>
      </c>
      <c r="Q6" s="28" t="s">
        <v>20</v>
      </c>
    </row>
    <row r="7" spans="2:17" ht="19.5" x14ac:dyDescent="0.25">
      <c r="B7" s="146">
        <v>5</v>
      </c>
      <c r="C7" s="122" t="s">
        <v>4827</v>
      </c>
      <c r="D7" s="28" t="s">
        <v>5717</v>
      </c>
      <c r="E7" s="108">
        <v>45451</v>
      </c>
      <c r="F7" s="109">
        <v>0.73055555555555551</v>
      </c>
      <c r="G7" s="28" t="s">
        <v>6145</v>
      </c>
      <c r="H7" s="124" t="s">
        <v>1904</v>
      </c>
      <c r="I7" s="28" t="s">
        <v>6140</v>
      </c>
      <c r="J7" s="28" t="s">
        <v>20</v>
      </c>
      <c r="K7" s="28" t="s">
        <v>20</v>
      </c>
      <c r="L7" s="28" t="s">
        <v>20</v>
      </c>
      <c r="M7" s="28" t="s">
        <v>20</v>
      </c>
      <c r="N7" s="28" t="s">
        <v>20</v>
      </c>
      <c r="O7" s="28" t="s">
        <v>20</v>
      </c>
      <c r="P7" s="28" t="s">
        <v>20</v>
      </c>
      <c r="Q7" s="28" t="s">
        <v>20</v>
      </c>
    </row>
    <row r="8" spans="2:17" ht="19.5" x14ac:dyDescent="0.25">
      <c r="B8" s="146">
        <v>6</v>
      </c>
      <c r="C8" s="122" t="s">
        <v>4827</v>
      </c>
      <c r="D8" s="28" t="s">
        <v>5717</v>
      </c>
      <c r="E8" s="108">
        <v>45454</v>
      </c>
      <c r="F8" s="109">
        <v>0.51388888888888884</v>
      </c>
      <c r="G8" s="28" t="s">
        <v>6146</v>
      </c>
      <c r="H8" s="124" t="s">
        <v>1904</v>
      </c>
      <c r="I8" s="28" t="s">
        <v>6140</v>
      </c>
      <c r="J8" s="28">
        <v>5000</v>
      </c>
      <c r="K8" s="28">
        <v>995000</v>
      </c>
      <c r="L8" s="28"/>
      <c r="M8" s="28" t="s">
        <v>20</v>
      </c>
      <c r="N8" s="28" t="s">
        <v>20</v>
      </c>
      <c r="O8" s="28" t="s">
        <v>20</v>
      </c>
      <c r="P8" s="28" t="s">
        <v>20</v>
      </c>
      <c r="Q8" s="28" t="s">
        <v>20</v>
      </c>
    </row>
    <row r="9" spans="2:17" ht="19.5" x14ac:dyDescent="0.25">
      <c r="B9" s="146">
        <v>7</v>
      </c>
      <c r="C9" s="122" t="s">
        <v>4827</v>
      </c>
      <c r="D9" s="28" t="s">
        <v>5717</v>
      </c>
      <c r="E9" s="108">
        <v>45456</v>
      </c>
      <c r="F9" s="109">
        <v>0.85069444444444442</v>
      </c>
      <c r="G9" s="28" t="s">
        <v>6147</v>
      </c>
      <c r="H9" s="124" t="s">
        <v>406</v>
      </c>
      <c r="I9" s="28" t="s">
        <v>6140</v>
      </c>
      <c r="J9" s="28" t="s">
        <v>20</v>
      </c>
      <c r="K9" s="28" t="s">
        <v>20</v>
      </c>
      <c r="L9" s="28" t="s">
        <v>20</v>
      </c>
      <c r="M9" s="28" t="s">
        <v>20</v>
      </c>
      <c r="N9" s="28" t="s">
        <v>20</v>
      </c>
      <c r="O9" s="28" t="s">
        <v>20</v>
      </c>
      <c r="P9" s="28" t="s">
        <v>20</v>
      </c>
      <c r="Q9" s="28" t="s">
        <v>20</v>
      </c>
    </row>
    <row r="10" spans="2:17" ht="19.5" x14ac:dyDescent="0.25">
      <c r="B10" s="146">
        <v>8</v>
      </c>
      <c r="C10" s="122" t="s">
        <v>4827</v>
      </c>
      <c r="D10" s="28" t="s">
        <v>5717</v>
      </c>
      <c r="E10" s="108">
        <v>45457</v>
      </c>
      <c r="F10" s="109">
        <v>0.87847222222222221</v>
      </c>
      <c r="G10" s="28" t="s">
        <v>6148</v>
      </c>
      <c r="H10" s="124" t="s">
        <v>406</v>
      </c>
      <c r="I10" s="28" t="s">
        <v>6149</v>
      </c>
      <c r="J10" s="28" t="s">
        <v>20</v>
      </c>
      <c r="K10" s="28" t="s">
        <v>20</v>
      </c>
      <c r="L10" s="28" t="s">
        <v>20</v>
      </c>
      <c r="M10" s="28" t="s">
        <v>20</v>
      </c>
      <c r="N10" s="28" t="s">
        <v>20</v>
      </c>
      <c r="O10" s="28" t="s">
        <v>20</v>
      </c>
      <c r="P10" s="28" t="s">
        <v>20</v>
      </c>
      <c r="Q10" s="28" t="s">
        <v>20</v>
      </c>
    </row>
    <row r="11" spans="2:17" ht="39" x14ac:dyDescent="0.25">
      <c r="B11" s="146">
        <v>9</v>
      </c>
      <c r="C11" s="122" t="s">
        <v>4827</v>
      </c>
      <c r="D11" s="28" t="s">
        <v>5717</v>
      </c>
      <c r="E11" s="108">
        <v>45458</v>
      </c>
      <c r="F11" s="109">
        <v>0.62291666666666667</v>
      </c>
      <c r="G11" s="28" t="s">
        <v>6150</v>
      </c>
      <c r="H11" s="124" t="s">
        <v>4970</v>
      </c>
      <c r="I11" s="28" t="s">
        <v>2186</v>
      </c>
      <c r="J11" s="28" t="s">
        <v>20</v>
      </c>
      <c r="K11" s="28" t="s">
        <v>20</v>
      </c>
      <c r="L11" s="28" t="s">
        <v>20</v>
      </c>
      <c r="M11" s="28" t="s">
        <v>20</v>
      </c>
      <c r="N11" s="28" t="s">
        <v>20</v>
      </c>
      <c r="O11" s="28" t="s">
        <v>20</v>
      </c>
      <c r="P11" s="28" t="s">
        <v>20</v>
      </c>
      <c r="Q11" s="28" t="s">
        <v>20</v>
      </c>
    </row>
    <row r="12" spans="2:17" ht="19.5" x14ac:dyDescent="0.25">
      <c r="B12" s="146">
        <v>10</v>
      </c>
      <c r="C12" s="122" t="s">
        <v>4827</v>
      </c>
      <c r="D12" s="28" t="s">
        <v>5717</v>
      </c>
      <c r="E12" s="108">
        <v>45459</v>
      </c>
      <c r="F12" s="109">
        <v>0.85486111111111107</v>
      </c>
      <c r="G12" s="28" t="s">
        <v>6151</v>
      </c>
      <c r="H12" s="124" t="s">
        <v>406</v>
      </c>
      <c r="I12" s="28" t="s">
        <v>6152</v>
      </c>
      <c r="J12" s="28" t="s">
        <v>20</v>
      </c>
      <c r="K12" s="28" t="s">
        <v>20</v>
      </c>
      <c r="L12" s="28" t="s">
        <v>20</v>
      </c>
      <c r="M12" s="28" t="s">
        <v>20</v>
      </c>
      <c r="N12" s="28" t="s">
        <v>20</v>
      </c>
      <c r="O12" s="28" t="s">
        <v>20</v>
      </c>
      <c r="P12" s="28" t="s">
        <v>20</v>
      </c>
      <c r="Q12" s="28" t="s">
        <v>20</v>
      </c>
    </row>
    <row r="13" spans="2:17" ht="19.5" x14ac:dyDescent="0.25">
      <c r="B13" s="146">
        <v>11</v>
      </c>
      <c r="C13" s="122" t="s">
        <v>4827</v>
      </c>
      <c r="D13" s="28" t="s">
        <v>5717</v>
      </c>
      <c r="E13" s="108">
        <v>45461</v>
      </c>
      <c r="F13" s="109">
        <v>0.5625</v>
      </c>
      <c r="G13" s="28" t="s">
        <v>6153</v>
      </c>
      <c r="H13" s="124" t="s">
        <v>406</v>
      </c>
      <c r="I13" s="28" t="s">
        <v>6140</v>
      </c>
      <c r="J13" s="28" t="s">
        <v>20</v>
      </c>
      <c r="K13" s="28" t="s">
        <v>20</v>
      </c>
      <c r="L13" s="28" t="s">
        <v>20</v>
      </c>
      <c r="M13" s="28" t="s">
        <v>20</v>
      </c>
      <c r="N13" s="28" t="s">
        <v>20</v>
      </c>
      <c r="O13" s="28" t="s">
        <v>20</v>
      </c>
      <c r="P13" s="28" t="s">
        <v>20</v>
      </c>
      <c r="Q13" s="28" t="s">
        <v>20</v>
      </c>
    </row>
    <row r="14" spans="2:17" ht="19.5" x14ac:dyDescent="0.25">
      <c r="B14" s="146">
        <v>12</v>
      </c>
      <c r="C14" s="122" t="s">
        <v>4827</v>
      </c>
      <c r="D14" s="28" t="s">
        <v>5717</v>
      </c>
      <c r="E14" s="108">
        <v>45453</v>
      </c>
      <c r="F14" s="109">
        <v>0.65625</v>
      </c>
      <c r="G14" s="28" t="s">
        <v>6154</v>
      </c>
      <c r="H14" s="124" t="s">
        <v>406</v>
      </c>
      <c r="I14" s="28" t="s">
        <v>2443</v>
      </c>
      <c r="J14" s="28" t="s">
        <v>20</v>
      </c>
      <c r="K14" s="28" t="s">
        <v>20</v>
      </c>
      <c r="L14" s="28" t="s">
        <v>20</v>
      </c>
      <c r="M14" s="28" t="s">
        <v>20</v>
      </c>
      <c r="N14" s="28" t="s">
        <v>20</v>
      </c>
      <c r="O14" s="28" t="s">
        <v>20</v>
      </c>
      <c r="P14" s="28" t="s">
        <v>20</v>
      </c>
      <c r="Q14" s="28" t="s">
        <v>20</v>
      </c>
    </row>
    <row r="15" spans="2:17" ht="19.5" x14ac:dyDescent="0.25">
      <c r="B15" s="146">
        <v>13</v>
      </c>
      <c r="C15" s="122" t="s">
        <v>4827</v>
      </c>
      <c r="D15" s="28" t="s">
        <v>5717</v>
      </c>
      <c r="E15" s="108">
        <v>45454</v>
      </c>
      <c r="F15" s="109">
        <v>0.46875</v>
      </c>
      <c r="G15" s="28" t="s">
        <v>6155</v>
      </c>
      <c r="H15" s="124" t="s">
        <v>406</v>
      </c>
      <c r="I15" s="28" t="s">
        <v>2443</v>
      </c>
      <c r="J15" s="28" t="s">
        <v>20</v>
      </c>
      <c r="K15" s="28" t="s">
        <v>20</v>
      </c>
      <c r="L15" s="28" t="s">
        <v>20</v>
      </c>
      <c r="M15" s="28" t="s">
        <v>20</v>
      </c>
      <c r="N15" s="28" t="s">
        <v>20</v>
      </c>
      <c r="O15" s="28" t="s">
        <v>20</v>
      </c>
      <c r="P15" s="28" t="s">
        <v>20</v>
      </c>
      <c r="Q15" s="28" t="s">
        <v>20</v>
      </c>
    </row>
    <row r="16" spans="2:17" ht="39" x14ac:dyDescent="0.25">
      <c r="B16" s="146">
        <v>14</v>
      </c>
      <c r="C16" s="122" t="s">
        <v>4827</v>
      </c>
      <c r="D16" s="28" t="s">
        <v>4967</v>
      </c>
      <c r="E16" s="108">
        <v>45446</v>
      </c>
      <c r="F16" s="109">
        <v>0.89375000000000004</v>
      </c>
      <c r="G16" s="260" t="s">
        <v>6156</v>
      </c>
      <c r="H16" s="124" t="s">
        <v>406</v>
      </c>
      <c r="I16" s="28" t="s">
        <v>6152</v>
      </c>
      <c r="J16" s="28">
        <v>5000</v>
      </c>
      <c r="K16" s="28">
        <v>500000</v>
      </c>
      <c r="L16" s="28" t="s">
        <v>20</v>
      </c>
      <c r="M16" s="28" t="s">
        <v>20</v>
      </c>
      <c r="N16" s="28" t="s">
        <v>20</v>
      </c>
      <c r="O16" s="28" t="s">
        <v>20</v>
      </c>
      <c r="P16" s="28" t="s">
        <v>20</v>
      </c>
      <c r="Q16" s="28" t="s">
        <v>20</v>
      </c>
    </row>
    <row r="17" spans="2:17" ht="39" x14ac:dyDescent="0.25">
      <c r="B17" s="146">
        <v>15</v>
      </c>
      <c r="C17" s="122" t="s">
        <v>4827</v>
      </c>
      <c r="D17" s="28" t="s">
        <v>4967</v>
      </c>
      <c r="E17" s="108">
        <v>45448</v>
      </c>
      <c r="F17" s="109">
        <v>0.34305555555555556</v>
      </c>
      <c r="G17" s="260" t="s">
        <v>6158</v>
      </c>
      <c r="H17" s="124" t="s">
        <v>4970</v>
      </c>
      <c r="I17" s="28" t="s">
        <v>6157</v>
      </c>
      <c r="J17" s="28">
        <v>50000</v>
      </c>
      <c r="K17" s="28">
        <v>350000</v>
      </c>
      <c r="L17" s="28" t="s">
        <v>20</v>
      </c>
      <c r="M17" s="28" t="s">
        <v>20</v>
      </c>
      <c r="N17" s="28" t="s">
        <v>20</v>
      </c>
      <c r="O17" s="28" t="s">
        <v>20</v>
      </c>
      <c r="P17" s="28" t="s">
        <v>20</v>
      </c>
      <c r="Q17" s="28" t="s">
        <v>20</v>
      </c>
    </row>
    <row r="18" spans="2:17" ht="39" x14ac:dyDescent="0.25">
      <c r="B18" s="146">
        <v>16</v>
      </c>
      <c r="C18" s="122" t="s">
        <v>4827</v>
      </c>
      <c r="D18" s="28" t="s">
        <v>4967</v>
      </c>
      <c r="E18" s="108">
        <v>45449</v>
      </c>
      <c r="F18" s="109">
        <v>2.0833333333333332E-2</v>
      </c>
      <c r="G18" s="28" t="s">
        <v>6159</v>
      </c>
      <c r="H18" s="124" t="s">
        <v>4970</v>
      </c>
      <c r="I18" s="28" t="s">
        <v>410</v>
      </c>
      <c r="J18" s="28">
        <v>100000</v>
      </c>
      <c r="K18" s="28">
        <v>600000</v>
      </c>
      <c r="L18" s="28"/>
      <c r="M18" s="28" t="s">
        <v>20</v>
      </c>
      <c r="N18" s="28" t="s">
        <v>20</v>
      </c>
      <c r="O18" s="28" t="s">
        <v>20</v>
      </c>
      <c r="P18" s="28" t="s">
        <v>20</v>
      </c>
      <c r="Q18" s="28" t="s">
        <v>20</v>
      </c>
    </row>
    <row r="19" spans="2:17" ht="39" x14ac:dyDescent="0.25">
      <c r="B19" s="146">
        <v>17</v>
      </c>
      <c r="C19" s="122" t="s">
        <v>4827</v>
      </c>
      <c r="D19" s="28" t="s">
        <v>4967</v>
      </c>
      <c r="E19" s="108">
        <v>45450</v>
      </c>
      <c r="F19" s="109">
        <v>0.55833333333333335</v>
      </c>
      <c r="G19" s="28" t="s">
        <v>6160</v>
      </c>
      <c r="H19" s="124" t="s">
        <v>406</v>
      </c>
      <c r="I19" s="28" t="s">
        <v>6140</v>
      </c>
      <c r="J19" s="28">
        <v>1000</v>
      </c>
      <c r="K19" s="28">
        <v>10000</v>
      </c>
      <c r="L19" s="28" t="s">
        <v>20</v>
      </c>
      <c r="M19" s="28" t="s">
        <v>20</v>
      </c>
      <c r="N19" s="28" t="s">
        <v>20</v>
      </c>
      <c r="O19" s="28" t="s">
        <v>20</v>
      </c>
      <c r="P19" s="28" t="s">
        <v>20</v>
      </c>
      <c r="Q19" s="28" t="s">
        <v>20</v>
      </c>
    </row>
    <row r="20" spans="2:17" ht="39" x14ac:dyDescent="0.25">
      <c r="B20" s="146">
        <v>18</v>
      </c>
      <c r="C20" s="122" t="s">
        <v>4827</v>
      </c>
      <c r="D20" s="28" t="s">
        <v>4967</v>
      </c>
      <c r="E20" s="108">
        <v>45452</v>
      </c>
      <c r="F20" s="109">
        <v>0.92847222222222225</v>
      </c>
      <c r="G20" s="28" t="s">
        <v>6161</v>
      </c>
      <c r="H20" s="124" t="s">
        <v>406</v>
      </c>
      <c r="I20" s="28" t="s">
        <v>487</v>
      </c>
      <c r="J20" s="28">
        <v>2000</v>
      </c>
      <c r="K20" s="28">
        <v>40000</v>
      </c>
      <c r="L20" s="28" t="s">
        <v>20</v>
      </c>
      <c r="M20" s="28" t="s">
        <v>20</v>
      </c>
      <c r="N20" s="28" t="s">
        <v>20</v>
      </c>
      <c r="O20" s="28" t="s">
        <v>20</v>
      </c>
      <c r="P20" s="28" t="s">
        <v>20</v>
      </c>
      <c r="Q20" s="28" t="s">
        <v>20</v>
      </c>
    </row>
    <row r="21" spans="2:17" ht="39" x14ac:dyDescent="0.25">
      <c r="B21" s="146">
        <v>19</v>
      </c>
      <c r="C21" s="122" t="s">
        <v>4827</v>
      </c>
      <c r="D21" s="28" t="s">
        <v>4967</v>
      </c>
      <c r="E21" s="108">
        <v>45453</v>
      </c>
      <c r="F21" s="109">
        <v>0.40972222222222221</v>
      </c>
      <c r="G21" s="28" t="s">
        <v>6162</v>
      </c>
      <c r="H21" s="124" t="s">
        <v>406</v>
      </c>
      <c r="I21" s="28" t="s">
        <v>6140</v>
      </c>
      <c r="J21" s="28">
        <v>4000</v>
      </c>
      <c r="K21" s="28">
        <v>50000</v>
      </c>
      <c r="L21" s="28" t="s">
        <v>20</v>
      </c>
      <c r="M21" s="28" t="s">
        <v>20</v>
      </c>
      <c r="N21" s="28" t="s">
        <v>20</v>
      </c>
      <c r="O21" s="28" t="s">
        <v>20</v>
      </c>
      <c r="P21" s="28" t="s">
        <v>20</v>
      </c>
      <c r="Q21" s="28" t="s">
        <v>20</v>
      </c>
    </row>
    <row r="22" spans="2:17" ht="39" x14ac:dyDescent="0.25">
      <c r="B22" s="146">
        <v>20</v>
      </c>
      <c r="C22" s="122" t="s">
        <v>4827</v>
      </c>
      <c r="D22" s="28" t="s">
        <v>4967</v>
      </c>
      <c r="E22" s="108">
        <v>45453</v>
      </c>
      <c r="F22" s="109">
        <v>0.47430555555555554</v>
      </c>
      <c r="G22" s="28" t="s">
        <v>6163</v>
      </c>
      <c r="H22" s="124" t="s">
        <v>406</v>
      </c>
      <c r="I22" s="28" t="s">
        <v>6164</v>
      </c>
      <c r="J22" s="28">
        <v>5000</v>
      </c>
      <c r="K22" s="28">
        <v>200000</v>
      </c>
      <c r="L22" s="28" t="s">
        <v>20</v>
      </c>
      <c r="M22" s="28" t="s">
        <v>20</v>
      </c>
      <c r="N22" s="28" t="s">
        <v>20</v>
      </c>
      <c r="O22" s="28" t="s">
        <v>20</v>
      </c>
      <c r="P22" s="28" t="s">
        <v>20</v>
      </c>
      <c r="Q22" s="28" t="s">
        <v>20</v>
      </c>
    </row>
    <row r="23" spans="2:17" ht="39" x14ac:dyDescent="0.25">
      <c r="B23" s="146">
        <v>21</v>
      </c>
      <c r="C23" s="122" t="s">
        <v>4827</v>
      </c>
      <c r="D23" s="28" t="s">
        <v>4967</v>
      </c>
      <c r="E23" s="108">
        <v>45453</v>
      </c>
      <c r="F23" s="109">
        <v>0.63194444444444442</v>
      </c>
      <c r="G23" s="28" t="s">
        <v>6165</v>
      </c>
      <c r="H23" s="124" t="s">
        <v>406</v>
      </c>
      <c r="I23" s="28" t="s">
        <v>6166</v>
      </c>
      <c r="J23" s="28">
        <v>500000</v>
      </c>
      <c r="K23" s="28">
        <v>4000000</v>
      </c>
      <c r="L23" s="28" t="s">
        <v>20</v>
      </c>
      <c r="M23" s="28" t="s">
        <v>20</v>
      </c>
      <c r="N23" s="28" t="s">
        <v>20</v>
      </c>
      <c r="O23" s="28" t="s">
        <v>20</v>
      </c>
      <c r="P23" s="28" t="s">
        <v>20</v>
      </c>
      <c r="Q23" s="28" t="s">
        <v>20</v>
      </c>
    </row>
    <row r="24" spans="2:17" ht="39" x14ac:dyDescent="0.25">
      <c r="B24" s="146">
        <v>22</v>
      </c>
      <c r="C24" s="122" t="s">
        <v>4827</v>
      </c>
      <c r="D24" s="28" t="s">
        <v>4967</v>
      </c>
      <c r="E24" s="108">
        <v>45453</v>
      </c>
      <c r="F24" s="109">
        <v>0.8979166666666667</v>
      </c>
      <c r="G24" s="28" t="s">
        <v>6167</v>
      </c>
      <c r="H24" s="124" t="s">
        <v>406</v>
      </c>
      <c r="I24" s="28" t="s">
        <v>1994</v>
      </c>
      <c r="J24" s="28">
        <v>1000</v>
      </c>
      <c r="K24" s="28">
        <v>50000</v>
      </c>
      <c r="L24" s="28" t="s">
        <v>20</v>
      </c>
      <c r="M24" s="28" t="s">
        <v>20</v>
      </c>
      <c r="N24" s="28" t="s">
        <v>20</v>
      </c>
      <c r="O24" s="28" t="s">
        <v>20</v>
      </c>
      <c r="P24" s="28" t="s">
        <v>20</v>
      </c>
      <c r="Q24" s="28" t="s">
        <v>20</v>
      </c>
    </row>
    <row r="25" spans="2:17" ht="39" x14ac:dyDescent="0.25">
      <c r="B25" s="146">
        <v>23</v>
      </c>
      <c r="C25" s="122" t="s">
        <v>4827</v>
      </c>
      <c r="D25" s="28" t="s">
        <v>4967</v>
      </c>
      <c r="E25" s="108">
        <v>45454</v>
      </c>
      <c r="F25" s="109">
        <v>1.4583333333333334E-2</v>
      </c>
      <c r="G25" s="28" t="s">
        <v>6168</v>
      </c>
      <c r="H25" s="124" t="s">
        <v>406</v>
      </c>
      <c r="I25" s="28" t="s">
        <v>6169</v>
      </c>
      <c r="J25" s="28">
        <v>10000</v>
      </c>
      <c r="K25" s="28">
        <v>4000000</v>
      </c>
      <c r="L25" s="28" t="s">
        <v>20</v>
      </c>
      <c r="M25" s="28" t="s">
        <v>20</v>
      </c>
      <c r="N25" s="28" t="s">
        <v>20</v>
      </c>
      <c r="O25" s="28" t="s">
        <v>20</v>
      </c>
      <c r="P25" s="28" t="s">
        <v>20</v>
      </c>
      <c r="Q25" s="28" t="s">
        <v>20</v>
      </c>
    </row>
    <row r="26" spans="2:17" ht="39" x14ac:dyDescent="0.25">
      <c r="B26" s="146">
        <v>24</v>
      </c>
      <c r="C26" s="122" t="s">
        <v>4827</v>
      </c>
      <c r="D26" s="28" t="s">
        <v>4967</v>
      </c>
      <c r="E26" s="108">
        <v>45454</v>
      </c>
      <c r="F26" s="109">
        <v>0.49027777777777776</v>
      </c>
      <c r="G26" s="28" t="s">
        <v>6167</v>
      </c>
      <c r="H26" s="124" t="s">
        <v>406</v>
      </c>
      <c r="I26" s="28" t="s">
        <v>1994</v>
      </c>
      <c r="J26" s="28">
        <v>20000</v>
      </c>
      <c r="K26" s="28">
        <v>80000</v>
      </c>
      <c r="L26" s="28" t="s">
        <v>20</v>
      </c>
      <c r="M26" s="28" t="s">
        <v>20</v>
      </c>
      <c r="N26" s="28" t="s">
        <v>20</v>
      </c>
      <c r="O26" s="28" t="s">
        <v>20</v>
      </c>
      <c r="P26" s="28" t="s">
        <v>20</v>
      </c>
      <c r="Q26" s="28" t="s">
        <v>20</v>
      </c>
    </row>
    <row r="27" spans="2:17" ht="39" x14ac:dyDescent="0.25">
      <c r="B27" s="146">
        <v>25</v>
      </c>
      <c r="C27" s="122" t="s">
        <v>4827</v>
      </c>
      <c r="D27" s="28" t="s">
        <v>4967</v>
      </c>
      <c r="E27" s="108">
        <v>45457</v>
      </c>
      <c r="F27" s="109">
        <v>0.31527777777777777</v>
      </c>
      <c r="G27" s="28" t="s">
        <v>6170</v>
      </c>
      <c r="H27" s="124" t="s">
        <v>406</v>
      </c>
      <c r="I27" s="28" t="s">
        <v>5048</v>
      </c>
      <c r="J27" s="28">
        <v>50000</v>
      </c>
      <c r="K27" s="28">
        <v>500000</v>
      </c>
      <c r="L27" s="28" t="s">
        <v>20</v>
      </c>
      <c r="M27" s="28" t="s">
        <v>20</v>
      </c>
      <c r="N27" s="28" t="s">
        <v>20</v>
      </c>
      <c r="O27" s="28" t="s">
        <v>20</v>
      </c>
      <c r="P27" s="28" t="s">
        <v>20</v>
      </c>
      <c r="Q27" s="28" t="s">
        <v>20</v>
      </c>
    </row>
    <row r="28" spans="2:17" ht="39" x14ac:dyDescent="0.25">
      <c r="B28" s="146">
        <v>26</v>
      </c>
      <c r="C28" s="122" t="s">
        <v>4827</v>
      </c>
      <c r="D28" s="28" t="s">
        <v>4967</v>
      </c>
      <c r="E28" s="108">
        <v>45458</v>
      </c>
      <c r="F28" s="109">
        <v>0.98541666666666672</v>
      </c>
      <c r="G28" s="28" t="s">
        <v>6171</v>
      </c>
      <c r="H28" s="124" t="s">
        <v>4970</v>
      </c>
      <c r="I28" s="28" t="s">
        <v>6172</v>
      </c>
      <c r="J28" s="28">
        <v>50000</v>
      </c>
      <c r="K28" s="28">
        <v>2500000</v>
      </c>
      <c r="L28" s="28"/>
      <c r="M28" s="28" t="s">
        <v>20</v>
      </c>
      <c r="N28" s="28" t="s">
        <v>20</v>
      </c>
      <c r="O28" s="28" t="s">
        <v>20</v>
      </c>
      <c r="P28" s="28" t="s">
        <v>20</v>
      </c>
      <c r="Q28" s="28" t="s">
        <v>20</v>
      </c>
    </row>
    <row r="29" spans="2:17" ht="39" x14ac:dyDescent="0.25">
      <c r="B29" s="146">
        <v>27</v>
      </c>
      <c r="C29" s="122" t="s">
        <v>4827</v>
      </c>
      <c r="D29" s="28" t="s">
        <v>4967</v>
      </c>
      <c r="E29" s="108">
        <v>45459</v>
      </c>
      <c r="F29" s="109">
        <v>0.65</v>
      </c>
      <c r="G29" s="28" t="s">
        <v>6167</v>
      </c>
      <c r="H29" s="124" t="s">
        <v>406</v>
      </c>
      <c r="I29" s="28" t="s">
        <v>6140</v>
      </c>
      <c r="J29" s="28">
        <v>2000</v>
      </c>
      <c r="K29" s="28">
        <v>100000</v>
      </c>
      <c r="L29" s="28" t="s">
        <v>20</v>
      </c>
      <c r="M29" s="28" t="s">
        <v>20</v>
      </c>
      <c r="N29" s="28" t="s">
        <v>20</v>
      </c>
      <c r="O29" s="28" t="s">
        <v>20</v>
      </c>
      <c r="P29" s="28" t="s">
        <v>20</v>
      </c>
      <c r="Q29" s="28" t="s">
        <v>20</v>
      </c>
    </row>
    <row r="30" spans="2:17" ht="39" x14ac:dyDescent="0.25">
      <c r="B30" s="146">
        <v>28</v>
      </c>
      <c r="C30" s="122" t="s">
        <v>4827</v>
      </c>
      <c r="D30" s="28" t="s">
        <v>4967</v>
      </c>
      <c r="E30" s="108">
        <v>45460</v>
      </c>
      <c r="F30" s="109">
        <v>0.93333333333333335</v>
      </c>
      <c r="G30" s="28" t="s">
        <v>6173</v>
      </c>
      <c r="H30" s="124" t="s">
        <v>406</v>
      </c>
      <c r="I30" s="28" t="s">
        <v>6174</v>
      </c>
      <c r="J30" s="28">
        <v>50000</v>
      </c>
      <c r="K30" s="28">
        <v>500000</v>
      </c>
      <c r="L30" s="28" t="s">
        <v>20</v>
      </c>
      <c r="M30" s="28" t="s">
        <v>20</v>
      </c>
      <c r="N30" s="28" t="s">
        <v>20</v>
      </c>
      <c r="O30" s="28" t="s">
        <v>20</v>
      </c>
      <c r="P30" s="28" t="s">
        <v>20</v>
      </c>
      <c r="Q30" s="28" t="s">
        <v>20</v>
      </c>
    </row>
    <row r="31" spans="2:17" ht="39" x14ac:dyDescent="0.25">
      <c r="B31" s="146">
        <v>29</v>
      </c>
      <c r="C31" s="122" t="s">
        <v>4827</v>
      </c>
      <c r="D31" s="28" t="s">
        <v>4967</v>
      </c>
      <c r="E31" s="108">
        <v>45461</v>
      </c>
      <c r="F31" s="109">
        <v>3.3333333333333333E-2</v>
      </c>
      <c r="G31" s="28" t="s">
        <v>6171</v>
      </c>
      <c r="H31" s="124" t="s">
        <v>4970</v>
      </c>
      <c r="I31" s="28" t="s">
        <v>6172</v>
      </c>
      <c r="J31" s="28">
        <v>1000</v>
      </c>
      <c r="K31" s="28">
        <v>200000</v>
      </c>
      <c r="L31" s="28" t="s">
        <v>20</v>
      </c>
      <c r="M31" s="28" t="s">
        <v>20</v>
      </c>
      <c r="N31" s="28" t="s">
        <v>20</v>
      </c>
      <c r="O31" s="28" t="s">
        <v>20</v>
      </c>
      <c r="P31" s="28" t="s">
        <v>20</v>
      </c>
      <c r="Q31" s="28" t="s">
        <v>20</v>
      </c>
    </row>
    <row r="32" spans="2:17" ht="39" x14ac:dyDescent="0.25">
      <c r="B32" s="146">
        <v>30</v>
      </c>
      <c r="C32" s="122" t="s">
        <v>4827</v>
      </c>
      <c r="D32" s="28" t="s">
        <v>4967</v>
      </c>
      <c r="E32" s="108">
        <v>45461</v>
      </c>
      <c r="F32" s="109">
        <v>0.33819444444444446</v>
      </c>
      <c r="G32" s="28" t="s">
        <v>6175</v>
      </c>
      <c r="H32" s="124" t="s">
        <v>406</v>
      </c>
      <c r="I32" s="28" t="s">
        <v>2047</v>
      </c>
      <c r="J32" s="28">
        <v>5431517</v>
      </c>
      <c r="K32" s="28">
        <v>29573483</v>
      </c>
      <c r="L32" s="28" t="s">
        <v>20</v>
      </c>
      <c r="M32" s="28" t="s">
        <v>20</v>
      </c>
      <c r="N32" s="28" t="s">
        <v>20</v>
      </c>
      <c r="O32" s="28" t="s">
        <v>20</v>
      </c>
      <c r="P32" s="28" t="s">
        <v>20</v>
      </c>
      <c r="Q32" s="28" t="s">
        <v>20</v>
      </c>
    </row>
    <row r="33" spans="2:17" ht="39" x14ac:dyDescent="0.25">
      <c r="B33" s="146">
        <v>31</v>
      </c>
      <c r="C33" s="122" t="s">
        <v>4827</v>
      </c>
      <c r="D33" s="28" t="s">
        <v>4967</v>
      </c>
      <c r="E33" s="108">
        <v>45462</v>
      </c>
      <c r="F33" s="109">
        <v>0.47430555555555554</v>
      </c>
      <c r="G33" s="28" t="s">
        <v>6167</v>
      </c>
      <c r="H33" s="124" t="s">
        <v>406</v>
      </c>
      <c r="I33" s="28" t="s">
        <v>1994</v>
      </c>
      <c r="J33" s="28">
        <v>2000</v>
      </c>
      <c r="K33" s="28">
        <v>400000</v>
      </c>
      <c r="L33" s="28" t="s">
        <v>20</v>
      </c>
      <c r="M33" s="28" t="s">
        <v>20</v>
      </c>
      <c r="N33" s="28" t="s">
        <v>20</v>
      </c>
      <c r="O33" s="28" t="s">
        <v>20</v>
      </c>
      <c r="P33" s="28" t="s">
        <v>20</v>
      </c>
      <c r="Q33" s="28" t="s">
        <v>20</v>
      </c>
    </row>
    <row r="34" spans="2:17" ht="39" x14ac:dyDescent="0.25">
      <c r="B34" s="146">
        <v>32</v>
      </c>
      <c r="C34" s="122" t="s">
        <v>4827</v>
      </c>
      <c r="D34" s="28" t="s">
        <v>4967</v>
      </c>
      <c r="E34" s="108">
        <v>45462</v>
      </c>
      <c r="F34" s="109">
        <v>0.51875000000000004</v>
      </c>
      <c r="G34" s="28" t="s">
        <v>6160</v>
      </c>
      <c r="H34" s="124" t="s">
        <v>406</v>
      </c>
      <c r="I34" s="28" t="s">
        <v>6140</v>
      </c>
      <c r="J34" s="28">
        <v>2000</v>
      </c>
      <c r="K34" s="28">
        <v>90000</v>
      </c>
      <c r="L34" s="28" t="s">
        <v>20</v>
      </c>
      <c r="M34" s="28" t="s">
        <v>20</v>
      </c>
      <c r="N34" s="28" t="s">
        <v>20</v>
      </c>
      <c r="O34" s="28" t="s">
        <v>20</v>
      </c>
      <c r="P34" s="28" t="s">
        <v>20</v>
      </c>
      <c r="Q34" s="28" t="s">
        <v>20</v>
      </c>
    </row>
    <row r="35" spans="2:17" ht="39" x14ac:dyDescent="0.25">
      <c r="B35" s="146">
        <v>33</v>
      </c>
      <c r="C35" s="122" t="s">
        <v>4827</v>
      </c>
      <c r="D35" s="28" t="s">
        <v>4967</v>
      </c>
      <c r="E35" s="108">
        <v>45462</v>
      </c>
      <c r="F35" s="109">
        <v>0.51875000000000004</v>
      </c>
      <c r="G35" s="28" t="s">
        <v>6160</v>
      </c>
      <c r="H35" s="124" t="s">
        <v>406</v>
      </c>
      <c r="I35" s="28" t="s">
        <v>6140</v>
      </c>
      <c r="J35" s="28">
        <v>5000</v>
      </c>
      <c r="K35" s="28">
        <v>50000</v>
      </c>
      <c r="L35" s="28" t="s">
        <v>20</v>
      </c>
      <c r="M35" s="28" t="s">
        <v>20</v>
      </c>
      <c r="N35" s="28" t="s">
        <v>20</v>
      </c>
      <c r="O35" s="28" t="s">
        <v>20</v>
      </c>
      <c r="P35" s="28" t="s">
        <v>20</v>
      </c>
      <c r="Q35" s="28" t="s">
        <v>20</v>
      </c>
    </row>
    <row r="36" spans="2:17" ht="39" x14ac:dyDescent="0.25">
      <c r="B36" s="146">
        <v>34</v>
      </c>
      <c r="C36" s="122" t="s">
        <v>4827</v>
      </c>
      <c r="D36" s="28" t="s">
        <v>4967</v>
      </c>
      <c r="E36" s="108">
        <v>45463</v>
      </c>
      <c r="F36" s="109">
        <v>0.98819444444444449</v>
      </c>
      <c r="G36" s="28" t="s">
        <v>6158</v>
      </c>
      <c r="H36" s="124" t="s">
        <v>4970</v>
      </c>
      <c r="I36" s="28" t="s">
        <v>2186</v>
      </c>
      <c r="J36" s="28">
        <v>10000</v>
      </c>
      <c r="K36" s="28">
        <v>20000</v>
      </c>
      <c r="L36" s="28" t="s">
        <v>20</v>
      </c>
      <c r="M36" s="28" t="s">
        <v>20</v>
      </c>
      <c r="N36" s="28" t="s">
        <v>20</v>
      </c>
      <c r="O36" s="28" t="s">
        <v>20</v>
      </c>
      <c r="P36" s="28" t="s">
        <v>20</v>
      </c>
      <c r="Q36" s="28" t="s">
        <v>20</v>
      </c>
    </row>
    <row r="37" spans="2:17" ht="39" x14ac:dyDescent="0.25">
      <c r="B37" s="146">
        <v>35</v>
      </c>
      <c r="C37" s="122" t="s">
        <v>4827</v>
      </c>
      <c r="D37" s="28" t="s">
        <v>4967</v>
      </c>
      <c r="E37" s="108">
        <v>45466</v>
      </c>
      <c r="F37" s="109">
        <v>0.45833333333333331</v>
      </c>
      <c r="G37" s="28" t="s">
        <v>6158</v>
      </c>
      <c r="H37" s="124" t="s">
        <v>4970</v>
      </c>
      <c r="I37" s="28" t="s">
        <v>2186</v>
      </c>
      <c r="J37" s="28">
        <v>15000</v>
      </c>
      <c r="K37" s="28">
        <v>250000</v>
      </c>
      <c r="L37" s="28" t="s">
        <v>20</v>
      </c>
      <c r="M37" s="28" t="s">
        <v>20</v>
      </c>
      <c r="N37" s="28" t="s">
        <v>20</v>
      </c>
      <c r="O37" s="28" t="s">
        <v>20</v>
      </c>
      <c r="P37" s="28" t="s">
        <v>20</v>
      </c>
      <c r="Q37" s="28" t="s">
        <v>20</v>
      </c>
    </row>
    <row r="38" spans="2:17" ht="19.5" x14ac:dyDescent="0.25">
      <c r="B38" s="146">
        <v>36</v>
      </c>
      <c r="C38" s="122" t="s">
        <v>4827</v>
      </c>
      <c r="D38" s="28" t="s">
        <v>4967</v>
      </c>
      <c r="E38" s="108">
        <v>45444</v>
      </c>
      <c r="F38" s="109">
        <v>0.73611111111111116</v>
      </c>
      <c r="G38" s="28" t="s">
        <v>6176</v>
      </c>
      <c r="H38" s="28" t="s">
        <v>20</v>
      </c>
      <c r="I38" s="28" t="s">
        <v>2448</v>
      </c>
      <c r="J38" s="28">
        <v>5000</v>
      </c>
      <c r="K38" s="28">
        <v>5000000</v>
      </c>
      <c r="L38" s="28"/>
      <c r="M38" s="28" t="s">
        <v>20</v>
      </c>
      <c r="N38" s="28" t="s">
        <v>20</v>
      </c>
      <c r="O38" s="28" t="s">
        <v>20</v>
      </c>
      <c r="P38" s="28" t="s">
        <v>20</v>
      </c>
      <c r="Q38" s="28" t="s">
        <v>20</v>
      </c>
    </row>
    <row r="39" spans="2:17" ht="19.5" x14ac:dyDescent="0.25">
      <c r="B39" s="146">
        <v>37</v>
      </c>
      <c r="C39" s="122" t="s">
        <v>4827</v>
      </c>
      <c r="D39" s="28" t="s">
        <v>4967</v>
      </c>
      <c r="E39" s="108">
        <v>45444</v>
      </c>
      <c r="F39" s="109">
        <v>0.85138888888888886</v>
      </c>
      <c r="G39" s="28" t="s">
        <v>6177</v>
      </c>
      <c r="H39" s="28" t="s">
        <v>20</v>
      </c>
      <c r="I39" s="28" t="s">
        <v>2448</v>
      </c>
      <c r="J39" s="28">
        <v>5000</v>
      </c>
      <c r="K39" s="28">
        <v>4000000</v>
      </c>
      <c r="L39" s="28" t="s">
        <v>20</v>
      </c>
      <c r="M39" s="28" t="s">
        <v>20</v>
      </c>
      <c r="N39" s="28" t="s">
        <v>20</v>
      </c>
      <c r="O39" s="28" t="s">
        <v>20</v>
      </c>
      <c r="P39" s="28" t="s">
        <v>20</v>
      </c>
      <c r="Q39" s="28" t="s">
        <v>20</v>
      </c>
    </row>
    <row r="40" spans="2:17" ht="19.5" x14ac:dyDescent="0.25">
      <c r="B40" s="146">
        <v>38</v>
      </c>
      <c r="C40" s="122" t="s">
        <v>4827</v>
      </c>
      <c r="D40" s="28" t="s">
        <v>4967</v>
      </c>
      <c r="E40" s="108">
        <v>45445</v>
      </c>
      <c r="F40" s="109">
        <v>0.78819444444444442</v>
      </c>
      <c r="G40" s="28" t="s">
        <v>6176</v>
      </c>
      <c r="H40" s="28" t="s">
        <v>20</v>
      </c>
      <c r="I40" s="28" t="s">
        <v>2448</v>
      </c>
      <c r="J40" s="28">
        <v>10000</v>
      </c>
      <c r="K40" s="28">
        <v>8090000</v>
      </c>
      <c r="L40" s="28" t="s">
        <v>20</v>
      </c>
      <c r="M40" s="28" t="s">
        <v>20</v>
      </c>
      <c r="N40" s="28" t="s">
        <v>20</v>
      </c>
      <c r="O40" s="28" t="s">
        <v>20</v>
      </c>
      <c r="P40" s="28" t="s">
        <v>20</v>
      </c>
      <c r="Q40" s="28" t="s">
        <v>20</v>
      </c>
    </row>
    <row r="41" spans="2:17" ht="19.5" x14ac:dyDescent="0.25">
      <c r="B41" s="146">
        <v>39</v>
      </c>
      <c r="C41" s="122" t="s">
        <v>4827</v>
      </c>
      <c r="D41" s="28" t="s">
        <v>4967</v>
      </c>
      <c r="E41" s="108">
        <v>45447</v>
      </c>
      <c r="F41" s="109">
        <v>0.53819444444444442</v>
      </c>
      <c r="G41" s="28" t="s">
        <v>6178</v>
      </c>
      <c r="H41" s="28" t="s">
        <v>20</v>
      </c>
      <c r="I41" s="28" t="s">
        <v>2448</v>
      </c>
      <c r="J41" s="28"/>
      <c r="K41" s="28"/>
      <c r="L41" s="28" t="s">
        <v>20</v>
      </c>
      <c r="M41" s="28" t="s">
        <v>20</v>
      </c>
      <c r="N41" s="28" t="s">
        <v>20</v>
      </c>
      <c r="O41" s="28" t="s">
        <v>20</v>
      </c>
      <c r="P41" s="28" t="s">
        <v>20</v>
      </c>
      <c r="Q41" s="28" t="s">
        <v>20</v>
      </c>
    </row>
    <row r="42" spans="2:17" ht="19.5" x14ac:dyDescent="0.25">
      <c r="B42" s="146">
        <v>40</v>
      </c>
      <c r="C42" s="122" t="s">
        <v>4827</v>
      </c>
      <c r="D42" s="28" t="s">
        <v>4967</v>
      </c>
      <c r="E42" s="108">
        <v>45456</v>
      </c>
      <c r="F42" s="109">
        <v>0.68958333333333333</v>
      </c>
      <c r="G42" s="28" t="s">
        <v>6179</v>
      </c>
      <c r="H42" s="28" t="s">
        <v>20</v>
      </c>
      <c r="I42" s="28" t="s">
        <v>2448</v>
      </c>
      <c r="J42" s="28">
        <v>90000</v>
      </c>
      <c r="K42" s="28">
        <v>4000000</v>
      </c>
      <c r="L42" s="28" t="s">
        <v>20</v>
      </c>
      <c r="M42" s="28" t="s">
        <v>20</v>
      </c>
      <c r="N42" s="28" t="s">
        <v>20</v>
      </c>
      <c r="O42" s="28" t="s">
        <v>20</v>
      </c>
      <c r="P42" s="28" t="s">
        <v>20</v>
      </c>
      <c r="Q42" s="28" t="s">
        <v>20</v>
      </c>
    </row>
    <row r="43" spans="2:17" ht="19.5" x14ac:dyDescent="0.25">
      <c r="B43" s="146">
        <v>41</v>
      </c>
      <c r="C43" s="122" t="s">
        <v>4827</v>
      </c>
      <c r="D43" s="28" t="s">
        <v>4967</v>
      </c>
      <c r="E43" s="108">
        <v>45459</v>
      </c>
      <c r="F43" s="109">
        <v>0.67083333333333328</v>
      </c>
      <c r="G43" s="260" t="s">
        <v>6181</v>
      </c>
      <c r="H43" s="28" t="s">
        <v>20</v>
      </c>
      <c r="I43" s="28" t="s">
        <v>2448</v>
      </c>
      <c r="J43" s="28">
        <v>50000</v>
      </c>
      <c r="K43" s="28">
        <v>5000000</v>
      </c>
      <c r="L43" s="28" t="s">
        <v>20</v>
      </c>
      <c r="M43" s="28" t="s">
        <v>20</v>
      </c>
      <c r="N43" s="28" t="s">
        <v>20</v>
      </c>
      <c r="O43" s="28" t="s">
        <v>20</v>
      </c>
      <c r="P43" s="28" t="s">
        <v>20</v>
      </c>
      <c r="Q43" s="28" t="s">
        <v>20</v>
      </c>
    </row>
    <row r="44" spans="2:17" ht="19.5" x14ac:dyDescent="0.25">
      <c r="B44" s="146">
        <v>42</v>
      </c>
      <c r="C44" s="122" t="s">
        <v>4827</v>
      </c>
      <c r="D44" s="28" t="s">
        <v>4967</v>
      </c>
      <c r="E44" s="108">
        <v>45461</v>
      </c>
      <c r="F44" s="109">
        <v>0.67361111111111116</v>
      </c>
      <c r="G44" s="28" t="s">
        <v>6177</v>
      </c>
      <c r="H44" s="28" t="s">
        <v>20</v>
      </c>
      <c r="I44" s="28" t="s">
        <v>2448</v>
      </c>
      <c r="J44" s="28">
        <v>60000</v>
      </c>
      <c r="K44" s="28">
        <v>5000000</v>
      </c>
      <c r="L44" s="28" t="s">
        <v>20</v>
      </c>
      <c r="M44" s="28" t="s">
        <v>20</v>
      </c>
      <c r="N44" s="28" t="s">
        <v>20</v>
      </c>
      <c r="O44" s="28" t="s">
        <v>20</v>
      </c>
      <c r="P44" s="28" t="s">
        <v>20</v>
      </c>
      <c r="Q44" s="28" t="s">
        <v>20</v>
      </c>
    </row>
    <row r="45" spans="2:17" ht="19.5" x14ac:dyDescent="0.25">
      <c r="B45" s="146">
        <v>43</v>
      </c>
      <c r="C45" s="122" t="s">
        <v>4827</v>
      </c>
      <c r="D45" s="28" t="s">
        <v>4967</v>
      </c>
      <c r="E45" s="108">
        <v>45462</v>
      </c>
      <c r="F45" s="109">
        <v>0.58194444444444449</v>
      </c>
      <c r="G45" s="28" t="s">
        <v>6180</v>
      </c>
      <c r="H45" s="28" t="s">
        <v>20</v>
      </c>
      <c r="I45" s="28" t="s">
        <v>2448</v>
      </c>
      <c r="J45" s="28">
        <v>50000</v>
      </c>
      <c r="K45" s="28">
        <v>2500000</v>
      </c>
      <c r="L45" s="28" t="s">
        <v>20</v>
      </c>
      <c r="M45" s="28" t="s">
        <v>20</v>
      </c>
      <c r="N45" s="28" t="s">
        <v>20</v>
      </c>
      <c r="O45" s="28" t="s">
        <v>20</v>
      </c>
      <c r="P45" s="28" t="s">
        <v>20</v>
      </c>
      <c r="Q45" s="28" t="s">
        <v>20</v>
      </c>
    </row>
    <row r="46" spans="2:17" ht="19.5" x14ac:dyDescent="0.25">
      <c r="B46" s="146">
        <v>44</v>
      </c>
      <c r="C46" s="122" t="s">
        <v>4827</v>
      </c>
      <c r="D46" s="28" t="s">
        <v>4967</v>
      </c>
      <c r="E46" s="108">
        <v>45462</v>
      </c>
      <c r="F46" s="109">
        <v>0.60902777777777772</v>
      </c>
      <c r="G46" s="28" t="s">
        <v>6180</v>
      </c>
      <c r="H46" s="28" t="s">
        <v>20</v>
      </c>
      <c r="I46" s="28" t="s">
        <v>2448</v>
      </c>
      <c r="J46" s="28">
        <v>50000</v>
      </c>
      <c r="K46" s="28">
        <v>2500000</v>
      </c>
      <c r="L46" s="28" t="s">
        <v>20</v>
      </c>
      <c r="M46" s="28" t="s">
        <v>20</v>
      </c>
      <c r="N46" s="28" t="s">
        <v>20</v>
      </c>
      <c r="O46" s="28" t="s">
        <v>20</v>
      </c>
      <c r="P46" s="28" t="s">
        <v>20</v>
      </c>
      <c r="Q46" s="28" t="s">
        <v>20</v>
      </c>
    </row>
    <row r="47" spans="2:17" ht="58.5" x14ac:dyDescent="0.25">
      <c r="B47" s="146">
        <v>45</v>
      </c>
      <c r="C47" s="122" t="s">
        <v>4827</v>
      </c>
      <c r="D47" s="122" t="s">
        <v>6182</v>
      </c>
      <c r="E47" s="108">
        <v>45465</v>
      </c>
      <c r="F47" s="109">
        <v>0.37916666666666665</v>
      </c>
      <c r="G47" s="28" t="s">
        <v>6184</v>
      </c>
      <c r="H47" s="124" t="s">
        <v>4970</v>
      </c>
      <c r="I47" s="28" t="s">
        <v>2047</v>
      </c>
      <c r="J47" s="28" t="s">
        <v>20</v>
      </c>
      <c r="K47" s="28" t="s">
        <v>20</v>
      </c>
      <c r="L47" s="28" t="s">
        <v>20</v>
      </c>
      <c r="M47" s="28" t="s">
        <v>20</v>
      </c>
      <c r="N47" s="28" t="s">
        <v>20</v>
      </c>
      <c r="O47" s="28" t="s">
        <v>20</v>
      </c>
      <c r="P47" s="28" t="s">
        <v>20</v>
      </c>
      <c r="Q47" s="28" t="s">
        <v>20</v>
      </c>
    </row>
    <row r="48" spans="2:17" ht="39" x14ac:dyDescent="0.25">
      <c r="B48" s="146">
        <v>46</v>
      </c>
      <c r="C48" s="122" t="s">
        <v>4827</v>
      </c>
      <c r="D48" s="122" t="s">
        <v>6182</v>
      </c>
      <c r="E48" s="108">
        <v>45444</v>
      </c>
      <c r="F48" s="109">
        <v>0.35694444444444445</v>
      </c>
      <c r="G48" s="28" t="s">
        <v>6185</v>
      </c>
      <c r="H48" s="124" t="s">
        <v>5386</v>
      </c>
      <c r="I48" s="28" t="s">
        <v>2448</v>
      </c>
      <c r="J48" s="28" t="s">
        <v>20</v>
      </c>
      <c r="K48" s="28" t="s">
        <v>20</v>
      </c>
      <c r="L48" s="28"/>
      <c r="M48" s="28" t="s">
        <v>20</v>
      </c>
      <c r="N48" s="28" t="s">
        <v>20</v>
      </c>
      <c r="O48" s="28" t="s">
        <v>20</v>
      </c>
      <c r="P48" s="28" t="s">
        <v>20</v>
      </c>
      <c r="Q48" s="28" t="s">
        <v>20</v>
      </c>
    </row>
    <row r="49" spans="2:17" ht="39" x14ac:dyDescent="0.25">
      <c r="B49" s="146">
        <v>47</v>
      </c>
      <c r="C49" s="122" t="s">
        <v>4827</v>
      </c>
      <c r="D49" s="122" t="s">
        <v>6182</v>
      </c>
      <c r="E49" s="108">
        <v>45445</v>
      </c>
      <c r="F49" s="109">
        <v>0.37569444444444444</v>
      </c>
      <c r="G49" s="28" t="s">
        <v>6186</v>
      </c>
      <c r="H49" s="124" t="s">
        <v>4970</v>
      </c>
      <c r="I49" s="28" t="s">
        <v>2448</v>
      </c>
      <c r="J49" s="28" t="s">
        <v>20</v>
      </c>
      <c r="K49" s="28" t="s">
        <v>20</v>
      </c>
      <c r="L49" s="28" t="s">
        <v>20</v>
      </c>
      <c r="M49" s="28" t="s">
        <v>20</v>
      </c>
      <c r="N49" s="28" t="s">
        <v>20</v>
      </c>
      <c r="O49" s="28" t="s">
        <v>20</v>
      </c>
      <c r="P49" s="28" t="s">
        <v>20</v>
      </c>
      <c r="Q49" s="28" t="s">
        <v>20</v>
      </c>
    </row>
    <row r="50" spans="2:17" ht="39" x14ac:dyDescent="0.25">
      <c r="B50" s="146">
        <v>48</v>
      </c>
      <c r="C50" s="122" t="s">
        <v>4827</v>
      </c>
      <c r="D50" s="122" t="s">
        <v>6182</v>
      </c>
      <c r="E50" s="108">
        <v>45446</v>
      </c>
      <c r="F50" s="109">
        <v>0.80763888888888891</v>
      </c>
      <c r="G50" s="28" t="s">
        <v>6187</v>
      </c>
      <c r="H50" s="124" t="s">
        <v>406</v>
      </c>
      <c r="I50" s="28" t="s">
        <v>2448</v>
      </c>
      <c r="J50" s="28" t="s">
        <v>20</v>
      </c>
      <c r="K50" s="28" t="s">
        <v>20</v>
      </c>
      <c r="L50" s="28" t="s">
        <v>20</v>
      </c>
      <c r="M50" s="28" t="s">
        <v>20</v>
      </c>
      <c r="N50" s="28" t="s">
        <v>20</v>
      </c>
      <c r="O50" s="28" t="s">
        <v>20</v>
      </c>
      <c r="P50" s="28" t="s">
        <v>20</v>
      </c>
      <c r="Q50" s="28" t="s">
        <v>20</v>
      </c>
    </row>
    <row r="51" spans="2:17" ht="39" x14ac:dyDescent="0.25">
      <c r="B51" s="146">
        <v>49</v>
      </c>
      <c r="C51" s="122" t="s">
        <v>4827</v>
      </c>
      <c r="D51" s="122" t="s">
        <v>6182</v>
      </c>
      <c r="E51" s="108">
        <v>45446</v>
      </c>
      <c r="F51" s="109">
        <v>0.90347222222222223</v>
      </c>
      <c r="G51" s="28" t="s">
        <v>6188</v>
      </c>
      <c r="H51" s="124" t="s">
        <v>406</v>
      </c>
      <c r="I51" s="28" t="s">
        <v>2448</v>
      </c>
      <c r="J51" s="28" t="s">
        <v>20</v>
      </c>
      <c r="K51" s="28" t="s">
        <v>20</v>
      </c>
      <c r="L51" s="28" t="s">
        <v>20</v>
      </c>
      <c r="M51" s="28" t="s">
        <v>20</v>
      </c>
      <c r="N51" s="28" t="s">
        <v>20</v>
      </c>
      <c r="O51" s="28" t="s">
        <v>20</v>
      </c>
      <c r="P51" s="28" t="s">
        <v>20</v>
      </c>
      <c r="Q51" s="28" t="s">
        <v>20</v>
      </c>
    </row>
    <row r="52" spans="2:17" ht="39" x14ac:dyDescent="0.25">
      <c r="B52" s="146">
        <v>50</v>
      </c>
      <c r="C52" s="122" t="s">
        <v>4827</v>
      </c>
      <c r="D52" s="122" t="s">
        <v>6182</v>
      </c>
      <c r="E52" s="108">
        <v>45449</v>
      </c>
      <c r="F52" s="109">
        <v>0.86527777777777781</v>
      </c>
      <c r="G52" s="28" t="s">
        <v>6189</v>
      </c>
      <c r="H52" s="124" t="s">
        <v>406</v>
      </c>
      <c r="I52" s="28" t="s">
        <v>2448</v>
      </c>
      <c r="J52" s="28" t="s">
        <v>20</v>
      </c>
      <c r="K52" s="28" t="s">
        <v>20</v>
      </c>
      <c r="L52" s="28" t="s">
        <v>20</v>
      </c>
      <c r="M52" s="28" t="s">
        <v>20</v>
      </c>
      <c r="N52" s="28" t="s">
        <v>20</v>
      </c>
      <c r="O52" s="28" t="s">
        <v>20</v>
      </c>
      <c r="P52" s="28" t="s">
        <v>20</v>
      </c>
      <c r="Q52" s="28" t="s">
        <v>20</v>
      </c>
    </row>
    <row r="53" spans="2:17" ht="39" x14ac:dyDescent="0.25">
      <c r="B53" s="146">
        <v>51</v>
      </c>
      <c r="C53" s="122" t="s">
        <v>4827</v>
      </c>
      <c r="D53" s="122" t="s">
        <v>6182</v>
      </c>
      <c r="E53" s="108">
        <v>45452</v>
      </c>
      <c r="F53" s="109">
        <v>0.44236111111111109</v>
      </c>
      <c r="G53" s="28" t="s">
        <v>6190</v>
      </c>
      <c r="H53" s="124" t="s">
        <v>406</v>
      </c>
      <c r="I53" s="28" t="s">
        <v>2448</v>
      </c>
      <c r="J53" s="28">
        <v>1000</v>
      </c>
      <c r="K53" s="28">
        <v>14000</v>
      </c>
      <c r="L53" s="28" t="s">
        <v>20</v>
      </c>
      <c r="M53" s="28" t="s">
        <v>20</v>
      </c>
      <c r="N53" s="28" t="s">
        <v>20</v>
      </c>
      <c r="O53" s="28" t="s">
        <v>20</v>
      </c>
      <c r="P53" s="28" t="s">
        <v>20</v>
      </c>
      <c r="Q53" s="28" t="s">
        <v>20</v>
      </c>
    </row>
    <row r="54" spans="2:17" ht="39" x14ac:dyDescent="0.25">
      <c r="B54" s="146">
        <v>52</v>
      </c>
      <c r="C54" s="122" t="s">
        <v>4827</v>
      </c>
      <c r="D54" s="122" t="s">
        <v>6182</v>
      </c>
      <c r="E54" s="108">
        <v>45454</v>
      </c>
      <c r="F54" s="109">
        <v>0.48125000000000001</v>
      </c>
      <c r="G54" s="28" t="s">
        <v>6191</v>
      </c>
      <c r="H54" s="124" t="s">
        <v>406</v>
      </c>
      <c r="I54" s="28" t="s">
        <v>2448</v>
      </c>
      <c r="J54" s="28">
        <v>800000</v>
      </c>
      <c r="K54" s="28">
        <v>3400000</v>
      </c>
      <c r="L54" s="28" t="s">
        <v>20</v>
      </c>
      <c r="M54" s="28" t="s">
        <v>20</v>
      </c>
      <c r="N54" s="28" t="s">
        <v>20</v>
      </c>
      <c r="O54" s="28" t="s">
        <v>20</v>
      </c>
      <c r="P54" s="28" t="s">
        <v>20</v>
      </c>
      <c r="Q54" s="28" t="s">
        <v>20</v>
      </c>
    </row>
    <row r="55" spans="2:17" ht="39" x14ac:dyDescent="0.25">
      <c r="B55" s="146">
        <v>53</v>
      </c>
      <c r="C55" s="122" t="s">
        <v>4827</v>
      </c>
      <c r="D55" s="122" t="s">
        <v>6182</v>
      </c>
      <c r="E55" s="108">
        <v>45454</v>
      </c>
      <c r="F55" s="109">
        <v>0.81388888888888888</v>
      </c>
      <c r="G55" s="28" t="s">
        <v>6192</v>
      </c>
      <c r="H55" s="124" t="s">
        <v>406</v>
      </c>
      <c r="I55" s="28" t="s">
        <v>2448</v>
      </c>
      <c r="J55" s="28" t="s">
        <v>20</v>
      </c>
      <c r="K55" s="28" t="s">
        <v>20</v>
      </c>
      <c r="L55" s="28" t="s">
        <v>20</v>
      </c>
      <c r="M55" s="28" t="s">
        <v>20</v>
      </c>
      <c r="N55" s="28" t="s">
        <v>20</v>
      </c>
      <c r="O55" s="28" t="s">
        <v>20</v>
      </c>
      <c r="P55" s="28" t="s">
        <v>20</v>
      </c>
      <c r="Q55" s="28" t="s">
        <v>20</v>
      </c>
    </row>
    <row r="56" spans="2:17" ht="39" x14ac:dyDescent="0.25">
      <c r="B56" s="146">
        <v>54</v>
      </c>
      <c r="C56" s="122" t="s">
        <v>4827</v>
      </c>
      <c r="D56" s="122" t="s">
        <v>6182</v>
      </c>
      <c r="E56" s="108">
        <v>45455</v>
      </c>
      <c r="F56" s="109">
        <v>0.26805555555555555</v>
      </c>
      <c r="G56" s="28" t="s">
        <v>6193</v>
      </c>
      <c r="H56" s="124" t="s">
        <v>406</v>
      </c>
      <c r="I56" s="28" t="s">
        <v>2448</v>
      </c>
      <c r="J56" s="28">
        <v>2000</v>
      </c>
      <c r="K56" s="28">
        <v>498000</v>
      </c>
      <c r="L56" s="28" t="s">
        <v>20</v>
      </c>
      <c r="M56" s="28" t="s">
        <v>20</v>
      </c>
      <c r="N56" s="28" t="s">
        <v>20</v>
      </c>
      <c r="O56" s="28" t="s">
        <v>20</v>
      </c>
      <c r="P56" s="28" t="s">
        <v>20</v>
      </c>
      <c r="Q56" s="28" t="s">
        <v>20</v>
      </c>
    </row>
    <row r="57" spans="2:17" ht="39" x14ac:dyDescent="0.25">
      <c r="B57" s="146">
        <v>55</v>
      </c>
      <c r="C57" s="122" t="s">
        <v>4827</v>
      </c>
      <c r="D57" s="122" t="s">
        <v>6182</v>
      </c>
      <c r="E57" s="108">
        <v>45455</v>
      </c>
      <c r="F57" s="109">
        <v>0.39930555555555558</v>
      </c>
      <c r="G57" s="28" t="s">
        <v>6194</v>
      </c>
      <c r="H57" s="124" t="s">
        <v>406</v>
      </c>
      <c r="I57" s="28" t="s">
        <v>2448</v>
      </c>
      <c r="J57" s="28">
        <v>3000</v>
      </c>
      <c r="K57" s="28">
        <v>597000</v>
      </c>
      <c r="L57" s="28" t="s">
        <v>20</v>
      </c>
      <c r="M57" s="28" t="s">
        <v>20</v>
      </c>
      <c r="N57" s="28" t="s">
        <v>20</v>
      </c>
      <c r="O57" s="28" t="s">
        <v>20</v>
      </c>
      <c r="P57" s="28" t="s">
        <v>20</v>
      </c>
      <c r="Q57" s="28" t="s">
        <v>20</v>
      </c>
    </row>
    <row r="58" spans="2:17" ht="39" x14ac:dyDescent="0.25">
      <c r="B58" s="146">
        <v>56</v>
      </c>
      <c r="C58" s="122" t="s">
        <v>4827</v>
      </c>
      <c r="D58" s="122" t="s">
        <v>6182</v>
      </c>
      <c r="E58" s="108">
        <v>45455</v>
      </c>
      <c r="F58" s="109">
        <v>0.68541666666666667</v>
      </c>
      <c r="G58" s="28" t="s">
        <v>6193</v>
      </c>
      <c r="H58" s="124" t="s">
        <v>406</v>
      </c>
      <c r="I58" s="28" t="s">
        <v>2448</v>
      </c>
      <c r="J58" s="28" t="s">
        <v>20</v>
      </c>
      <c r="K58" s="28" t="s">
        <v>20</v>
      </c>
      <c r="L58" s="28"/>
      <c r="M58" s="28" t="s">
        <v>20</v>
      </c>
      <c r="N58" s="28" t="s">
        <v>20</v>
      </c>
      <c r="O58" s="28" t="s">
        <v>20</v>
      </c>
      <c r="P58" s="28" t="s">
        <v>20</v>
      </c>
      <c r="Q58" s="28" t="s">
        <v>20</v>
      </c>
    </row>
    <row r="59" spans="2:17" ht="39" x14ac:dyDescent="0.25">
      <c r="B59" s="146">
        <v>57</v>
      </c>
      <c r="C59" s="122" t="s">
        <v>4827</v>
      </c>
      <c r="D59" s="122" t="s">
        <v>6182</v>
      </c>
      <c r="E59" s="108">
        <v>45455</v>
      </c>
      <c r="F59" s="109">
        <v>0.83680555555555558</v>
      </c>
      <c r="G59" s="28" t="s">
        <v>6193</v>
      </c>
      <c r="H59" s="124" t="s">
        <v>406</v>
      </c>
      <c r="I59" s="28" t="s">
        <v>2448</v>
      </c>
      <c r="J59" s="28" t="s">
        <v>20</v>
      </c>
      <c r="K59" s="28" t="s">
        <v>20</v>
      </c>
      <c r="L59" s="28" t="s">
        <v>20</v>
      </c>
      <c r="M59" s="28" t="s">
        <v>20</v>
      </c>
      <c r="N59" s="28" t="s">
        <v>20</v>
      </c>
      <c r="O59" s="28" t="s">
        <v>20</v>
      </c>
      <c r="P59" s="28" t="s">
        <v>20</v>
      </c>
      <c r="Q59" s="28" t="s">
        <v>20</v>
      </c>
    </row>
    <row r="60" spans="2:17" ht="39" x14ac:dyDescent="0.25">
      <c r="B60" s="146">
        <v>58</v>
      </c>
      <c r="C60" s="122" t="s">
        <v>4827</v>
      </c>
      <c r="D60" s="122" t="s">
        <v>6182</v>
      </c>
      <c r="E60" s="108">
        <v>45455</v>
      </c>
      <c r="F60" s="109">
        <v>0.87569444444444444</v>
      </c>
      <c r="G60" s="28" t="s">
        <v>6195</v>
      </c>
      <c r="H60" s="124" t="s">
        <v>5386</v>
      </c>
      <c r="I60" s="28" t="s">
        <v>2448</v>
      </c>
      <c r="J60" s="28">
        <v>1500</v>
      </c>
      <c r="K60" s="28">
        <v>48500</v>
      </c>
      <c r="L60" s="28" t="s">
        <v>20</v>
      </c>
      <c r="M60" s="28" t="s">
        <v>20</v>
      </c>
      <c r="N60" s="28" t="s">
        <v>20</v>
      </c>
      <c r="O60" s="28" t="s">
        <v>20</v>
      </c>
      <c r="P60" s="28" t="s">
        <v>20</v>
      </c>
      <c r="Q60" s="28" t="s">
        <v>20</v>
      </c>
    </row>
    <row r="61" spans="2:17" ht="39" x14ac:dyDescent="0.25">
      <c r="B61" s="146">
        <v>59</v>
      </c>
      <c r="C61" s="122" t="s">
        <v>4827</v>
      </c>
      <c r="D61" s="122" t="s">
        <v>6182</v>
      </c>
      <c r="E61" s="108">
        <v>45457</v>
      </c>
      <c r="F61" s="109">
        <v>0.5854166666666667</v>
      </c>
      <c r="G61" s="28" t="s">
        <v>6196</v>
      </c>
      <c r="H61" s="124" t="s">
        <v>406</v>
      </c>
      <c r="I61" s="28" t="s">
        <v>2448</v>
      </c>
      <c r="J61" s="28" t="s">
        <v>20</v>
      </c>
      <c r="K61" s="28" t="s">
        <v>20</v>
      </c>
      <c r="L61" s="28" t="s">
        <v>20</v>
      </c>
      <c r="M61" s="28" t="s">
        <v>20</v>
      </c>
      <c r="N61" s="28" t="s">
        <v>20</v>
      </c>
      <c r="O61" s="28" t="s">
        <v>20</v>
      </c>
      <c r="P61" s="28" t="s">
        <v>20</v>
      </c>
      <c r="Q61" s="28" t="s">
        <v>20</v>
      </c>
    </row>
    <row r="62" spans="2:17" ht="39" x14ac:dyDescent="0.25">
      <c r="B62" s="146">
        <v>60</v>
      </c>
      <c r="C62" s="122" t="s">
        <v>4827</v>
      </c>
      <c r="D62" s="122" t="s">
        <v>6182</v>
      </c>
      <c r="E62" s="108">
        <v>45460</v>
      </c>
      <c r="F62" s="109">
        <v>0.69930555555555551</v>
      </c>
      <c r="G62" s="28" t="s">
        <v>6197</v>
      </c>
      <c r="H62" s="124" t="s">
        <v>5386</v>
      </c>
      <c r="I62" s="28" t="s">
        <v>2448</v>
      </c>
      <c r="J62" s="28"/>
      <c r="K62" s="28" t="s">
        <v>20</v>
      </c>
      <c r="L62" s="28" t="s">
        <v>20</v>
      </c>
      <c r="M62" s="28" t="s">
        <v>20</v>
      </c>
      <c r="N62" s="28" t="s">
        <v>20</v>
      </c>
      <c r="O62" s="28" t="s">
        <v>20</v>
      </c>
      <c r="P62" s="28" t="s">
        <v>20</v>
      </c>
      <c r="Q62" s="28" t="s">
        <v>20</v>
      </c>
    </row>
    <row r="63" spans="2:17" ht="39" x14ac:dyDescent="0.25">
      <c r="B63" s="146">
        <v>61</v>
      </c>
      <c r="C63" s="122" t="s">
        <v>4827</v>
      </c>
      <c r="D63" s="122" t="s">
        <v>6182</v>
      </c>
      <c r="E63" s="108">
        <v>45460</v>
      </c>
      <c r="F63" s="109">
        <v>0.94861111111111107</v>
      </c>
      <c r="G63" s="28" t="s">
        <v>6198</v>
      </c>
      <c r="H63" s="124" t="s">
        <v>406</v>
      </c>
      <c r="I63" s="28" t="s">
        <v>2448</v>
      </c>
      <c r="J63" s="28" t="s">
        <v>20</v>
      </c>
      <c r="K63" s="28" t="s">
        <v>20</v>
      </c>
      <c r="L63" s="28" t="s">
        <v>20</v>
      </c>
      <c r="M63" s="28" t="s">
        <v>20</v>
      </c>
      <c r="N63" s="28" t="s">
        <v>20</v>
      </c>
      <c r="O63" s="28" t="s">
        <v>20</v>
      </c>
      <c r="P63" s="28" t="s">
        <v>20</v>
      </c>
      <c r="Q63" s="28" t="s">
        <v>20</v>
      </c>
    </row>
    <row r="64" spans="2:17" ht="39" x14ac:dyDescent="0.25">
      <c r="B64" s="146">
        <v>62</v>
      </c>
      <c r="C64" s="122"/>
      <c r="D64" s="122" t="s">
        <v>6182</v>
      </c>
      <c r="E64" s="108">
        <v>45462</v>
      </c>
      <c r="F64" s="109">
        <v>0.47361111111111109</v>
      </c>
      <c r="G64" s="28" t="s">
        <v>6199</v>
      </c>
      <c r="H64" s="124" t="s">
        <v>5386</v>
      </c>
      <c r="I64" s="28" t="s">
        <v>2448</v>
      </c>
      <c r="J64" s="28" t="s">
        <v>20</v>
      </c>
      <c r="K64" s="28" t="s">
        <v>20</v>
      </c>
      <c r="L64" s="28" t="s">
        <v>20</v>
      </c>
      <c r="M64" s="28" t="s">
        <v>20</v>
      </c>
      <c r="N64" s="28" t="s">
        <v>20</v>
      </c>
      <c r="O64" s="28" t="s">
        <v>20</v>
      </c>
      <c r="P64" s="28" t="s">
        <v>20</v>
      </c>
      <c r="Q64" s="28" t="s">
        <v>20</v>
      </c>
    </row>
    <row r="65" spans="2:17" ht="39" x14ac:dyDescent="0.25">
      <c r="B65" s="146">
        <v>63</v>
      </c>
      <c r="C65" s="122" t="s">
        <v>4827</v>
      </c>
      <c r="D65" s="122" t="s">
        <v>6182</v>
      </c>
      <c r="E65" s="108">
        <v>45466</v>
      </c>
      <c r="F65" s="109">
        <v>0.83680555555555558</v>
      </c>
      <c r="G65" s="28" t="s">
        <v>6200</v>
      </c>
      <c r="H65" s="124" t="s">
        <v>406</v>
      </c>
      <c r="I65" s="28" t="s">
        <v>2448</v>
      </c>
      <c r="J65" s="28" t="s">
        <v>20</v>
      </c>
      <c r="K65" s="28" t="s">
        <v>20</v>
      </c>
      <c r="L65" s="28" t="s">
        <v>20</v>
      </c>
      <c r="M65" s="28" t="s">
        <v>20</v>
      </c>
      <c r="N65" s="28" t="s">
        <v>20</v>
      </c>
      <c r="O65" s="28" t="s">
        <v>20</v>
      </c>
      <c r="P65" s="28" t="s">
        <v>20</v>
      </c>
      <c r="Q65" s="28" t="s">
        <v>20</v>
      </c>
    </row>
    <row r="66" spans="2:17" ht="39" x14ac:dyDescent="0.25">
      <c r="B66" s="146">
        <v>64</v>
      </c>
      <c r="C66" s="122" t="s">
        <v>4827</v>
      </c>
      <c r="D66" s="122" t="s">
        <v>6182</v>
      </c>
      <c r="E66" s="108">
        <v>45467</v>
      </c>
      <c r="F66" s="109">
        <v>0.62291666666666667</v>
      </c>
      <c r="G66" s="28" t="s">
        <v>6201</v>
      </c>
      <c r="H66" s="124" t="s">
        <v>5386</v>
      </c>
      <c r="I66" s="28" t="s">
        <v>2448</v>
      </c>
      <c r="J66" s="28" t="s">
        <v>20</v>
      </c>
      <c r="K66" s="28" t="s">
        <v>20</v>
      </c>
      <c r="L66" s="28" t="s">
        <v>20</v>
      </c>
      <c r="M66" s="28" t="s">
        <v>20</v>
      </c>
      <c r="N66" s="28" t="s">
        <v>20</v>
      </c>
      <c r="O66" s="28" t="s">
        <v>20</v>
      </c>
      <c r="P66" s="28" t="s">
        <v>20</v>
      </c>
      <c r="Q66" s="28" t="s">
        <v>20</v>
      </c>
    </row>
    <row r="67" spans="2:17" ht="39" x14ac:dyDescent="0.25">
      <c r="B67" s="146">
        <v>65</v>
      </c>
      <c r="C67" s="122" t="s">
        <v>4827</v>
      </c>
      <c r="D67" s="122" t="s">
        <v>6183</v>
      </c>
      <c r="E67" s="108">
        <v>45446</v>
      </c>
      <c r="F67" s="109">
        <v>0.60069444444444442</v>
      </c>
      <c r="G67" s="28" t="s">
        <v>6202</v>
      </c>
      <c r="H67" s="124" t="s">
        <v>5386</v>
      </c>
      <c r="I67" s="28" t="s">
        <v>2448</v>
      </c>
      <c r="J67" s="28" t="s">
        <v>20</v>
      </c>
      <c r="K67" s="28" t="s">
        <v>20</v>
      </c>
      <c r="L67" s="28" t="s">
        <v>20</v>
      </c>
      <c r="M67" s="28" t="s">
        <v>20</v>
      </c>
      <c r="N67" s="28" t="s">
        <v>20</v>
      </c>
      <c r="O67" s="28" t="s">
        <v>20</v>
      </c>
      <c r="P67" s="28" t="s">
        <v>20</v>
      </c>
      <c r="Q67" s="28" t="s">
        <v>20</v>
      </c>
    </row>
    <row r="68" spans="2:17" ht="39" x14ac:dyDescent="0.25">
      <c r="B68" s="146">
        <v>66</v>
      </c>
      <c r="C68" s="122" t="s">
        <v>4827</v>
      </c>
      <c r="D68" s="122" t="s">
        <v>6183</v>
      </c>
      <c r="E68" s="108">
        <v>45446</v>
      </c>
      <c r="F68" s="109">
        <v>0.4826388888888889</v>
      </c>
      <c r="G68" s="28" t="s">
        <v>6202</v>
      </c>
      <c r="H68" s="124" t="s">
        <v>5386</v>
      </c>
      <c r="I68" s="28" t="s">
        <v>2448</v>
      </c>
      <c r="J68" s="28" t="s">
        <v>20</v>
      </c>
      <c r="K68" s="28" t="s">
        <v>20</v>
      </c>
      <c r="L68" s="28" t="s">
        <v>20</v>
      </c>
      <c r="M68" s="28" t="s">
        <v>20</v>
      </c>
      <c r="N68" s="28" t="s">
        <v>20</v>
      </c>
      <c r="O68" s="28" t="s">
        <v>20</v>
      </c>
      <c r="P68" s="28" t="s">
        <v>20</v>
      </c>
      <c r="Q68" s="28" t="s">
        <v>20</v>
      </c>
    </row>
    <row r="69" spans="2:17" ht="39" x14ac:dyDescent="0.25">
      <c r="B69" s="146">
        <v>67</v>
      </c>
      <c r="C69" s="122" t="s">
        <v>4827</v>
      </c>
      <c r="D69" s="122" t="s">
        <v>6183</v>
      </c>
      <c r="E69" s="108">
        <v>45451</v>
      </c>
      <c r="F69" s="109">
        <v>0.55277777777777781</v>
      </c>
      <c r="G69" s="28" t="s">
        <v>6206</v>
      </c>
      <c r="H69" s="124" t="s">
        <v>5386</v>
      </c>
      <c r="I69" s="28" t="s">
        <v>2443</v>
      </c>
      <c r="J69" s="28" t="s">
        <v>20</v>
      </c>
      <c r="K69" s="28" t="s">
        <v>20</v>
      </c>
      <c r="L69" s="28" t="s">
        <v>20</v>
      </c>
      <c r="M69" s="28" t="s">
        <v>20</v>
      </c>
      <c r="N69" s="28" t="s">
        <v>20</v>
      </c>
      <c r="O69" s="28" t="s">
        <v>20</v>
      </c>
      <c r="P69" s="28" t="s">
        <v>20</v>
      </c>
      <c r="Q69" s="28" t="s">
        <v>20</v>
      </c>
    </row>
    <row r="70" spans="2:17" ht="39" x14ac:dyDescent="0.25">
      <c r="B70" s="146">
        <v>68</v>
      </c>
      <c r="C70" s="122" t="s">
        <v>4827</v>
      </c>
      <c r="D70" s="122" t="s">
        <v>6183</v>
      </c>
      <c r="E70" s="108">
        <v>45455</v>
      </c>
      <c r="F70" s="109">
        <v>0.65972222222222221</v>
      </c>
      <c r="G70" s="28" t="s">
        <v>6203</v>
      </c>
      <c r="H70" s="124" t="s">
        <v>406</v>
      </c>
      <c r="I70" s="28" t="s">
        <v>2443</v>
      </c>
      <c r="J70" s="28" t="s">
        <v>20</v>
      </c>
      <c r="K70" s="28" t="s">
        <v>20</v>
      </c>
      <c r="L70" s="28" t="s">
        <v>20</v>
      </c>
      <c r="M70" s="28" t="s">
        <v>20</v>
      </c>
      <c r="N70" s="28" t="s">
        <v>20</v>
      </c>
      <c r="O70" s="28" t="s">
        <v>20</v>
      </c>
      <c r="P70" s="28" t="s">
        <v>20</v>
      </c>
      <c r="Q70" s="28" t="s">
        <v>20</v>
      </c>
    </row>
    <row r="71" spans="2:17" ht="39" x14ac:dyDescent="0.25">
      <c r="B71" s="146">
        <v>69</v>
      </c>
      <c r="C71" s="122" t="s">
        <v>4827</v>
      </c>
      <c r="D71" s="122" t="s">
        <v>6183</v>
      </c>
      <c r="E71" s="108">
        <v>45456</v>
      </c>
      <c r="F71" s="109">
        <v>0.4201388888888889</v>
      </c>
      <c r="G71" s="28" t="s">
        <v>6204</v>
      </c>
      <c r="H71" s="124" t="s">
        <v>406</v>
      </c>
      <c r="I71" s="28" t="s">
        <v>2443</v>
      </c>
      <c r="J71" s="28" t="s">
        <v>20</v>
      </c>
      <c r="K71" s="28" t="s">
        <v>20</v>
      </c>
      <c r="L71" s="28" t="s">
        <v>20</v>
      </c>
      <c r="M71" s="28" t="s">
        <v>20</v>
      </c>
      <c r="N71" s="28" t="s">
        <v>20</v>
      </c>
      <c r="O71" s="28" t="s">
        <v>20</v>
      </c>
      <c r="P71" s="28" t="s">
        <v>20</v>
      </c>
      <c r="Q71" s="28" t="s">
        <v>20</v>
      </c>
    </row>
    <row r="72" spans="2:17" ht="58.5" x14ac:dyDescent="0.25">
      <c r="B72" s="146">
        <v>70</v>
      </c>
      <c r="C72" s="122" t="s">
        <v>4827</v>
      </c>
      <c r="D72" s="122" t="s">
        <v>6183</v>
      </c>
      <c r="E72" s="108">
        <v>45456</v>
      </c>
      <c r="F72" s="109">
        <v>0.89722222222222225</v>
      </c>
      <c r="G72" s="28" t="s">
        <v>6205</v>
      </c>
      <c r="H72" s="124" t="s">
        <v>5386</v>
      </c>
      <c r="I72" s="28" t="s">
        <v>2443</v>
      </c>
      <c r="J72" s="28" t="s">
        <v>20</v>
      </c>
      <c r="K72" s="28" t="s">
        <v>20</v>
      </c>
      <c r="L72" s="28" t="s">
        <v>20</v>
      </c>
      <c r="M72" s="28" t="s">
        <v>20</v>
      </c>
      <c r="N72" s="28" t="s">
        <v>20</v>
      </c>
      <c r="O72" s="28" t="s">
        <v>20</v>
      </c>
      <c r="P72" s="28" t="s">
        <v>20</v>
      </c>
      <c r="Q72" s="28" t="s">
        <v>20</v>
      </c>
    </row>
    <row r="73" spans="2:17" ht="39" x14ac:dyDescent="0.25">
      <c r="B73" s="146">
        <v>71</v>
      </c>
      <c r="C73" s="122" t="s">
        <v>4827</v>
      </c>
      <c r="D73" s="122" t="s">
        <v>6183</v>
      </c>
      <c r="E73" s="108">
        <v>45458</v>
      </c>
      <c r="F73" s="109">
        <v>0.39652777777777776</v>
      </c>
      <c r="G73" s="28" t="s">
        <v>6203</v>
      </c>
      <c r="H73" s="124" t="s">
        <v>406</v>
      </c>
      <c r="I73" s="28" t="s">
        <v>2443</v>
      </c>
      <c r="J73" s="28" t="s">
        <v>20</v>
      </c>
      <c r="K73" s="28" t="s">
        <v>20</v>
      </c>
      <c r="L73" s="28" t="s">
        <v>20</v>
      </c>
      <c r="M73" s="28" t="s">
        <v>20</v>
      </c>
      <c r="N73" s="28" t="s">
        <v>20</v>
      </c>
      <c r="O73" s="28" t="s">
        <v>20</v>
      </c>
      <c r="P73" s="28" t="s">
        <v>20</v>
      </c>
      <c r="Q73" s="28" t="s">
        <v>20</v>
      </c>
    </row>
    <row r="74" spans="2:17" ht="39" x14ac:dyDescent="0.25">
      <c r="B74" s="146">
        <v>72</v>
      </c>
      <c r="C74" s="122" t="s">
        <v>4827</v>
      </c>
      <c r="D74" s="122" t="s">
        <v>6183</v>
      </c>
      <c r="E74" s="108">
        <v>45458</v>
      </c>
      <c r="F74" s="109">
        <v>0.82638888888888884</v>
      </c>
      <c r="G74" s="28" t="s">
        <v>6207</v>
      </c>
      <c r="H74" s="124" t="s">
        <v>406</v>
      </c>
      <c r="I74" s="28" t="s">
        <v>2443</v>
      </c>
      <c r="J74" s="28" t="s">
        <v>20</v>
      </c>
      <c r="K74" s="28" t="s">
        <v>20</v>
      </c>
      <c r="L74" s="28" t="s">
        <v>20</v>
      </c>
      <c r="M74" s="28" t="s">
        <v>20</v>
      </c>
      <c r="N74" s="28" t="s">
        <v>20</v>
      </c>
      <c r="O74" s="28" t="s">
        <v>20</v>
      </c>
      <c r="P74" s="28" t="s">
        <v>20</v>
      </c>
      <c r="Q74" s="28" t="s">
        <v>20</v>
      </c>
    </row>
    <row r="75" spans="2:17" ht="19.5" x14ac:dyDescent="0.25">
      <c r="B75" s="146"/>
      <c r="C75" s="122"/>
      <c r="D75" s="122"/>
      <c r="E75" s="108"/>
      <c r="F75" s="28"/>
      <c r="G75" s="28"/>
      <c r="H75" s="124"/>
      <c r="I75" s="28"/>
      <c r="J75" s="28"/>
      <c r="K75" s="28"/>
      <c r="L75" s="28"/>
      <c r="M75" s="28"/>
      <c r="N75" s="28"/>
      <c r="O75" s="28"/>
      <c r="P75" s="28"/>
      <c r="Q75" s="28"/>
    </row>
    <row r="76" spans="2:17" ht="19.5" x14ac:dyDescent="0.25">
      <c r="B76" s="146"/>
      <c r="C76" s="122"/>
      <c r="D76" s="122"/>
      <c r="E76" s="108"/>
      <c r="F76" s="28"/>
      <c r="G76" s="28"/>
      <c r="H76" s="124"/>
      <c r="I76" s="28"/>
      <c r="J76" s="28"/>
      <c r="K76" s="28"/>
      <c r="L76" s="28"/>
      <c r="M76" s="28"/>
      <c r="N76" s="28"/>
      <c r="O76" s="28"/>
      <c r="P76" s="28"/>
      <c r="Q76" s="28"/>
    </row>
    <row r="77" spans="2:17" ht="19.5" x14ac:dyDescent="0.25">
      <c r="B77" s="146"/>
      <c r="C77" s="122"/>
      <c r="D77" s="122"/>
      <c r="E77" s="108"/>
      <c r="F77" s="28"/>
      <c r="G77" s="28"/>
      <c r="H77" s="124"/>
      <c r="I77" s="28"/>
      <c r="J77" s="28"/>
      <c r="K77" s="28"/>
      <c r="L77" s="28"/>
      <c r="M77" s="28"/>
      <c r="N77" s="28"/>
      <c r="O77" s="28"/>
      <c r="P77" s="28"/>
      <c r="Q77" s="28"/>
    </row>
    <row r="78" spans="2:17" ht="19.5" x14ac:dyDescent="0.25">
      <c r="B78" s="146"/>
      <c r="C78" s="122"/>
      <c r="D78" s="122"/>
      <c r="E78" s="108"/>
      <c r="F78" s="28"/>
      <c r="G78" s="28"/>
      <c r="H78" s="124"/>
      <c r="I78" s="28"/>
      <c r="J78" s="28"/>
      <c r="K78" s="28"/>
      <c r="L78" s="28"/>
      <c r="M78" s="28"/>
      <c r="N78" s="28"/>
      <c r="O78" s="28"/>
      <c r="P78" s="28"/>
      <c r="Q78" s="28"/>
    </row>
    <row r="79" spans="2:17" ht="19.5" x14ac:dyDescent="0.25">
      <c r="B79" s="146"/>
      <c r="C79" s="122"/>
      <c r="D79" s="122"/>
      <c r="E79" s="108"/>
      <c r="F79" s="28"/>
      <c r="G79" s="28"/>
      <c r="H79" s="124"/>
      <c r="I79" s="28"/>
      <c r="J79" s="28"/>
      <c r="K79" s="28"/>
      <c r="L79" s="28"/>
      <c r="M79" s="28"/>
      <c r="N79" s="28"/>
      <c r="O79" s="28"/>
      <c r="P79" s="28"/>
      <c r="Q79" s="28"/>
    </row>
    <row r="80" spans="2:17" ht="19.5" x14ac:dyDescent="0.25">
      <c r="B80" s="146"/>
      <c r="C80" s="122"/>
      <c r="D80" s="122"/>
      <c r="E80" s="108"/>
      <c r="F80" s="28"/>
      <c r="G80" s="28"/>
      <c r="H80" s="124"/>
      <c r="I80" s="28"/>
      <c r="J80" s="28"/>
      <c r="K80" s="28"/>
      <c r="L80" s="28"/>
      <c r="M80" s="28"/>
      <c r="N80" s="28"/>
      <c r="O80" s="28"/>
      <c r="P80" s="28"/>
      <c r="Q80" s="28"/>
    </row>
    <row r="81" spans="2:17" ht="19.5" x14ac:dyDescent="0.25">
      <c r="B81" s="146"/>
      <c r="C81" s="122"/>
      <c r="D81" s="122"/>
      <c r="E81" s="108"/>
      <c r="F81" s="28"/>
      <c r="G81" s="28"/>
      <c r="H81" s="124"/>
      <c r="I81" s="28"/>
      <c r="J81" s="28"/>
      <c r="K81" s="28"/>
      <c r="L81" s="28"/>
      <c r="M81" s="28"/>
      <c r="N81" s="28"/>
      <c r="O81" s="28"/>
      <c r="P81" s="28"/>
      <c r="Q81" s="28"/>
    </row>
    <row r="82" spans="2:17" ht="19.5" x14ac:dyDescent="0.25">
      <c r="B82" s="146"/>
      <c r="C82" s="122"/>
      <c r="D82" s="122"/>
      <c r="E82" s="108"/>
      <c r="F82" s="28"/>
      <c r="G82" s="28"/>
      <c r="H82" s="124"/>
      <c r="I82" s="28"/>
      <c r="J82" s="28"/>
      <c r="K82" s="28"/>
      <c r="L82" s="28"/>
      <c r="M82" s="28"/>
      <c r="N82" s="28"/>
      <c r="O82" s="28"/>
      <c r="P82" s="28"/>
      <c r="Q82" s="28"/>
    </row>
    <row r="83" spans="2:17" ht="19.5" x14ac:dyDescent="0.25">
      <c r="B83" s="146"/>
      <c r="C83" s="122"/>
      <c r="D83" s="122"/>
      <c r="E83" s="108"/>
      <c r="F83" s="28"/>
      <c r="G83" s="28"/>
      <c r="H83" s="124"/>
      <c r="I83" s="28"/>
      <c r="J83" s="28"/>
      <c r="K83" s="28"/>
      <c r="L83" s="28"/>
      <c r="M83" s="28"/>
      <c r="N83" s="28"/>
      <c r="O83" s="28"/>
      <c r="P83" s="28"/>
      <c r="Q83" s="28"/>
    </row>
    <row r="84" spans="2:17" ht="19.5" x14ac:dyDescent="0.25">
      <c r="B84" s="146"/>
      <c r="C84" s="122"/>
      <c r="D84" s="122"/>
      <c r="E84" s="108"/>
      <c r="F84" s="28"/>
      <c r="G84" s="28"/>
      <c r="H84" s="124"/>
      <c r="I84" s="28"/>
      <c r="J84" s="28"/>
      <c r="K84" s="28"/>
      <c r="L84" s="28"/>
      <c r="M84" s="28"/>
      <c r="N84" s="28"/>
      <c r="O84" s="28"/>
      <c r="P84" s="28"/>
      <c r="Q84" s="28"/>
    </row>
    <row r="85" spans="2:17" ht="19.5" x14ac:dyDescent="0.25">
      <c r="B85" s="146"/>
      <c r="C85" s="122"/>
      <c r="D85" s="122"/>
      <c r="E85" s="108"/>
      <c r="F85" s="28"/>
      <c r="G85" s="28"/>
      <c r="H85" s="124"/>
      <c r="I85" s="28"/>
      <c r="J85" s="28"/>
      <c r="K85" s="28"/>
      <c r="L85" s="28"/>
      <c r="M85" s="28"/>
      <c r="N85" s="28"/>
      <c r="O85" s="28"/>
      <c r="P85" s="28"/>
      <c r="Q85" s="28"/>
    </row>
    <row r="86" spans="2:17" ht="19.5" x14ac:dyDescent="0.25">
      <c r="B86" s="146"/>
      <c r="C86" s="122"/>
      <c r="D86" s="122"/>
      <c r="E86" s="108"/>
      <c r="F86" s="28"/>
      <c r="G86" s="28"/>
      <c r="H86" s="124"/>
      <c r="I86" s="28"/>
      <c r="J86" s="28"/>
      <c r="K86" s="28"/>
      <c r="L86" s="28"/>
      <c r="M86" s="28"/>
      <c r="N86" s="28"/>
      <c r="O86" s="28"/>
      <c r="P86" s="28"/>
      <c r="Q86" s="28"/>
    </row>
    <row r="87" spans="2:17" ht="19.5" x14ac:dyDescent="0.25">
      <c r="B87" s="146"/>
      <c r="C87" s="122"/>
      <c r="D87" s="122"/>
      <c r="E87" s="108"/>
      <c r="F87" s="28"/>
      <c r="G87" s="28"/>
      <c r="H87" s="124"/>
      <c r="I87" s="28"/>
      <c r="J87" s="28"/>
      <c r="K87" s="28"/>
      <c r="L87" s="28"/>
      <c r="M87" s="28"/>
      <c r="N87" s="28"/>
      <c r="O87" s="28"/>
      <c r="P87" s="28"/>
      <c r="Q87" s="28"/>
    </row>
    <row r="88" spans="2:17" ht="19.5" x14ac:dyDescent="0.25">
      <c r="B88" s="146"/>
      <c r="C88" s="122"/>
      <c r="D88" s="122"/>
      <c r="E88" s="108"/>
      <c r="F88" s="28"/>
      <c r="G88" s="28"/>
      <c r="H88" s="124"/>
      <c r="I88" s="28"/>
      <c r="J88" s="28"/>
      <c r="K88" s="28"/>
      <c r="L88" s="28"/>
      <c r="M88" s="28"/>
      <c r="N88" s="28"/>
      <c r="O88" s="28"/>
      <c r="P88" s="28"/>
      <c r="Q88" s="28"/>
    </row>
    <row r="89" spans="2:17" ht="19.5" x14ac:dyDescent="0.25">
      <c r="B89" s="146"/>
      <c r="C89" s="122"/>
      <c r="D89" s="122"/>
      <c r="E89" s="108"/>
      <c r="F89" s="28"/>
      <c r="G89" s="28"/>
      <c r="H89" s="124"/>
      <c r="I89" s="28"/>
      <c r="J89" s="28"/>
      <c r="K89" s="28"/>
      <c r="L89" s="28"/>
      <c r="M89" s="28"/>
      <c r="N89" s="28"/>
      <c r="O89" s="28"/>
      <c r="P89" s="28"/>
      <c r="Q89" s="28"/>
    </row>
    <row r="90" spans="2:17" ht="19.5" x14ac:dyDescent="0.25">
      <c r="B90" s="146"/>
      <c r="C90" s="122"/>
      <c r="D90" s="122"/>
      <c r="E90" s="108"/>
      <c r="F90" s="28"/>
      <c r="G90" s="28"/>
      <c r="H90" s="124"/>
      <c r="I90" s="28"/>
      <c r="J90" s="28"/>
      <c r="K90" s="28"/>
      <c r="L90" s="28"/>
      <c r="M90" s="28"/>
      <c r="N90" s="28"/>
      <c r="O90" s="28"/>
      <c r="P90" s="28"/>
      <c r="Q90" s="28"/>
    </row>
    <row r="91" spans="2:17" ht="19.5" x14ac:dyDescent="0.25">
      <c r="B91" s="146"/>
      <c r="C91" s="122"/>
      <c r="D91" s="122"/>
      <c r="E91" s="108"/>
      <c r="F91" s="28"/>
      <c r="G91" s="28"/>
      <c r="H91" s="124"/>
      <c r="I91" s="28"/>
      <c r="J91" s="28"/>
      <c r="K91" s="28"/>
      <c r="L91" s="28"/>
      <c r="M91" s="28"/>
      <c r="N91" s="28"/>
      <c r="O91" s="28"/>
      <c r="P91" s="28"/>
      <c r="Q91" s="28"/>
    </row>
    <row r="92" spans="2:17" ht="19.5" x14ac:dyDescent="0.25">
      <c r="B92" s="146"/>
      <c r="C92" s="122"/>
      <c r="D92" s="122"/>
      <c r="E92" s="108"/>
      <c r="F92" s="28"/>
      <c r="G92" s="28"/>
      <c r="H92" s="124"/>
      <c r="I92" s="28"/>
      <c r="J92" s="28"/>
      <c r="K92" s="28"/>
      <c r="L92" s="28"/>
      <c r="M92" s="28"/>
      <c r="N92" s="28"/>
      <c r="O92" s="28"/>
      <c r="P92" s="28"/>
      <c r="Q92" s="28"/>
    </row>
    <row r="93" spans="2:17" ht="19.5" x14ac:dyDescent="0.25">
      <c r="B93" s="146"/>
      <c r="C93" s="122"/>
      <c r="D93" s="122"/>
      <c r="E93" s="108"/>
      <c r="F93" s="28"/>
      <c r="G93" s="28"/>
      <c r="H93" s="124"/>
      <c r="I93" s="28"/>
      <c r="J93" s="28"/>
      <c r="K93" s="28"/>
      <c r="L93" s="28"/>
      <c r="M93" s="28"/>
      <c r="N93" s="28"/>
      <c r="O93" s="28"/>
      <c r="P93" s="28"/>
      <c r="Q93" s="28"/>
    </row>
    <row r="94" spans="2:17" ht="19.5" x14ac:dyDescent="0.25">
      <c r="B94" s="146"/>
      <c r="C94" s="122"/>
      <c r="D94" s="122"/>
      <c r="E94" s="108"/>
      <c r="F94" s="28"/>
      <c r="G94" s="28"/>
      <c r="H94" s="124"/>
      <c r="I94" s="28"/>
      <c r="J94" s="28"/>
      <c r="K94" s="28"/>
      <c r="L94" s="28"/>
      <c r="M94" s="28"/>
      <c r="N94" s="28"/>
      <c r="O94" s="28"/>
      <c r="P94" s="28"/>
      <c r="Q94" s="28"/>
    </row>
    <row r="95" spans="2:17" ht="19.5" x14ac:dyDescent="0.25">
      <c r="B95" s="146"/>
      <c r="C95" s="122"/>
      <c r="D95" s="122"/>
      <c r="E95" s="108"/>
      <c r="F95" s="28"/>
      <c r="G95" s="28"/>
      <c r="H95" s="124"/>
      <c r="I95" s="28"/>
      <c r="J95" s="28"/>
      <c r="K95" s="28"/>
      <c r="L95" s="28"/>
      <c r="M95" s="28"/>
      <c r="N95" s="28"/>
      <c r="O95" s="28"/>
      <c r="P95" s="28"/>
      <c r="Q95" s="28"/>
    </row>
    <row r="96" spans="2:17" ht="19.5" x14ac:dyDescent="0.25">
      <c r="B96" s="146"/>
      <c r="C96" s="122"/>
      <c r="D96" s="122"/>
      <c r="E96" s="108"/>
      <c r="F96" s="28"/>
      <c r="G96" s="28"/>
      <c r="H96" s="124"/>
      <c r="I96" s="28"/>
      <c r="J96" s="28"/>
      <c r="K96" s="28"/>
      <c r="L96" s="28"/>
      <c r="M96" s="28"/>
      <c r="N96" s="28"/>
      <c r="O96" s="28"/>
      <c r="P96" s="28"/>
      <c r="Q96" s="28"/>
    </row>
    <row r="97" spans="2:17" ht="19.5" x14ac:dyDescent="0.25">
      <c r="B97" s="146"/>
      <c r="C97" s="122"/>
      <c r="D97" s="122"/>
      <c r="E97" s="108"/>
      <c r="F97" s="28"/>
      <c r="G97" s="28"/>
      <c r="H97" s="124"/>
      <c r="I97" s="28"/>
      <c r="J97" s="28"/>
      <c r="K97" s="28"/>
      <c r="L97" s="28"/>
      <c r="M97" s="28"/>
      <c r="N97" s="28"/>
      <c r="O97" s="28"/>
      <c r="P97" s="28"/>
      <c r="Q97" s="28"/>
    </row>
    <row r="98" spans="2:17" ht="19.5" x14ac:dyDescent="0.25">
      <c r="B98" s="146"/>
      <c r="C98" s="122"/>
      <c r="D98" s="122"/>
      <c r="E98" s="108"/>
      <c r="F98" s="28"/>
      <c r="G98" s="28"/>
      <c r="H98" s="124"/>
      <c r="I98" s="28"/>
      <c r="J98" s="28"/>
      <c r="K98" s="28"/>
      <c r="L98" s="28"/>
      <c r="M98" s="28"/>
      <c r="N98" s="28"/>
      <c r="O98" s="28"/>
      <c r="P98" s="28"/>
      <c r="Q98" s="28"/>
    </row>
    <row r="99" spans="2:17" ht="19.5" x14ac:dyDescent="0.25">
      <c r="B99" s="146"/>
      <c r="C99" s="122"/>
      <c r="D99" s="122"/>
      <c r="E99" s="108"/>
      <c r="F99" s="28"/>
      <c r="G99" s="28"/>
      <c r="H99" s="124"/>
      <c r="I99" s="28"/>
      <c r="J99" s="28"/>
      <c r="K99" s="28"/>
      <c r="L99" s="28"/>
      <c r="M99" s="28"/>
      <c r="N99" s="28"/>
      <c r="O99" s="28"/>
      <c r="P99" s="28"/>
      <c r="Q99" s="28"/>
    </row>
    <row r="100" spans="2:17" ht="19.5" x14ac:dyDescent="0.25">
      <c r="B100" s="146"/>
      <c r="C100" s="122"/>
      <c r="D100" s="122"/>
      <c r="E100" s="108"/>
      <c r="F100" s="28"/>
      <c r="G100" s="28"/>
      <c r="H100" s="124"/>
      <c r="I100" s="28"/>
      <c r="J100" s="28"/>
      <c r="K100" s="28"/>
      <c r="L100" s="28"/>
      <c r="M100" s="28"/>
      <c r="N100" s="28"/>
      <c r="O100" s="28"/>
      <c r="P100" s="28"/>
      <c r="Q100" s="28"/>
    </row>
    <row r="101" spans="2:17" ht="19.5" x14ac:dyDescent="0.25">
      <c r="B101" s="146"/>
      <c r="C101" s="122"/>
      <c r="D101" s="122"/>
      <c r="E101" s="108"/>
      <c r="F101" s="28"/>
      <c r="G101" s="28"/>
      <c r="H101" s="124"/>
      <c r="I101" s="28"/>
      <c r="J101" s="28"/>
      <c r="K101" s="28"/>
      <c r="L101" s="28"/>
      <c r="M101" s="28"/>
      <c r="N101" s="28"/>
      <c r="O101" s="28"/>
      <c r="P101" s="28"/>
      <c r="Q101" s="28"/>
    </row>
    <row r="102" spans="2:17" ht="19.5" x14ac:dyDescent="0.25">
      <c r="B102" s="146"/>
      <c r="C102" s="122"/>
      <c r="D102" s="122"/>
      <c r="E102" s="108"/>
      <c r="F102" s="28"/>
      <c r="G102" s="28"/>
      <c r="H102" s="124"/>
      <c r="I102" s="28"/>
      <c r="J102" s="28"/>
      <c r="K102" s="28"/>
      <c r="L102" s="28"/>
      <c r="M102" s="28"/>
      <c r="N102" s="28"/>
      <c r="O102" s="28"/>
      <c r="P102" s="28"/>
      <c r="Q102" s="28"/>
    </row>
    <row r="103" spans="2:17" ht="19.5" x14ac:dyDescent="0.25">
      <c r="B103" s="146"/>
      <c r="C103" s="122"/>
      <c r="D103" s="122"/>
      <c r="E103" s="108"/>
      <c r="F103" s="28"/>
      <c r="G103" s="28"/>
      <c r="H103" s="124"/>
      <c r="I103" s="28"/>
      <c r="J103" s="28"/>
      <c r="K103" s="28"/>
      <c r="L103" s="28"/>
      <c r="M103" s="28"/>
      <c r="N103" s="28"/>
      <c r="O103" s="28"/>
      <c r="P103" s="28"/>
      <c r="Q103" s="28"/>
    </row>
    <row r="104" spans="2:17" ht="19.5" x14ac:dyDescent="0.25">
      <c r="B104" s="146"/>
      <c r="C104" s="122"/>
      <c r="D104" s="122"/>
      <c r="E104" s="108"/>
      <c r="F104" s="28"/>
      <c r="G104" s="28"/>
      <c r="H104" s="124"/>
      <c r="I104" s="28"/>
      <c r="J104" s="28"/>
      <c r="K104" s="28"/>
      <c r="L104" s="28"/>
      <c r="M104" s="28"/>
      <c r="N104" s="28"/>
      <c r="O104" s="28"/>
      <c r="P104" s="28"/>
      <c r="Q104" s="28"/>
    </row>
    <row r="105" spans="2:17" ht="19.5" x14ac:dyDescent="0.25">
      <c r="B105" s="146"/>
      <c r="C105" s="122"/>
      <c r="D105" s="122"/>
      <c r="E105" s="108"/>
      <c r="F105" s="28"/>
      <c r="G105" s="28"/>
      <c r="H105" s="124"/>
      <c r="I105" s="28"/>
      <c r="J105" s="28"/>
      <c r="K105" s="28"/>
      <c r="L105" s="28"/>
      <c r="M105" s="28"/>
      <c r="N105" s="28"/>
      <c r="O105" s="28"/>
      <c r="P105" s="28"/>
      <c r="Q105" s="28"/>
    </row>
    <row r="106" spans="2:17" ht="19.5" x14ac:dyDescent="0.25">
      <c r="B106" s="146"/>
      <c r="C106" s="122"/>
      <c r="D106" s="122"/>
      <c r="E106" s="108"/>
      <c r="F106" s="28"/>
      <c r="G106" s="28"/>
      <c r="H106" s="124"/>
      <c r="I106" s="28"/>
      <c r="J106" s="28"/>
      <c r="K106" s="28"/>
      <c r="L106" s="28"/>
      <c r="M106" s="28"/>
      <c r="N106" s="28"/>
      <c r="O106" s="28"/>
      <c r="P106" s="28"/>
      <c r="Q106" s="28"/>
    </row>
    <row r="107" spans="2:17" ht="19.5" x14ac:dyDescent="0.25">
      <c r="B107" s="146"/>
      <c r="C107" s="122"/>
      <c r="D107" s="122"/>
      <c r="E107" s="108"/>
      <c r="F107" s="28"/>
      <c r="G107" s="28"/>
      <c r="H107" s="124"/>
      <c r="I107" s="28"/>
      <c r="J107" s="28"/>
      <c r="K107" s="28"/>
      <c r="L107" s="28"/>
      <c r="M107" s="28"/>
      <c r="N107" s="28"/>
      <c r="O107" s="28"/>
      <c r="P107" s="28"/>
      <c r="Q107" s="28"/>
    </row>
    <row r="108" spans="2:17" ht="19.5" x14ac:dyDescent="0.25">
      <c r="B108" s="146"/>
      <c r="C108" s="122"/>
      <c r="D108" s="122"/>
      <c r="E108" s="108"/>
      <c r="F108" s="28"/>
      <c r="G108" s="28"/>
      <c r="H108" s="124"/>
      <c r="I108" s="28"/>
      <c r="J108" s="28"/>
      <c r="K108" s="28"/>
      <c r="L108" s="28"/>
      <c r="M108" s="28"/>
      <c r="N108" s="28"/>
      <c r="O108" s="28"/>
      <c r="P108" s="28"/>
      <c r="Q108" s="28"/>
    </row>
    <row r="109" spans="2:17" ht="19.5" x14ac:dyDescent="0.25">
      <c r="B109" s="146"/>
      <c r="C109" s="122"/>
      <c r="D109" s="122"/>
      <c r="E109" s="108"/>
      <c r="F109" s="28"/>
      <c r="G109" s="28"/>
      <c r="H109" s="124"/>
      <c r="I109" s="28"/>
      <c r="J109" s="28"/>
      <c r="K109" s="28"/>
      <c r="L109" s="28"/>
      <c r="M109" s="28"/>
      <c r="N109" s="28"/>
      <c r="O109" s="28"/>
      <c r="P109" s="28"/>
      <c r="Q109" s="28"/>
    </row>
    <row r="110" spans="2:17" ht="19.5" x14ac:dyDescent="0.25">
      <c r="B110" s="146"/>
      <c r="C110" s="122"/>
      <c r="D110" s="122"/>
      <c r="E110" s="108"/>
      <c r="F110" s="28"/>
      <c r="G110" s="28"/>
      <c r="H110" s="124"/>
      <c r="I110" s="28"/>
      <c r="J110" s="28"/>
      <c r="K110" s="28"/>
      <c r="L110" s="28"/>
      <c r="M110" s="28"/>
      <c r="N110" s="28"/>
      <c r="O110" s="28"/>
      <c r="P110" s="28"/>
      <c r="Q110" s="28"/>
    </row>
    <row r="111" spans="2:17" ht="19.5" x14ac:dyDescent="0.25">
      <c r="B111" s="146"/>
      <c r="C111" s="122"/>
      <c r="D111" s="122"/>
      <c r="E111" s="108"/>
      <c r="F111" s="28"/>
      <c r="G111" s="28"/>
      <c r="H111" s="124"/>
      <c r="I111" s="28"/>
      <c r="J111" s="28"/>
      <c r="K111" s="28"/>
      <c r="L111" s="28"/>
      <c r="M111" s="28"/>
      <c r="N111" s="28"/>
      <c r="O111" s="28"/>
      <c r="P111" s="28"/>
      <c r="Q111" s="28"/>
    </row>
    <row r="112" spans="2:17" ht="19.5" x14ac:dyDescent="0.25">
      <c r="B112" s="146"/>
      <c r="C112" s="122"/>
      <c r="D112" s="122"/>
      <c r="E112" s="108"/>
      <c r="F112" s="28"/>
      <c r="G112" s="28"/>
      <c r="H112" s="124"/>
      <c r="I112" s="28"/>
      <c r="J112" s="28"/>
      <c r="K112" s="28"/>
      <c r="L112" s="28"/>
      <c r="M112" s="28"/>
      <c r="N112" s="28"/>
      <c r="O112" s="28"/>
      <c r="P112" s="28"/>
      <c r="Q112" s="28"/>
    </row>
    <row r="113" spans="2:17" ht="19.5" x14ac:dyDescent="0.25">
      <c r="B113" s="146"/>
      <c r="C113" s="122"/>
      <c r="D113" s="122"/>
      <c r="E113" s="108"/>
      <c r="F113" s="28"/>
      <c r="G113" s="28"/>
      <c r="H113" s="124"/>
      <c r="I113" s="28"/>
      <c r="J113" s="28"/>
      <c r="K113" s="28"/>
      <c r="L113" s="28"/>
      <c r="M113" s="28"/>
      <c r="N113" s="28"/>
      <c r="O113" s="28"/>
      <c r="P113" s="28"/>
      <c r="Q113" s="28"/>
    </row>
    <row r="114" spans="2:17" ht="19.5" x14ac:dyDescent="0.25">
      <c r="B114" s="146"/>
      <c r="C114" s="122"/>
      <c r="D114" s="122"/>
      <c r="E114" s="108"/>
      <c r="F114" s="28"/>
      <c r="G114" s="28"/>
      <c r="H114" s="124"/>
      <c r="I114" s="28"/>
      <c r="J114" s="28"/>
      <c r="K114" s="28"/>
      <c r="L114" s="28"/>
      <c r="M114" s="28"/>
      <c r="N114" s="28"/>
      <c r="O114" s="28"/>
      <c r="P114" s="28"/>
      <c r="Q114" s="28"/>
    </row>
    <row r="115" spans="2:17" ht="19.5" x14ac:dyDescent="0.25">
      <c r="B115" s="146"/>
      <c r="C115" s="122"/>
      <c r="D115" s="122"/>
      <c r="E115" s="108"/>
      <c r="F115" s="28"/>
      <c r="G115" s="28"/>
      <c r="H115" s="124"/>
      <c r="I115" s="28"/>
      <c r="J115" s="28"/>
      <c r="K115" s="28"/>
      <c r="L115" s="28"/>
      <c r="M115" s="28"/>
      <c r="N115" s="28"/>
      <c r="O115" s="28"/>
      <c r="P115" s="28"/>
      <c r="Q115" s="28"/>
    </row>
    <row r="116" spans="2:17" ht="19.5" x14ac:dyDescent="0.25">
      <c r="B116" s="146"/>
      <c r="C116" s="122"/>
      <c r="D116" s="122"/>
      <c r="E116" s="108"/>
      <c r="F116" s="28"/>
      <c r="G116" s="28"/>
      <c r="H116" s="124"/>
      <c r="I116" s="28"/>
      <c r="J116" s="28"/>
      <c r="K116" s="28"/>
      <c r="L116" s="28"/>
      <c r="M116" s="28"/>
      <c r="N116" s="28"/>
      <c r="O116" s="28"/>
      <c r="P116" s="28"/>
      <c r="Q116" s="28"/>
    </row>
    <row r="117" spans="2:17" ht="19.5" x14ac:dyDescent="0.25">
      <c r="B117" s="146"/>
      <c r="C117" s="122"/>
      <c r="D117" s="122"/>
      <c r="E117" s="108"/>
      <c r="F117" s="28"/>
      <c r="G117" s="28"/>
      <c r="H117" s="124"/>
      <c r="I117" s="28"/>
      <c r="J117" s="28"/>
      <c r="K117" s="28"/>
      <c r="L117" s="28"/>
      <c r="M117" s="28"/>
      <c r="N117" s="28"/>
      <c r="O117" s="28"/>
      <c r="P117" s="28"/>
      <c r="Q117" s="28"/>
    </row>
    <row r="118" spans="2:17" ht="19.5" x14ac:dyDescent="0.25">
      <c r="B118" s="146"/>
      <c r="C118" s="122"/>
      <c r="D118" s="122"/>
      <c r="E118" s="108"/>
      <c r="F118" s="28"/>
      <c r="G118" s="28"/>
      <c r="H118" s="124"/>
      <c r="I118" s="28"/>
      <c r="J118" s="28"/>
      <c r="K118" s="28"/>
      <c r="L118" s="28"/>
      <c r="M118" s="28"/>
      <c r="N118" s="28"/>
      <c r="O118" s="28"/>
      <c r="P118" s="28"/>
      <c r="Q118" s="28"/>
    </row>
    <row r="119" spans="2:17" ht="19.5" x14ac:dyDescent="0.25">
      <c r="B119" s="146"/>
      <c r="C119" s="122"/>
      <c r="D119" s="122"/>
      <c r="E119" s="108"/>
      <c r="F119" s="28"/>
      <c r="G119" s="28"/>
      <c r="H119" s="124"/>
      <c r="I119" s="28"/>
      <c r="J119" s="28"/>
      <c r="K119" s="28"/>
      <c r="L119" s="28"/>
      <c r="M119" s="28"/>
      <c r="N119" s="28"/>
      <c r="O119" s="28"/>
      <c r="P119" s="28"/>
      <c r="Q119" s="28"/>
    </row>
    <row r="120" spans="2:17" ht="19.5" x14ac:dyDescent="0.25">
      <c r="B120" s="146"/>
      <c r="C120" s="122"/>
      <c r="D120" s="122"/>
      <c r="E120" s="108"/>
      <c r="F120" s="28"/>
      <c r="G120" s="28"/>
      <c r="H120" s="124"/>
      <c r="I120" s="28"/>
      <c r="J120" s="28"/>
      <c r="K120" s="28"/>
      <c r="L120" s="28"/>
      <c r="M120" s="28"/>
      <c r="N120" s="28"/>
      <c r="O120" s="28"/>
      <c r="P120" s="28"/>
      <c r="Q120" s="28"/>
    </row>
    <row r="121" spans="2:17" ht="19.5" x14ac:dyDescent="0.25">
      <c r="B121" s="146"/>
      <c r="C121" s="122"/>
      <c r="D121" s="122"/>
      <c r="E121" s="108"/>
      <c r="F121" s="28"/>
      <c r="G121" s="28"/>
      <c r="H121" s="124"/>
      <c r="I121" s="28"/>
      <c r="J121" s="28"/>
      <c r="K121" s="28"/>
      <c r="L121" s="28"/>
      <c r="M121" s="28"/>
      <c r="N121" s="28"/>
      <c r="O121" s="28"/>
      <c r="P121" s="28"/>
      <c r="Q121" s="28"/>
    </row>
    <row r="122" spans="2:17" ht="19.5" x14ac:dyDescent="0.25">
      <c r="B122" s="146"/>
      <c r="C122" s="122"/>
      <c r="D122" s="122"/>
      <c r="E122" s="108"/>
      <c r="F122" s="28"/>
      <c r="G122" s="28"/>
      <c r="H122" s="124"/>
      <c r="I122" s="28"/>
      <c r="J122" s="28"/>
      <c r="K122" s="28"/>
      <c r="L122" s="28"/>
      <c r="M122" s="28"/>
      <c r="N122" s="28"/>
      <c r="O122" s="28"/>
      <c r="P122" s="28"/>
      <c r="Q122" s="28"/>
    </row>
    <row r="123" spans="2:17" ht="19.5" x14ac:dyDescent="0.25">
      <c r="B123" s="146"/>
      <c r="C123" s="122"/>
      <c r="D123" s="122"/>
      <c r="E123" s="108"/>
      <c r="F123" s="28"/>
      <c r="G123" s="28"/>
      <c r="H123" s="124"/>
      <c r="I123" s="28"/>
      <c r="J123" s="28"/>
      <c r="K123" s="28"/>
      <c r="L123" s="28"/>
      <c r="M123" s="28"/>
      <c r="N123" s="28"/>
      <c r="O123" s="28"/>
      <c r="P123" s="28"/>
      <c r="Q123" s="28"/>
    </row>
    <row r="124" spans="2:17" ht="19.5" x14ac:dyDescent="0.25">
      <c r="B124" s="146"/>
      <c r="C124" s="122"/>
      <c r="D124" s="122"/>
      <c r="E124" s="108"/>
      <c r="F124" s="28"/>
      <c r="G124" s="28"/>
      <c r="H124" s="124"/>
      <c r="I124" s="28"/>
      <c r="J124" s="28"/>
      <c r="K124" s="28"/>
      <c r="L124" s="28"/>
      <c r="M124" s="28"/>
      <c r="N124" s="28"/>
      <c r="O124" s="28"/>
      <c r="P124" s="28"/>
      <c r="Q124" s="28"/>
    </row>
    <row r="125" spans="2:17" ht="19.5" x14ac:dyDescent="0.25">
      <c r="B125" s="146"/>
      <c r="C125" s="122"/>
      <c r="D125" s="122"/>
      <c r="E125" s="108"/>
      <c r="F125" s="28"/>
      <c r="G125" s="28"/>
      <c r="H125" s="124"/>
      <c r="I125" s="28"/>
      <c r="J125" s="28"/>
      <c r="K125" s="28"/>
      <c r="L125" s="28"/>
      <c r="M125" s="28"/>
      <c r="N125" s="28"/>
      <c r="O125" s="28"/>
      <c r="P125" s="28"/>
      <c r="Q125" s="28"/>
    </row>
    <row r="126" spans="2:17" ht="19.5" x14ac:dyDescent="0.25">
      <c r="B126" s="146"/>
      <c r="C126" s="122"/>
      <c r="D126" s="122"/>
      <c r="E126" s="108"/>
      <c r="F126" s="28"/>
      <c r="G126" s="28"/>
      <c r="H126" s="124"/>
      <c r="I126" s="28"/>
      <c r="J126" s="28"/>
      <c r="K126" s="28"/>
      <c r="L126" s="28"/>
      <c r="M126" s="28"/>
      <c r="N126" s="28"/>
      <c r="O126" s="28"/>
      <c r="P126" s="28"/>
      <c r="Q126" s="28"/>
    </row>
    <row r="127" spans="2:17" ht="19.5" x14ac:dyDescent="0.25">
      <c r="B127" s="146"/>
      <c r="C127" s="122"/>
      <c r="D127" s="122"/>
      <c r="E127" s="108"/>
      <c r="F127" s="28"/>
      <c r="G127" s="28"/>
      <c r="H127" s="124"/>
      <c r="I127" s="28"/>
      <c r="J127" s="28"/>
      <c r="K127" s="28"/>
      <c r="L127" s="28"/>
      <c r="M127" s="28"/>
      <c r="N127" s="28"/>
      <c r="O127" s="28"/>
      <c r="P127" s="28"/>
      <c r="Q127" s="28"/>
    </row>
    <row r="128" spans="2:17" ht="19.5" x14ac:dyDescent="0.25">
      <c r="B128" s="146"/>
      <c r="C128" s="122"/>
      <c r="D128" s="122"/>
      <c r="E128" s="108"/>
      <c r="F128" s="28"/>
      <c r="G128" s="28"/>
      <c r="H128" s="124"/>
      <c r="I128" s="28"/>
      <c r="J128" s="28"/>
      <c r="K128" s="28"/>
      <c r="L128" s="28"/>
      <c r="M128" s="28"/>
      <c r="N128" s="28"/>
      <c r="O128" s="28"/>
      <c r="P128" s="28"/>
      <c r="Q128" s="28"/>
    </row>
    <row r="129" spans="2:17" ht="19.5" x14ac:dyDescent="0.25">
      <c r="B129" s="146"/>
      <c r="C129" s="122"/>
      <c r="D129" s="122"/>
      <c r="E129" s="108"/>
      <c r="F129" s="28"/>
      <c r="G129" s="28"/>
      <c r="H129" s="124"/>
      <c r="I129" s="28"/>
      <c r="J129" s="28"/>
      <c r="K129" s="28"/>
      <c r="L129" s="28"/>
      <c r="M129" s="28"/>
      <c r="N129" s="28"/>
      <c r="O129" s="28"/>
      <c r="P129" s="28"/>
      <c r="Q129" s="28"/>
    </row>
    <row r="130" spans="2:17" ht="19.5" x14ac:dyDescent="0.25">
      <c r="B130" s="146"/>
      <c r="C130" s="122"/>
      <c r="D130" s="122"/>
      <c r="E130" s="108"/>
      <c r="F130" s="28"/>
      <c r="G130" s="28"/>
      <c r="H130" s="124"/>
      <c r="I130" s="28"/>
      <c r="J130" s="28"/>
      <c r="K130" s="28"/>
      <c r="L130" s="28"/>
      <c r="M130" s="28"/>
      <c r="N130" s="28"/>
      <c r="O130" s="28"/>
      <c r="P130" s="28"/>
      <c r="Q130" s="28"/>
    </row>
    <row r="131" spans="2:17" ht="19.5" x14ac:dyDescent="0.25">
      <c r="B131" s="146"/>
      <c r="C131" s="122"/>
      <c r="D131" s="122"/>
      <c r="E131" s="108"/>
      <c r="F131" s="28"/>
      <c r="G131" s="28"/>
      <c r="H131" s="124"/>
      <c r="I131" s="28"/>
      <c r="J131" s="28"/>
      <c r="K131" s="28"/>
      <c r="L131" s="28"/>
      <c r="M131" s="28"/>
      <c r="N131" s="28"/>
      <c r="O131" s="28"/>
      <c r="P131" s="28"/>
      <c r="Q131" s="28"/>
    </row>
    <row r="132" spans="2:17" ht="19.5" x14ac:dyDescent="0.25">
      <c r="B132" s="146"/>
      <c r="C132" s="122"/>
      <c r="D132" s="122"/>
      <c r="E132" s="108"/>
      <c r="F132" s="28"/>
      <c r="G132" s="28"/>
      <c r="H132" s="124"/>
      <c r="I132" s="28"/>
      <c r="J132" s="28"/>
      <c r="K132" s="28"/>
      <c r="L132" s="28"/>
      <c r="M132" s="28"/>
      <c r="N132" s="28"/>
      <c r="O132" s="28"/>
      <c r="P132" s="28"/>
      <c r="Q132" s="28"/>
    </row>
    <row r="133" spans="2:17" ht="19.5" x14ac:dyDescent="0.25">
      <c r="B133" s="146"/>
      <c r="C133" s="122"/>
      <c r="D133" s="122"/>
      <c r="E133" s="108"/>
      <c r="F133" s="28"/>
      <c r="G133" s="28"/>
      <c r="H133" s="124"/>
      <c r="I133" s="28"/>
      <c r="J133" s="28"/>
      <c r="K133" s="28"/>
      <c r="L133" s="28"/>
      <c r="M133" s="28"/>
      <c r="N133" s="28"/>
      <c r="O133" s="28"/>
      <c r="P133" s="28"/>
      <c r="Q133" s="28"/>
    </row>
    <row r="134" spans="2:17" ht="19.5" x14ac:dyDescent="0.25">
      <c r="B134" s="146"/>
      <c r="C134" s="122"/>
      <c r="D134" s="122"/>
      <c r="E134" s="108"/>
      <c r="F134" s="28"/>
      <c r="G134" s="28"/>
      <c r="H134" s="124"/>
      <c r="I134" s="28"/>
      <c r="J134" s="28"/>
      <c r="K134" s="28"/>
      <c r="L134" s="28"/>
      <c r="M134" s="28"/>
      <c r="N134" s="28"/>
      <c r="O134" s="28"/>
      <c r="P134" s="28"/>
      <c r="Q134" s="28"/>
    </row>
    <row r="135" spans="2:17" ht="19.5" x14ac:dyDescent="0.25">
      <c r="B135" s="146"/>
      <c r="C135" s="122"/>
      <c r="D135" s="122"/>
      <c r="E135" s="108"/>
      <c r="F135" s="28"/>
      <c r="G135" s="28"/>
      <c r="H135" s="124"/>
      <c r="I135" s="28"/>
      <c r="J135" s="28"/>
      <c r="K135" s="28"/>
      <c r="L135" s="28"/>
      <c r="M135" s="28"/>
      <c r="N135" s="28"/>
      <c r="O135" s="28"/>
      <c r="P135" s="28"/>
      <c r="Q135" s="28"/>
    </row>
    <row r="136" spans="2:17" ht="19.5" x14ac:dyDescent="0.25">
      <c r="B136" s="146"/>
      <c r="C136" s="122"/>
      <c r="D136" s="122"/>
      <c r="E136" s="108"/>
      <c r="F136" s="28"/>
      <c r="G136" s="28"/>
      <c r="H136" s="124"/>
      <c r="I136" s="28"/>
      <c r="J136" s="28"/>
      <c r="K136" s="28"/>
      <c r="L136" s="28"/>
      <c r="M136" s="28"/>
      <c r="N136" s="28"/>
      <c r="O136" s="28"/>
      <c r="P136" s="28"/>
      <c r="Q136" s="28"/>
    </row>
    <row r="137" spans="2:17" ht="19.5" x14ac:dyDescent="0.25">
      <c r="B137" s="146"/>
      <c r="C137" s="122"/>
      <c r="D137" s="122"/>
      <c r="E137" s="108"/>
      <c r="F137" s="28"/>
      <c r="G137" s="28"/>
      <c r="H137" s="124"/>
      <c r="I137" s="28"/>
      <c r="J137" s="28"/>
      <c r="K137" s="28"/>
      <c r="L137" s="28"/>
      <c r="M137" s="28"/>
      <c r="N137" s="28"/>
      <c r="O137" s="28"/>
      <c r="P137" s="28"/>
      <c r="Q137" s="28"/>
    </row>
    <row r="138" spans="2:17" ht="19.5" x14ac:dyDescent="0.25">
      <c r="B138" s="146"/>
      <c r="C138" s="122"/>
      <c r="D138" s="122"/>
      <c r="E138" s="108"/>
      <c r="F138" s="28"/>
      <c r="G138" s="28"/>
      <c r="H138" s="124"/>
      <c r="I138" s="28"/>
      <c r="J138" s="28"/>
      <c r="K138" s="28"/>
      <c r="L138" s="28"/>
      <c r="M138" s="28"/>
      <c r="N138" s="28"/>
      <c r="O138" s="28"/>
      <c r="P138" s="28"/>
      <c r="Q138" s="28"/>
    </row>
    <row r="139" spans="2:17" ht="19.5" x14ac:dyDescent="0.25">
      <c r="B139" s="146"/>
      <c r="C139" s="122"/>
      <c r="D139" s="122"/>
      <c r="E139" s="108"/>
      <c r="F139" s="28"/>
      <c r="G139" s="28"/>
      <c r="H139" s="124"/>
      <c r="I139" s="28"/>
      <c r="J139" s="28"/>
      <c r="K139" s="28"/>
      <c r="L139" s="28"/>
      <c r="M139" s="28"/>
      <c r="N139" s="28"/>
      <c r="O139" s="28"/>
      <c r="P139" s="28"/>
      <c r="Q139" s="28"/>
    </row>
    <row r="140" spans="2:17" ht="19.5" x14ac:dyDescent="0.25">
      <c r="B140" s="146"/>
      <c r="C140" s="122"/>
      <c r="D140" s="122"/>
      <c r="E140" s="108"/>
      <c r="F140" s="28"/>
      <c r="G140" s="28"/>
      <c r="H140" s="124"/>
      <c r="I140" s="28"/>
      <c r="J140" s="28"/>
      <c r="K140" s="28"/>
      <c r="L140" s="28"/>
      <c r="M140" s="28"/>
      <c r="N140" s="28"/>
      <c r="O140" s="28"/>
      <c r="P140" s="28"/>
      <c r="Q140" s="28"/>
    </row>
    <row r="141" spans="2:17" ht="19.5" x14ac:dyDescent="0.25">
      <c r="B141" s="146"/>
      <c r="C141" s="122"/>
      <c r="D141" s="28"/>
      <c r="E141" s="108"/>
      <c r="F141" s="28"/>
      <c r="G141" s="28"/>
      <c r="H141" s="124"/>
      <c r="I141" s="28"/>
      <c r="J141" s="28"/>
      <c r="K141" s="28"/>
      <c r="L141" s="28"/>
      <c r="M141" s="28"/>
      <c r="N141" s="28"/>
      <c r="O141" s="28"/>
      <c r="P141" s="28"/>
      <c r="Q141" s="28"/>
    </row>
    <row r="142" spans="2:17" ht="19.5" x14ac:dyDescent="0.25">
      <c r="B142" s="146"/>
      <c r="C142" s="122"/>
      <c r="D142" s="28"/>
      <c r="E142" s="108"/>
      <c r="F142" s="28"/>
      <c r="G142" s="28"/>
      <c r="H142" s="124"/>
      <c r="I142" s="28"/>
      <c r="J142" s="28"/>
      <c r="K142" s="28"/>
      <c r="L142" s="28"/>
      <c r="M142" s="28"/>
      <c r="N142" s="28"/>
      <c r="O142" s="28"/>
      <c r="P142" s="28"/>
      <c r="Q142" s="28"/>
    </row>
    <row r="143" spans="2:17" ht="19.5" x14ac:dyDescent="0.25">
      <c r="B143" s="146"/>
      <c r="C143" s="122"/>
      <c r="D143" s="28"/>
      <c r="E143" s="108"/>
      <c r="F143" s="28"/>
      <c r="G143" s="28"/>
      <c r="H143" s="124"/>
      <c r="I143" s="28"/>
      <c r="J143" s="28"/>
      <c r="K143" s="28"/>
      <c r="L143" s="28"/>
      <c r="M143" s="28"/>
      <c r="N143" s="28"/>
      <c r="O143" s="28"/>
      <c r="P143" s="28"/>
      <c r="Q143" s="28"/>
    </row>
    <row r="144" spans="2:17" ht="19.5" x14ac:dyDescent="0.25">
      <c r="B144" s="146"/>
      <c r="C144" s="122"/>
      <c r="D144" s="28"/>
      <c r="E144" s="108"/>
      <c r="F144" s="28"/>
      <c r="G144" s="28"/>
      <c r="H144" s="124"/>
      <c r="I144" s="28"/>
      <c r="J144" s="28"/>
      <c r="K144" s="28"/>
      <c r="L144" s="28"/>
      <c r="M144" s="28"/>
      <c r="N144" s="28"/>
      <c r="O144" s="28"/>
      <c r="P144" s="28"/>
      <c r="Q144" s="28"/>
    </row>
    <row r="145" spans="2:17" ht="19.5" x14ac:dyDescent="0.25">
      <c r="B145" s="146"/>
      <c r="C145" s="122" t="s">
        <v>4827</v>
      </c>
      <c r="D145" s="28" t="s">
        <v>5717</v>
      </c>
      <c r="E145" s="108">
        <v>45390</v>
      </c>
      <c r="F145" s="28"/>
      <c r="G145" s="28"/>
      <c r="H145" s="124" t="s">
        <v>4975</v>
      </c>
      <c r="I145" s="28"/>
      <c r="J145" s="28"/>
      <c r="K145" s="28"/>
      <c r="L145" s="28"/>
      <c r="M145" s="28"/>
      <c r="N145" s="28"/>
      <c r="O145" s="28"/>
      <c r="P145" s="28"/>
      <c r="Q145" s="28"/>
    </row>
    <row r="146" spans="2:17" ht="19.5" x14ac:dyDescent="0.25">
      <c r="B146" s="146"/>
      <c r="C146" s="122" t="s">
        <v>4827</v>
      </c>
      <c r="D146" s="28" t="s">
        <v>5717</v>
      </c>
      <c r="E146" s="108">
        <v>45393</v>
      </c>
      <c r="F146" s="28"/>
      <c r="G146" s="28"/>
      <c r="H146" s="124" t="s">
        <v>4108</v>
      </c>
      <c r="I146" s="28"/>
      <c r="J146" s="28"/>
      <c r="K146" s="28"/>
      <c r="L146" s="28"/>
      <c r="M146" s="28"/>
      <c r="N146" s="28"/>
      <c r="O146" s="28"/>
      <c r="P146" s="28"/>
      <c r="Q146" s="28"/>
    </row>
    <row r="147" spans="2:17" ht="19.5" x14ac:dyDescent="0.25">
      <c r="B147" s="146"/>
      <c r="C147" s="122" t="s">
        <v>4827</v>
      </c>
      <c r="D147" s="28" t="s">
        <v>5717</v>
      </c>
      <c r="E147" s="108">
        <v>45394</v>
      </c>
      <c r="F147" s="28"/>
      <c r="G147" s="28"/>
      <c r="H147" s="124" t="s">
        <v>4108</v>
      </c>
      <c r="I147" s="28"/>
      <c r="J147" s="28"/>
      <c r="K147" s="28"/>
      <c r="L147" s="28"/>
      <c r="M147" s="28"/>
      <c r="N147" s="28"/>
      <c r="O147" s="28"/>
      <c r="P147" s="28"/>
      <c r="Q147" s="28"/>
    </row>
    <row r="148" spans="2:17" ht="19.5" x14ac:dyDescent="0.25">
      <c r="B148" s="146"/>
      <c r="C148" s="122" t="s">
        <v>4827</v>
      </c>
      <c r="D148" s="28" t="s">
        <v>5717</v>
      </c>
      <c r="E148" s="108">
        <v>45398</v>
      </c>
      <c r="F148" s="28"/>
      <c r="G148" s="28"/>
      <c r="H148" s="124" t="s">
        <v>406</v>
      </c>
      <c r="I148" s="28"/>
      <c r="J148" s="28"/>
      <c r="K148" s="28"/>
      <c r="L148" s="28"/>
      <c r="M148" s="28"/>
      <c r="N148" s="28"/>
      <c r="O148" s="28"/>
      <c r="P148" s="28"/>
      <c r="Q148" s="28"/>
    </row>
    <row r="149" spans="2:17" ht="19.5" x14ac:dyDescent="0.25">
      <c r="B149" s="146"/>
      <c r="C149" s="122" t="s">
        <v>4827</v>
      </c>
      <c r="D149" s="28" t="s">
        <v>5717</v>
      </c>
      <c r="E149" s="108">
        <v>45400</v>
      </c>
      <c r="F149" s="28"/>
      <c r="G149" s="28"/>
      <c r="H149" s="124" t="s">
        <v>406</v>
      </c>
      <c r="I149" s="28"/>
      <c r="J149" s="28"/>
      <c r="K149" s="28"/>
      <c r="L149" s="28"/>
      <c r="M149" s="28"/>
      <c r="N149" s="28"/>
      <c r="O149" s="28"/>
      <c r="P149" s="28"/>
      <c r="Q149" s="28"/>
    </row>
    <row r="150" spans="2:17" ht="19.5" x14ac:dyDescent="0.25">
      <c r="B150" s="146"/>
      <c r="C150" s="122" t="s">
        <v>4827</v>
      </c>
      <c r="D150" s="28" t="s">
        <v>5717</v>
      </c>
      <c r="E150" s="108">
        <v>45400</v>
      </c>
      <c r="F150" s="28"/>
      <c r="G150" s="28"/>
      <c r="H150" s="124" t="s">
        <v>406</v>
      </c>
      <c r="I150" s="28"/>
      <c r="J150" s="28"/>
      <c r="K150" s="28"/>
      <c r="L150" s="28"/>
      <c r="M150" s="28"/>
      <c r="N150" s="28"/>
      <c r="O150" s="28"/>
      <c r="P150" s="28"/>
      <c r="Q150" s="28"/>
    </row>
    <row r="151" spans="2:17" ht="19.5" x14ac:dyDescent="0.25">
      <c r="B151" s="146"/>
      <c r="C151" s="122" t="s">
        <v>4827</v>
      </c>
      <c r="D151" s="28" t="s">
        <v>5717</v>
      </c>
      <c r="E151" s="108">
        <v>45402</v>
      </c>
      <c r="F151" s="28"/>
      <c r="G151" s="28"/>
      <c r="H151" s="124" t="s">
        <v>406</v>
      </c>
      <c r="I151" s="28"/>
      <c r="J151" s="28"/>
      <c r="K151" s="28"/>
      <c r="L151" s="28"/>
      <c r="M151" s="28"/>
      <c r="N151" s="28"/>
      <c r="O151" s="28"/>
      <c r="P151" s="28"/>
      <c r="Q151" s="28"/>
    </row>
    <row r="152" spans="2:17" ht="58.5" x14ac:dyDescent="0.25">
      <c r="B152" s="146"/>
      <c r="C152" s="122" t="s">
        <v>4827</v>
      </c>
      <c r="D152" s="28" t="s">
        <v>5717</v>
      </c>
      <c r="E152" s="108">
        <v>45405</v>
      </c>
      <c r="F152" s="28"/>
      <c r="G152" s="28"/>
      <c r="H152" s="124" t="s">
        <v>5718</v>
      </c>
      <c r="I152" s="28"/>
      <c r="J152" s="28"/>
      <c r="K152" s="28"/>
      <c r="L152" s="28"/>
      <c r="M152" s="28"/>
      <c r="N152" s="28"/>
      <c r="O152" s="28"/>
      <c r="P152" s="28"/>
      <c r="Q152" s="28"/>
    </row>
    <row r="153" spans="2:17" ht="19.5" x14ac:dyDescent="0.25">
      <c r="B153" s="146"/>
      <c r="C153" s="122" t="s">
        <v>4827</v>
      </c>
      <c r="D153" s="28" t="s">
        <v>5717</v>
      </c>
      <c r="E153" s="108">
        <v>45406</v>
      </c>
      <c r="F153" s="28"/>
      <c r="G153" s="28"/>
      <c r="H153" s="124" t="s">
        <v>406</v>
      </c>
      <c r="I153" s="28"/>
      <c r="J153" s="28"/>
      <c r="K153" s="28"/>
      <c r="L153" s="28"/>
      <c r="M153" s="28"/>
      <c r="N153" s="28"/>
      <c r="O153" s="28"/>
      <c r="P153" s="28"/>
      <c r="Q153" s="28"/>
    </row>
    <row r="154" spans="2:17" ht="19.5" x14ac:dyDescent="0.25">
      <c r="B154" s="146"/>
      <c r="C154" s="122" t="s">
        <v>4827</v>
      </c>
      <c r="D154" s="28" t="s">
        <v>5717</v>
      </c>
      <c r="E154" s="108">
        <v>45407</v>
      </c>
      <c r="F154" s="28"/>
      <c r="G154" s="28"/>
      <c r="H154" s="124" t="s">
        <v>406</v>
      </c>
      <c r="I154" s="28"/>
      <c r="J154" s="28"/>
      <c r="K154" s="28"/>
      <c r="L154" s="28"/>
      <c r="M154" s="28"/>
      <c r="N154" s="28"/>
      <c r="O154" s="28"/>
      <c r="P154" s="28"/>
      <c r="Q154" s="28"/>
    </row>
    <row r="155" spans="2:17" ht="19.5" x14ac:dyDescent="0.25">
      <c r="B155" s="146"/>
      <c r="C155" s="122" t="s">
        <v>4827</v>
      </c>
      <c r="D155" s="28" t="s">
        <v>5717</v>
      </c>
      <c r="E155" s="108">
        <v>45410</v>
      </c>
      <c r="F155" s="28"/>
      <c r="G155" s="28"/>
      <c r="H155" s="124" t="s">
        <v>406</v>
      </c>
      <c r="I155" s="28"/>
      <c r="J155" s="28"/>
      <c r="K155" s="28"/>
      <c r="L155" s="28"/>
      <c r="M155" s="28"/>
      <c r="N155" s="28"/>
      <c r="O155" s="28"/>
      <c r="P155" s="28"/>
      <c r="Q155" s="28"/>
    </row>
    <row r="156" spans="2:17" ht="19.5" x14ac:dyDescent="0.25">
      <c r="B156" s="146"/>
      <c r="C156" s="122" t="s">
        <v>4827</v>
      </c>
      <c r="D156" s="28" t="s">
        <v>5717</v>
      </c>
      <c r="E156" s="108">
        <v>45410</v>
      </c>
      <c r="F156" s="28"/>
      <c r="G156" s="28"/>
      <c r="H156" s="124" t="s">
        <v>406</v>
      </c>
      <c r="I156" s="28"/>
      <c r="J156" s="28"/>
      <c r="K156" s="28"/>
      <c r="L156" s="28"/>
      <c r="M156" s="28"/>
      <c r="N156" s="28"/>
      <c r="O156" s="28"/>
      <c r="P156" s="28"/>
      <c r="Q156" s="28"/>
    </row>
    <row r="157" spans="2:17" ht="19.5" x14ac:dyDescent="0.25">
      <c r="B157" s="146"/>
      <c r="C157" s="122" t="s">
        <v>4827</v>
      </c>
      <c r="D157" s="28" t="s">
        <v>5717</v>
      </c>
      <c r="E157" s="108">
        <v>45411</v>
      </c>
      <c r="F157" s="28"/>
      <c r="G157" s="28"/>
      <c r="H157" s="124" t="s">
        <v>406</v>
      </c>
      <c r="I157" s="28"/>
      <c r="J157" s="28"/>
      <c r="K157" s="28"/>
      <c r="L157" s="28"/>
      <c r="M157" s="28"/>
      <c r="N157" s="28"/>
      <c r="O157" s="28"/>
      <c r="P157" s="28"/>
      <c r="Q157" s="28"/>
    </row>
    <row r="158" spans="2:17" ht="19.5" x14ac:dyDescent="0.25">
      <c r="B158" s="146"/>
      <c r="C158" s="122" t="s">
        <v>4827</v>
      </c>
      <c r="D158" s="28" t="s">
        <v>5717</v>
      </c>
      <c r="E158" s="108">
        <v>45411</v>
      </c>
      <c r="F158" s="28"/>
      <c r="G158" s="28"/>
      <c r="H158" s="124" t="s">
        <v>406</v>
      </c>
      <c r="I158" s="28"/>
      <c r="J158" s="28"/>
      <c r="K158" s="28"/>
      <c r="L158" s="28"/>
      <c r="M158" s="28"/>
      <c r="N158" s="28"/>
      <c r="O158" s="28"/>
      <c r="P158" s="28"/>
      <c r="Q158" s="28"/>
    </row>
    <row r="159" spans="2:17" ht="19.5" x14ac:dyDescent="0.25">
      <c r="B159" s="146"/>
      <c r="C159" s="122" t="s">
        <v>4827</v>
      </c>
      <c r="D159" s="28" t="s">
        <v>5717</v>
      </c>
      <c r="E159" s="108">
        <v>45389</v>
      </c>
      <c r="F159" s="28"/>
      <c r="G159" s="28"/>
      <c r="H159" s="124"/>
      <c r="I159" s="28" t="s">
        <v>2443</v>
      </c>
      <c r="J159" s="28"/>
      <c r="K159" s="28"/>
      <c r="L159" s="28"/>
      <c r="M159" s="28"/>
      <c r="N159" s="28"/>
      <c r="O159" s="28"/>
      <c r="P159" s="28"/>
      <c r="Q159" s="28"/>
    </row>
    <row r="160" spans="2:17" ht="19.5" x14ac:dyDescent="0.25">
      <c r="B160" s="146"/>
      <c r="C160" s="122" t="s">
        <v>4827</v>
      </c>
      <c r="D160" s="28" t="s">
        <v>5717</v>
      </c>
      <c r="E160" s="108">
        <v>45399</v>
      </c>
      <c r="F160" s="28"/>
      <c r="G160" s="28"/>
      <c r="H160" s="124"/>
      <c r="I160" s="28" t="s">
        <v>2443</v>
      </c>
      <c r="J160" s="28"/>
      <c r="K160" s="28"/>
      <c r="L160" s="28"/>
      <c r="M160" s="28"/>
      <c r="N160" s="28"/>
      <c r="O160" s="28"/>
      <c r="P160" s="28"/>
      <c r="Q160" s="28"/>
    </row>
    <row r="161" spans="2:17" ht="19.5" x14ac:dyDescent="0.25">
      <c r="B161" s="146"/>
      <c r="C161" s="122" t="s">
        <v>4827</v>
      </c>
      <c r="D161" s="28" t="s">
        <v>5717</v>
      </c>
      <c r="E161" s="108">
        <v>45400</v>
      </c>
      <c r="F161" s="28"/>
      <c r="G161" s="28"/>
      <c r="H161" s="124"/>
      <c r="I161" s="28" t="s">
        <v>2443</v>
      </c>
      <c r="J161" s="28"/>
      <c r="K161" s="28"/>
      <c r="L161" s="28"/>
      <c r="M161" s="28"/>
      <c r="N161" s="28"/>
      <c r="O161" s="28"/>
      <c r="P161" s="28"/>
      <c r="Q161" s="28"/>
    </row>
    <row r="162" spans="2:17" ht="19.5" x14ac:dyDescent="0.25">
      <c r="B162" s="146"/>
      <c r="C162" s="122"/>
      <c r="D162" s="28"/>
      <c r="E162" s="108"/>
      <c r="F162" s="28"/>
      <c r="G162" s="28"/>
      <c r="H162" s="124"/>
      <c r="I162" s="28"/>
      <c r="J162" s="28"/>
      <c r="K162" s="28"/>
      <c r="L162" s="28"/>
      <c r="M162" s="28"/>
      <c r="N162" s="28"/>
      <c r="O162" s="28"/>
      <c r="P162" s="28"/>
      <c r="Q162" s="28"/>
    </row>
    <row r="163" spans="2:17" ht="19.5" x14ac:dyDescent="0.25">
      <c r="B163" s="146"/>
      <c r="C163" s="122"/>
      <c r="D163" s="28"/>
      <c r="E163" s="108"/>
      <c r="F163" s="28"/>
      <c r="G163" s="28"/>
      <c r="H163" s="124"/>
      <c r="I163" s="28"/>
      <c r="J163" s="28"/>
      <c r="K163" s="28"/>
      <c r="L163" s="28"/>
      <c r="M163" s="28"/>
      <c r="N163" s="28"/>
      <c r="O163" s="28"/>
      <c r="P163" s="28"/>
      <c r="Q163" s="28"/>
    </row>
    <row r="164" spans="2:17" ht="19.5" x14ac:dyDescent="0.25">
      <c r="B164" s="146"/>
      <c r="C164" s="122"/>
      <c r="D164" s="28"/>
      <c r="E164" s="108"/>
      <c r="F164" s="28"/>
      <c r="G164" s="28"/>
      <c r="H164" s="124"/>
      <c r="I164" s="28"/>
      <c r="J164" s="28"/>
      <c r="K164" s="28"/>
      <c r="L164" s="28"/>
      <c r="M164" s="28"/>
      <c r="N164" s="28"/>
      <c r="O164" s="28"/>
      <c r="P164" s="28"/>
      <c r="Q164" s="28"/>
    </row>
    <row r="165" spans="2:17" ht="19.5" x14ac:dyDescent="0.25">
      <c r="B165" s="146"/>
      <c r="C165" s="122"/>
      <c r="D165" s="28"/>
      <c r="E165" s="108"/>
      <c r="F165" s="28"/>
      <c r="G165" s="28"/>
      <c r="H165" s="124"/>
      <c r="I165" s="28"/>
      <c r="J165" s="28"/>
      <c r="K165" s="28"/>
      <c r="L165" s="28"/>
      <c r="M165" s="28"/>
      <c r="N165" s="28"/>
      <c r="O165" s="28"/>
      <c r="P165" s="28"/>
      <c r="Q165" s="28"/>
    </row>
    <row r="166" spans="2:17" ht="19.5" x14ac:dyDescent="0.25">
      <c r="B166" s="146"/>
      <c r="C166" s="122"/>
      <c r="D166" s="28"/>
      <c r="E166" s="108"/>
      <c r="F166" s="28"/>
      <c r="G166" s="28"/>
      <c r="H166" s="124"/>
      <c r="I166" s="28"/>
      <c r="J166" s="28"/>
      <c r="K166" s="28"/>
      <c r="L166" s="28"/>
      <c r="M166" s="28"/>
      <c r="N166" s="28"/>
      <c r="O166" s="28"/>
      <c r="P166" s="28"/>
      <c r="Q166" s="28"/>
    </row>
    <row r="167" spans="2:17" ht="19.5" x14ac:dyDescent="0.25">
      <c r="B167" s="146"/>
      <c r="C167" s="122"/>
      <c r="D167" s="28"/>
      <c r="E167" s="108"/>
      <c r="F167" s="28"/>
      <c r="G167" s="28"/>
      <c r="H167" s="124"/>
      <c r="I167" s="28"/>
      <c r="J167" s="28"/>
      <c r="K167" s="28"/>
      <c r="L167" s="28"/>
      <c r="M167" s="28"/>
      <c r="N167" s="28"/>
      <c r="O167" s="28"/>
      <c r="P167" s="28"/>
      <c r="Q167" s="28"/>
    </row>
    <row r="168" spans="2:17" ht="19.5" x14ac:dyDescent="0.25">
      <c r="B168" s="146"/>
      <c r="C168" s="122"/>
      <c r="D168" s="28"/>
      <c r="E168" s="108"/>
      <c r="F168" s="28"/>
      <c r="G168" s="28"/>
      <c r="H168" s="124"/>
      <c r="I168" s="28"/>
      <c r="J168" s="28"/>
      <c r="K168" s="28"/>
      <c r="L168" s="28"/>
      <c r="M168" s="28"/>
      <c r="N168" s="28"/>
      <c r="O168" s="28"/>
      <c r="P168" s="28"/>
      <c r="Q168" s="28"/>
    </row>
    <row r="169" spans="2:17" ht="19.5" x14ac:dyDescent="0.25">
      <c r="B169" s="146"/>
      <c r="C169" s="122"/>
      <c r="D169" s="28"/>
      <c r="E169" s="108"/>
      <c r="F169" s="28"/>
      <c r="G169" s="28"/>
      <c r="H169" s="124"/>
      <c r="I169" s="28"/>
      <c r="J169" s="28"/>
      <c r="K169" s="28"/>
      <c r="L169" s="28"/>
      <c r="M169" s="28"/>
      <c r="N169" s="28"/>
      <c r="O169" s="28"/>
      <c r="P169" s="28"/>
      <c r="Q169" s="28"/>
    </row>
    <row r="170" spans="2:17" ht="19.5" x14ac:dyDescent="0.25">
      <c r="B170" s="146"/>
      <c r="C170" s="122"/>
      <c r="D170" s="28"/>
      <c r="E170" s="108"/>
      <c r="F170" s="28"/>
      <c r="G170" s="28"/>
      <c r="H170" s="124"/>
      <c r="I170" s="28"/>
      <c r="J170" s="28"/>
      <c r="K170" s="28"/>
      <c r="L170" s="28"/>
      <c r="M170" s="28"/>
      <c r="N170" s="28"/>
      <c r="O170" s="28"/>
      <c r="P170" s="28"/>
      <c r="Q170" s="28"/>
    </row>
    <row r="171" spans="2:17" ht="19.5" x14ac:dyDescent="0.25">
      <c r="B171" s="146"/>
      <c r="C171" s="122"/>
      <c r="D171" s="28"/>
      <c r="E171" s="108"/>
      <c r="F171" s="28"/>
      <c r="G171" s="28"/>
      <c r="H171" s="124"/>
      <c r="I171" s="28"/>
      <c r="J171" s="28"/>
      <c r="K171" s="28"/>
      <c r="L171" s="28"/>
      <c r="M171" s="28"/>
      <c r="N171" s="28"/>
      <c r="O171" s="28"/>
      <c r="P171" s="28"/>
      <c r="Q171" s="28"/>
    </row>
    <row r="172" spans="2:17" ht="19.5" x14ac:dyDescent="0.25">
      <c r="B172" s="146"/>
      <c r="C172" s="122"/>
      <c r="D172" s="28"/>
      <c r="E172" s="108"/>
      <c r="F172" s="28"/>
      <c r="G172" s="28"/>
      <c r="H172" s="124"/>
      <c r="I172" s="28"/>
      <c r="J172" s="28"/>
      <c r="K172" s="28"/>
      <c r="L172" s="28"/>
      <c r="M172" s="28"/>
      <c r="N172" s="28"/>
      <c r="O172" s="28"/>
      <c r="P172" s="28"/>
      <c r="Q172" s="28"/>
    </row>
    <row r="173" spans="2:17" ht="19.5" x14ac:dyDescent="0.25">
      <c r="B173" s="146"/>
      <c r="C173" s="122"/>
      <c r="D173" s="28"/>
      <c r="E173" s="108"/>
      <c r="F173" s="28"/>
      <c r="G173" s="28"/>
      <c r="H173" s="124"/>
      <c r="I173" s="28"/>
      <c r="J173" s="28"/>
      <c r="K173" s="28"/>
      <c r="L173" s="28"/>
      <c r="M173" s="28"/>
      <c r="N173" s="28"/>
      <c r="O173" s="28"/>
      <c r="P173" s="28"/>
      <c r="Q173" s="28"/>
    </row>
    <row r="174" spans="2:17" ht="19.5" x14ac:dyDescent="0.25">
      <c r="B174" s="146"/>
      <c r="C174" s="122"/>
      <c r="D174" s="28"/>
      <c r="E174" s="108"/>
      <c r="F174" s="28"/>
      <c r="G174" s="28"/>
      <c r="H174" s="124"/>
      <c r="I174" s="28"/>
      <c r="J174" s="28"/>
      <c r="K174" s="28"/>
      <c r="L174" s="28"/>
      <c r="M174" s="28"/>
      <c r="N174" s="28"/>
      <c r="O174" s="28"/>
      <c r="P174" s="28"/>
      <c r="Q174" s="28"/>
    </row>
    <row r="175" spans="2:17" ht="19.5" x14ac:dyDescent="0.25">
      <c r="B175" s="146"/>
      <c r="C175" s="122"/>
      <c r="D175" s="28"/>
      <c r="E175" s="108"/>
      <c r="F175" s="28"/>
      <c r="G175" s="28"/>
      <c r="H175" s="124"/>
      <c r="I175" s="28"/>
      <c r="J175" s="28"/>
      <c r="K175" s="28"/>
      <c r="L175" s="28"/>
      <c r="M175" s="28"/>
      <c r="N175" s="28"/>
      <c r="O175" s="28"/>
      <c r="P175" s="28"/>
      <c r="Q175" s="28"/>
    </row>
    <row r="176" spans="2:17" ht="19.5" x14ac:dyDescent="0.25">
      <c r="B176" s="146"/>
      <c r="C176" s="122"/>
      <c r="D176" s="28"/>
      <c r="E176" s="108"/>
      <c r="F176" s="28"/>
      <c r="G176" s="28"/>
      <c r="H176" s="124"/>
      <c r="I176" s="28"/>
      <c r="J176" s="28"/>
      <c r="K176" s="28"/>
      <c r="L176" s="28"/>
      <c r="M176" s="28"/>
      <c r="N176" s="28"/>
      <c r="O176" s="28"/>
      <c r="P176" s="28"/>
      <c r="Q176" s="28"/>
    </row>
    <row r="177" spans="2:17" ht="19.5" x14ac:dyDescent="0.25">
      <c r="B177" s="146"/>
      <c r="C177" s="122"/>
      <c r="D177" s="28"/>
      <c r="E177" s="108"/>
      <c r="F177" s="28"/>
      <c r="G177" s="28"/>
      <c r="H177" s="124"/>
      <c r="I177" s="28"/>
      <c r="J177" s="28"/>
      <c r="K177" s="28"/>
      <c r="L177" s="28"/>
      <c r="M177" s="28"/>
      <c r="N177" s="28"/>
      <c r="O177" s="28"/>
      <c r="P177" s="28"/>
      <c r="Q177" s="28"/>
    </row>
    <row r="178" spans="2:17" ht="19.5" x14ac:dyDescent="0.25">
      <c r="B178" s="146"/>
      <c r="C178" s="122"/>
      <c r="D178" s="28"/>
      <c r="E178" s="108"/>
      <c r="F178" s="28"/>
      <c r="G178" s="28"/>
      <c r="H178" s="124"/>
      <c r="I178" s="28"/>
      <c r="J178" s="28"/>
      <c r="K178" s="28"/>
      <c r="L178" s="28"/>
      <c r="M178" s="28"/>
      <c r="N178" s="28"/>
      <c r="O178" s="28"/>
      <c r="P178" s="28"/>
      <c r="Q178" s="28"/>
    </row>
    <row r="179" spans="2:17" ht="19.5" x14ac:dyDescent="0.25">
      <c r="B179" s="146"/>
      <c r="C179" s="122"/>
      <c r="D179" s="28"/>
      <c r="E179" s="108"/>
      <c r="F179" s="28"/>
      <c r="G179" s="28"/>
      <c r="H179" s="124"/>
      <c r="I179" s="28"/>
      <c r="J179" s="28"/>
      <c r="K179" s="28"/>
      <c r="L179" s="28"/>
      <c r="M179" s="28"/>
      <c r="N179" s="28"/>
      <c r="O179" s="28"/>
      <c r="P179" s="28"/>
      <c r="Q179" s="28"/>
    </row>
    <row r="180" spans="2:17" ht="19.5" x14ac:dyDescent="0.25">
      <c r="B180" s="146"/>
      <c r="C180" s="122"/>
      <c r="D180" s="28"/>
      <c r="E180" s="108"/>
      <c r="F180" s="28"/>
      <c r="G180" s="28"/>
      <c r="H180" s="124"/>
      <c r="I180" s="28"/>
      <c r="J180" s="28"/>
      <c r="K180" s="28"/>
      <c r="L180" s="28"/>
      <c r="M180" s="28"/>
      <c r="N180" s="28"/>
      <c r="O180" s="28"/>
      <c r="P180" s="28"/>
      <c r="Q180" s="28"/>
    </row>
    <row r="181" spans="2:17" ht="19.5" x14ac:dyDescent="0.25">
      <c r="B181" s="146"/>
      <c r="C181" s="122"/>
      <c r="D181" s="28"/>
      <c r="E181" s="108"/>
      <c r="F181" s="28"/>
      <c r="G181" s="28"/>
      <c r="H181" s="124"/>
      <c r="I181" s="28"/>
      <c r="J181" s="28"/>
      <c r="K181" s="28"/>
      <c r="L181" s="28"/>
      <c r="M181" s="28"/>
      <c r="N181" s="28"/>
      <c r="O181" s="28"/>
      <c r="P181" s="28"/>
      <c r="Q181" s="28"/>
    </row>
    <row r="182" spans="2:17" ht="19.5" x14ac:dyDescent="0.25">
      <c r="B182" s="146"/>
      <c r="C182" s="122"/>
      <c r="D182" s="28"/>
      <c r="E182" s="108"/>
      <c r="F182" s="28"/>
      <c r="G182" s="28"/>
      <c r="H182" s="124"/>
      <c r="I182" s="28"/>
      <c r="J182" s="28"/>
      <c r="K182" s="28"/>
      <c r="L182" s="28"/>
      <c r="M182" s="28"/>
      <c r="N182" s="28"/>
      <c r="O182" s="28"/>
      <c r="P182" s="28"/>
      <c r="Q182" s="28"/>
    </row>
    <row r="183" spans="2:17" ht="19.5" x14ac:dyDescent="0.25">
      <c r="B183" s="146"/>
      <c r="C183" s="122"/>
      <c r="D183" s="28"/>
      <c r="E183" s="108"/>
      <c r="F183" s="28"/>
      <c r="G183" s="28"/>
      <c r="H183" s="124"/>
      <c r="I183" s="28"/>
      <c r="J183" s="28"/>
      <c r="K183" s="28"/>
      <c r="L183" s="28"/>
      <c r="M183" s="28"/>
      <c r="N183" s="28"/>
      <c r="O183" s="28"/>
      <c r="P183" s="28"/>
      <c r="Q183" s="28"/>
    </row>
    <row r="184" spans="2:17" ht="19.5" x14ac:dyDescent="0.25">
      <c r="B184" s="146"/>
      <c r="C184" s="122"/>
      <c r="D184" s="28"/>
      <c r="E184" s="108"/>
      <c r="F184" s="28"/>
      <c r="G184" s="28"/>
      <c r="H184" s="124"/>
      <c r="I184" s="28"/>
      <c r="J184" s="28"/>
      <c r="K184" s="28"/>
      <c r="L184" s="28"/>
      <c r="M184" s="28"/>
      <c r="N184" s="28"/>
      <c r="O184" s="28"/>
      <c r="P184" s="28"/>
      <c r="Q184" s="28"/>
    </row>
    <row r="185" spans="2:17" ht="19.5" x14ac:dyDescent="0.25">
      <c r="B185" s="146"/>
      <c r="C185" s="122"/>
      <c r="D185" s="28"/>
      <c r="E185" s="108"/>
      <c r="F185" s="28"/>
      <c r="G185" s="28"/>
      <c r="H185" s="124"/>
      <c r="I185" s="28"/>
      <c r="J185" s="28"/>
      <c r="K185" s="28"/>
      <c r="L185" s="28"/>
      <c r="M185" s="28"/>
      <c r="N185" s="28"/>
      <c r="O185" s="28"/>
      <c r="P185" s="28"/>
      <c r="Q185" s="28"/>
    </row>
    <row r="186" spans="2:17" ht="19.5" x14ac:dyDescent="0.25">
      <c r="B186" s="146"/>
      <c r="C186" s="122"/>
      <c r="D186" s="28"/>
      <c r="E186" s="108"/>
      <c r="F186" s="28"/>
      <c r="G186" s="28"/>
      <c r="H186" s="124"/>
      <c r="I186" s="28"/>
      <c r="J186" s="28"/>
      <c r="K186" s="28"/>
      <c r="L186" s="28"/>
      <c r="M186" s="28"/>
      <c r="N186" s="28"/>
      <c r="O186" s="28"/>
      <c r="P186" s="28"/>
      <c r="Q186" s="28"/>
    </row>
    <row r="187" spans="2:17" ht="19.5" x14ac:dyDescent="0.25">
      <c r="B187" s="146"/>
      <c r="C187" s="122"/>
      <c r="D187" s="28"/>
      <c r="E187" s="108"/>
      <c r="F187" s="28"/>
      <c r="G187" s="28"/>
      <c r="H187" s="124"/>
      <c r="I187" s="28"/>
      <c r="J187" s="28"/>
      <c r="K187" s="28"/>
      <c r="L187" s="28"/>
      <c r="M187" s="28"/>
      <c r="N187" s="28"/>
      <c r="O187" s="28"/>
      <c r="P187" s="28"/>
      <c r="Q187" s="28"/>
    </row>
    <row r="188" spans="2:17" ht="19.5" x14ac:dyDescent="0.25">
      <c r="B188" s="146"/>
      <c r="C188" s="122"/>
      <c r="D188" s="28"/>
      <c r="E188" s="108"/>
      <c r="F188" s="28"/>
      <c r="G188" s="28"/>
      <c r="H188" s="124"/>
      <c r="I188" s="28"/>
      <c r="J188" s="28"/>
      <c r="K188" s="28"/>
      <c r="L188" s="28"/>
      <c r="M188" s="28"/>
      <c r="N188" s="28"/>
      <c r="O188" s="28"/>
      <c r="P188" s="28"/>
      <c r="Q188" s="28"/>
    </row>
    <row r="189" spans="2:17" ht="19.5" x14ac:dyDescent="0.25">
      <c r="B189" s="146"/>
      <c r="C189" s="122"/>
      <c r="D189" s="28"/>
      <c r="E189" s="108"/>
      <c r="F189" s="28"/>
      <c r="G189" s="28"/>
      <c r="H189" s="124"/>
      <c r="I189" s="28"/>
      <c r="J189" s="28"/>
      <c r="K189" s="28"/>
      <c r="L189" s="28"/>
      <c r="M189" s="28"/>
      <c r="N189" s="28"/>
      <c r="O189" s="28"/>
      <c r="P189" s="28"/>
      <c r="Q189" s="28"/>
    </row>
    <row r="190" spans="2:17" ht="19.5" x14ac:dyDescent="0.25">
      <c r="B190" s="146"/>
      <c r="C190" s="122"/>
      <c r="D190" s="28"/>
      <c r="E190" s="108"/>
      <c r="F190" s="28"/>
      <c r="G190" s="28"/>
      <c r="H190" s="124"/>
      <c r="I190" s="28"/>
      <c r="J190" s="28"/>
      <c r="K190" s="28"/>
      <c r="L190" s="28"/>
      <c r="M190" s="28"/>
      <c r="N190" s="28"/>
      <c r="O190" s="28"/>
      <c r="P190" s="28"/>
      <c r="Q190" s="28"/>
    </row>
    <row r="191" spans="2:17" ht="19.5" x14ac:dyDescent="0.25">
      <c r="B191" s="146"/>
      <c r="C191" s="122"/>
      <c r="D191" s="28"/>
      <c r="E191" s="108"/>
      <c r="F191" s="28"/>
      <c r="G191" s="28"/>
      <c r="H191" s="124"/>
      <c r="I191" s="28"/>
      <c r="J191" s="28"/>
      <c r="K191" s="28"/>
      <c r="L191" s="28"/>
      <c r="M191" s="28"/>
      <c r="N191" s="28"/>
      <c r="O191" s="28"/>
      <c r="P191" s="28"/>
      <c r="Q191" s="28"/>
    </row>
    <row r="192" spans="2:17" ht="19.5" x14ac:dyDescent="0.25">
      <c r="B192" s="146"/>
      <c r="C192" s="122"/>
      <c r="D192" s="28"/>
      <c r="E192" s="108"/>
      <c r="F192" s="28"/>
      <c r="G192" s="28"/>
      <c r="H192" s="124"/>
      <c r="I192" s="28"/>
      <c r="J192" s="28"/>
      <c r="K192" s="28"/>
      <c r="L192" s="28"/>
      <c r="M192" s="28"/>
      <c r="N192" s="28"/>
      <c r="O192" s="28"/>
      <c r="P192" s="28"/>
      <c r="Q192" s="28"/>
    </row>
    <row r="193" spans="2:17" ht="19.5" x14ac:dyDescent="0.25">
      <c r="B193" s="146"/>
      <c r="C193" s="122"/>
      <c r="D193" s="28"/>
      <c r="E193" s="108"/>
      <c r="F193" s="28"/>
      <c r="G193" s="28"/>
      <c r="H193" s="124"/>
      <c r="I193" s="28"/>
      <c r="J193" s="28"/>
      <c r="K193" s="28"/>
      <c r="L193" s="28"/>
      <c r="M193" s="28"/>
      <c r="N193" s="28"/>
      <c r="O193" s="28"/>
      <c r="P193" s="28"/>
      <c r="Q193" s="28"/>
    </row>
    <row r="194" spans="2:17" ht="19.5" x14ac:dyDescent="0.25">
      <c r="B194" s="146"/>
      <c r="C194" s="122"/>
      <c r="D194" s="28"/>
      <c r="E194" s="108"/>
      <c r="F194" s="28"/>
      <c r="G194" s="28"/>
      <c r="H194" s="124"/>
      <c r="I194" s="28"/>
      <c r="J194" s="28"/>
      <c r="K194" s="28"/>
      <c r="L194" s="28"/>
      <c r="M194" s="28"/>
      <c r="N194" s="28"/>
      <c r="O194" s="28"/>
      <c r="P194" s="28"/>
      <c r="Q194" s="28"/>
    </row>
    <row r="195" spans="2:17" ht="19.5" x14ac:dyDescent="0.25">
      <c r="B195" s="146"/>
      <c r="C195" s="122"/>
      <c r="D195" s="28"/>
      <c r="E195" s="108"/>
      <c r="F195" s="28"/>
      <c r="G195" s="28"/>
      <c r="H195" s="124"/>
      <c r="I195" s="28"/>
      <c r="J195" s="28"/>
      <c r="K195" s="28"/>
      <c r="L195" s="28"/>
      <c r="M195" s="28"/>
      <c r="N195" s="28"/>
      <c r="O195" s="28"/>
      <c r="P195" s="28"/>
      <c r="Q195" s="28"/>
    </row>
    <row r="196" spans="2:17" ht="19.5" x14ac:dyDescent="0.25">
      <c r="B196" s="146"/>
      <c r="C196" s="122"/>
      <c r="D196" s="28"/>
      <c r="E196" s="108"/>
      <c r="F196" s="28"/>
      <c r="G196" s="28"/>
      <c r="H196" s="124"/>
      <c r="I196" s="28"/>
      <c r="J196" s="28"/>
      <c r="K196" s="28"/>
      <c r="L196" s="28"/>
      <c r="M196" s="28"/>
      <c r="N196" s="28"/>
      <c r="O196" s="28"/>
      <c r="P196" s="28"/>
      <c r="Q196" s="28"/>
    </row>
    <row r="197" spans="2:17" ht="19.5" x14ac:dyDescent="0.25">
      <c r="B197" s="146"/>
      <c r="C197" s="122"/>
      <c r="D197" s="28"/>
      <c r="E197" s="108"/>
      <c r="F197" s="28"/>
      <c r="G197" s="28"/>
      <c r="H197" s="124"/>
      <c r="I197" s="28"/>
      <c r="J197" s="28"/>
      <c r="K197" s="28"/>
      <c r="L197" s="28"/>
      <c r="M197" s="28"/>
      <c r="N197" s="28"/>
      <c r="O197" s="28"/>
      <c r="P197" s="28"/>
      <c r="Q197" s="28"/>
    </row>
    <row r="198" spans="2:17" ht="19.5" x14ac:dyDescent="0.25">
      <c r="B198" s="146"/>
      <c r="C198" s="122"/>
      <c r="D198" s="28"/>
      <c r="E198" s="108"/>
      <c r="F198" s="28"/>
      <c r="G198" s="28"/>
      <c r="H198" s="124"/>
      <c r="I198" s="28"/>
      <c r="J198" s="28"/>
      <c r="K198" s="28"/>
      <c r="L198" s="28"/>
      <c r="M198" s="28"/>
      <c r="N198" s="28"/>
      <c r="O198" s="28"/>
      <c r="P198" s="28"/>
      <c r="Q198" s="28"/>
    </row>
    <row r="199" spans="2:17" ht="19.5" x14ac:dyDescent="0.25">
      <c r="B199" s="146"/>
      <c r="C199" s="122"/>
      <c r="D199" s="28"/>
      <c r="E199" s="108"/>
      <c r="F199" s="28"/>
      <c r="G199" s="28"/>
      <c r="H199" s="124"/>
      <c r="I199" s="28"/>
      <c r="J199" s="28"/>
      <c r="K199" s="28"/>
      <c r="L199" s="28"/>
      <c r="M199" s="28"/>
      <c r="N199" s="28"/>
      <c r="O199" s="28"/>
      <c r="P199" s="28"/>
      <c r="Q199" s="28"/>
    </row>
    <row r="200" spans="2:17" ht="19.5" x14ac:dyDescent="0.25">
      <c r="B200" s="146"/>
      <c r="C200" s="122"/>
      <c r="D200" s="28"/>
      <c r="E200" s="108"/>
      <c r="F200" s="28"/>
      <c r="G200" s="28"/>
      <c r="H200" s="124"/>
      <c r="I200" s="28"/>
      <c r="J200" s="28"/>
      <c r="K200" s="28"/>
      <c r="L200" s="28"/>
      <c r="M200" s="28"/>
      <c r="N200" s="28"/>
      <c r="O200" s="28"/>
      <c r="P200" s="28"/>
      <c r="Q200" s="28"/>
    </row>
    <row r="201" spans="2:17" ht="19.5" x14ac:dyDescent="0.25">
      <c r="B201" s="146"/>
      <c r="C201" s="122"/>
      <c r="D201" s="28"/>
      <c r="E201" s="108"/>
      <c r="F201" s="28"/>
      <c r="G201" s="28"/>
      <c r="H201" s="124"/>
      <c r="I201" s="28"/>
      <c r="J201" s="28"/>
      <c r="K201" s="28"/>
      <c r="L201" s="28"/>
      <c r="M201" s="28"/>
      <c r="N201" s="28"/>
      <c r="O201" s="28"/>
      <c r="P201" s="28"/>
      <c r="Q201" s="28"/>
    </row>
    <row r="202" spans="2:17" ht="19.5" x14ac:dyDescent="0.25">
      <c r="B202" s="146"/>
      <c r="C202" s="122"/>
      <c r="D202" s="28"/>
      <c r="E202" s="108"/>
      <c r="F202" s="28"/>
      <c r="G202" s="28"/>
      <c r="H202" s="124"/>
      <c r="I202" s="28"/>
      <c r="J202" s="28"/>
      <c r="K202" s="28"/>
      <c r="L202" s="28"/>
      <c r="M202" s="28"/>
      <c r="N202" s="28"/>
      <c r="O202" s="28"/>
      <c r="P202" s="28"/>
      <c r="Q202" s="28"/>
    </row>
    <row r="203" spans="2:17" ht="19.5" x14ac:dyDescent="0.25">
      <c r="B203" s="146"/>
      <c r="C203" s="122"/>
      <c r="D203" s="28"/>
      <c r="E203" s="108"/>
      <c r="F203" s="28"/>
      <c r="G203" s="28"/>
      <c r="H203" s="124"/>
      <c r="I203" s="28"/>
      <c r="J203" s="28"/>
      <c r="K203" s="28"/>
      <c r="L203" s="28"/>
      <c r="M203" s="28"/>
      <c r="N203" s="28"/>
      <c r="O203" s="28"/>
      <c r="P203" s="28"/>
      <c r="Q203" s="28"/>
    </row>
    <row r="204" spans="2:17" ht="19.5" x14ac:dyDescent="0.25">
      <c r="B204" s="146"/>
      <c r="C204" s="122"/>
      <c r="D204" s="28"/>
      <c r="E204" s="108"/>
      <c r="F204" s="28"/>
      <c r="G204" s="28"/>
      <c r="H204" s="124"/>
      <c r="I204" s="28"/>
      <c r="J204" s="28"/>
      <c r="K204" s="28"/>
      <c r="L204" s="28"/>
      <c r="M204" s="28"/>
      <c r="N204" s="28"/>
      <c r="O204" s="28"/>
      <c r="P204" s="28"/>
      <c r="Q204" s="28"/>
    </row>
    <row r="205" spans="2:17" ht="19.5" x14ac:dyDescent="0.25">
      <c r="B205" s="146"/>
      <c r="C205" s="122"/>
      <c r="D205" s="28"/>
      <c r="E205" s="108"/>
      <c r="F205" s="28"/>
      <c r="G205" s="28"/>
      <c r="H205" s="124"/>
      <c r="I205" s="28"/>
      <c r="J205" s="28"/>
      <c r="K205" s="28"/>
      <c r="L205" s="28"/>
      <c r="M205" s="28"/>
      <c r="N205" s="28"/>
      <c r="O205" s="28"/>
      <c r="P205" s="28"/>
      <c r="Q205" s="28"/>
    </row>
    <row r="206" spans="2:17" ht="19.5" x14ac:dyDescent="0.25">
      <c r="B206" s="146"/>
      <c r="C206" s="122"/>
      <c r="D206" s="28"/>
      <c r="E206" s="108"/>
      <c r="F206" s="28"/>
      <c r="G206" s="28"/>
      <c r="H206" s="124"/>
      <c r="I206" s="28"/>
      <c r="J206" s="28"/>
      <c r="K206" s="28"/>
      <c r="L206" s="28"/>
      <c r="M206" s="28"/>
      <c r="N206" s="28"/>
      <c r="O206" s="28"/>
      <c r="P206" s="28"/>
      <c r="Q206" s="28"/>
    </row>
    <row r="207" spans="2:17" ht="19.5" x14ac:dyDescent="0.25">
      <c r="B207" s="146"/>
      <c r="C207" s="122"/>
      <c r="D207" s="28"/>
      <c r="E207" s="108"/>
      <c r="F207" s="28"/>
      <c r="G207" s="28"/>
      <c r="H207" s="124"/>
      <c r="I207" s="28"/>
      <c r="J207" s="28"/>
      <c r="K207" s="28"/>
      <c r="L207" s="28"/>
      <c r="M207" s="28"/>
      <c r="N207" s="28"/>
      <c r="O207" s="28"/>
      <c r="P207" s="28"/>
      <c r="Q207" s="28"/>
    </row>
    <row r="208" spans="2:17" ht="19.5" x14ac:dyDescent="0.25">
      <c r="B208" s="146"/>
      <c r="C208" s="122"/>
      <c r="D208" s="28"/>
      <c r="E208" s="108"/>
      <c r="F208" s="28"/>
      <c r="G208" s="28"/>
      <c r="H208" s="124"/>
      <c r="I208" s="28"/>
      <c r="J208" s="28"/>
      <c r="K208" s="28"/>
      <c r="L208" s="28"/>
      <c r="M208" s="28"/>
      <c r="N208" s="28"/>
      <c r="O208" s="28"/>
      <c r="P208" s="28"/>
      <c r="Q208" s="28"/>
    </row>
    <row r="209" spans="2:17" ht="19.5" x14ac:dyDescent="0.25">
      <c r="B209" s="146"/>
      <c r="C209" s="122"/>
      <c r="D209" s="28"/>
      <c r="E209" s="108"/>
      <c r="F209" s="28"/>
      <c r="G209" s="28"/>
      <c r="H209" s="124"/>
      <c r="I209" s="28"/>
      <c r="J209" s="28"/>
      <c r="K209" s="28"/>
      <c r="L209" s="28"/>
      <c r="M209" s="28"/>
      <c r="N209" s="28"/>
      <c r="O209" s="28"/>
      <c r="P209" s="28"/>
      <c r="Q209" s="28"/>
    </row>
    <row r="210" spans="2:17" ht="19.5" x14ac:dyDescent="0.25">
      <c r="B210" s="146"/>
      <c r="C210" s="122"/>
      <c r="D210" s="28"/>
      <c r="E210" s="108"/>
      <c r="F210" s="28"/>
      <c r="G210" s="28"/>
      <c r="H210" s="124"/>
      <c r="I210" s="28"/>
      <c r="J210" s="28"/>
      <c r="K210" s="28"/>
      <c r="L210" s="28"/>
      <c r="M210" s="28"/>
      <c r="N210" s="28"/>
      <c r="O210" s="28"/>
      <c r="P210" s="28"/>
      <c r="Q210" s="28"/>
    </row>
    <row r="211" spans="2:17" ht="19.5" x14ac:dyDescent="0.25">
      <c r="B211" s="146"/>
      <c r="C211" s="122"/>
      <c r="D211" s="28"/>
      <c r="E211" s="108"/>
      <c r="F211" s="28"/>
      <c r="G211" s="28"/>
      <c r="H211" s="124"/>
      <c r="I211" s="28"/>
      <c r="J211" s="28"/>
      <c r="K211" s="28"/>
      <c r="L211" s="28"/>
      <c r="M211" s="28"/>
      <c r="N211" s="28"/>
      <c r="O211" s="28"/>
      <c r="P211" s="28"/>
      <c r="Q211" s="28"/>
    </row>
    <row r="212" spans="2:17" ht="19.5" x14ac:dyDescent="0.25">
      <c r="B212" s="146"/>
      <c r="C212" s="122"/>
      <c r="D212" s="28"/>
      <c r="E212" s="108"/>
      <c r="F212" s="28"/>
      <c r="G212" s="28"/>
      <c r="H212" s="124"/>
      <c r="I212" s="28"/>
      <c r="J212" s="28"/>
      <c r="K212" s="28"/>
      <c r="L212" s="28"/>
      <c r="M212" s="28"/>
      <c r="N212" s="28"/>
      <c r="O212" s="28"/>
      <c r="P212" s="28"/>
      <c r="Q212" s="28"/>
    </row>
    <row r="213" spans="2:17" ht="19.5" x14ac:dyDescent="0.25">
      <c r="B213" s="146"/>
      <c r="C213" s="122"/>
      <c r="D213" s="28"/>
      <c r="E213" s="108"/>
      <c r="F213" s="28"/>
      <c r="G213" s="28"/>
      <c r="H213" s="124"/>
      <c r="I213" s="28"/>
      <c r="J213" s="28"/>
      <c r="K213" s="28"/>
      <c r="L213" s="28"/>
      <c r="M213" s="28"/>
      <c r="N213" s="28"/>
      <c r="O213" s="28"/>
      <c r="P213" s="28"/>
      <c r="Q213" s="28"/>
    </row>
    <row r="214" spans="2:17" ht="19.5" x14ac:dyDescent="0.25">
      <c r="B214" s="146"/>
      <c r="C214" s="122"/>
      <c r="D214" s="28"/>
      <c r="E214" s="108"/>
      <c r="F214" s="28"/>
      <c r="G214" s="28"/>
      <c r="H214" s="124"/>
      <c r="I214" s="28"/>
      <c r="J214" s="28"/>
      <c r="K214" s="28"/>
      <c r="L214" s="28"/>
      <c r="M214" s="28"/>
      <c r="N214" s="28"/>
      <c r="O214" s="28"/>
      <c r="P214" s="28"/>
      <c r="Q214" s="28"/>
    </row>
    <row r="215" spans="2:17" ht="19.5" x14ac:dyDescent="0.25">
      <c r="B215" s="146"/>
      <c r="C215" s="122"/>
      <c r="D215" s="28"/>
      <c r="E215" s="108"/>
      <c r="F215" s="28"/>
      <c r="G215" s="28"/>
      <c r="H215" s="124"/>
      <c r="I215" s="28"/>
      <c r="J215" s="28"/>
      <c r="K215" s="28"/>
      <c r="L215" s="28"/>
      <c r="M215" s="28"/>
      <c r="N215" s="28"/>
      <c r="O215" s="28"/>
      <c r="P215" s="28"/>
      <c r="Q215" s="28"/>
    </row>
    <row r="216" spans="2:17" ht="19.5" x14ac:dyDescent="0.25">
      <c r="B216" s="146"/>
      <c r="C216" s="122"/>
      <c r="D216" s="28"/>
      <c r="E216" s="108"/>
      <c r="F216" s="28"/>
      <c r="G216" s="28"/>
      <c r="H216" s="124"/>
      <c r="I216" s="28"/>
      <c r="J216" s="28"/>
      <c r="K216" s="28"/>
      <c r="L216" s="28"/>
      <c r="M216" s="28"/>
      <c r="N216" s="28"/>
      <c r="O216" s="28"/>
      <c r="P216" s="28"/>
      <c r="Q216" s="28"/>
    </row>
    <row r="217" spans="2:17" ht="19.5" x14ac:dyDescent="0.25">
      <c r="B217" s="146"/>
      <c r="C217" s="122"/>
      <c r="D217" s="28"/>
      <c r="E217" s="108"/>
      <c r="F217" s="28"/>
      <c r="G217" s="28"/>
      <c r="H217" s="124"/>
      <c r="I217" s="28"/>
      <c r="J217" s="28"/>
      <c r="K217" s="28"/>
      <c r="L217" s="28"/>
      <c r="M217" s="28"/>
      <c r="N217" s="28"/>
      <c r="O217" s="28"/>
      <c r="P217" s="28"/>
      <c r="Q217" s="28"/>
    </row>
    <row r="218" spans="2:17" ht="19.5" x14ac:dyDescent="0.25">
      <c r="B218" s="146"/>
      <c r="C218" s="122"/>
      <c r="D218" s="28"/>
      <c r="E218" s="108"/>
      <c r="F218" s="28"/>
      <c r="G218" s="28"/>
      <c r="H218" s="124"/>
      <c r="I218" s="28"/>
      <c r="J218" s="28"/>
      <c r="K218" s="28"/>
      <c r="L218" s="28"/>
      <c r="M218" s="28"/>
      <c r="N218" s="28"/>
      <c r="O218" s="28"/>
      <c r="P218" s="28"/>
      <c r="Q218" s="28"/>
    </row>
    <row r="219" spans="2:17" ht="19.5" x14ac:dyDescent="0.25">
      <c r="B219" s="146"/>
      <c r="C219" s="122"/>
      <c r="D219" s="28"/>
      <c r="E219" s="108"/>
      <c r="F219" s="28"/>
      <c r="G219" s="28"/>
      <c r="H219" s="124"/>
      <c r="I219" s="28"/>
      <c r="J219" s="28"/>
      <c r="K219" s="28"/>
      <c r="L219" s="28"/>
      <c r="M219" s="28"/>
      <c r="N219" s="28"/>
      <c r="O219" s="28"/>
      <c r="P219" s="28"/>
      <c r="Q219" s="28"/>
    </row>
    <row r="220" spans="2:17" ht="19.5" x14ac:dyDescent="0.25">
      <c r="B220" s="146"/>
      <c r="C220" s="122"/>
      <c r="D220" s="28"/>
      <c r="E220" s="108"/>
      <c r="F220" s="28"/>
      <c r="G220" s="28"/>
      <c r="H220" s="124"/>
      <c r="I220" s="28"/>
      <c r="J220" s="28"/>
      <c r="K220" s="28"/>
      <c r="L220" s="28"/>
      <c r="M220" s="28"/>
      <c r="N220" s="28"/>
      <c r="O220" s="28"/>
      <c r="P220" s="28"/>
      <c r="Q220" s="28"/>
    </row>
    <row r="221" spans="2:17" ht="19.5" x14ac:dyDescent="0.25">
      <c r="B221" s="146"/>
      <c r="C221" s="122"/>
      <c r="D221" s="28"/>
      <c r="E221" s="108"/>
      <c r="F221" s="28"/>
      <c r="G221" s="28"/>
      <c r="H221" s="124"/>
      <c r="I221" s="28"/>
      <c r="J221" s="28"/>
      <c r="K221" s="28"/>
      <c r="L221" s="28"/>
      <c r="M221" s="28"/>
      <c r="N221" s="28"/>
      <c r="O221" s="28"/>
      <c r="P221" s="28"/>
      <c r="Q221" s="28"/>
    </row>
    <row r="222" spans="2:17" ht="19.5" x14ac:dyDescent="0.25">
      <c r="B222" s="146"/>
      <c r="C222" s="122"/>
      <c r="D222" s="28"/>
      <c r="E222" s="108"/>
      <c r="F222" s="28"/>
      <c r="G222" s="28"/>
      <c r="H222" s="124"/>
      <c r="I222" s="28"/>
      <c r="J222" s="28"/>
      <c r="K222" s="28"/>
      <c r="L222" s="28"/>
      <c r="M222" s="28"/>
      <c r="N222" s="28"/>
      <c r="O222" s="28"/>
      <c r="P222" s="28"/>
      <c r="Q222" s="28"/>
    </row>
    <row r="223" spans="2:17" ht="19.5" x14ac:dyDescent="0.25">
      <c r="B223" s="146"/>
      <c r="C223" s="122"/>
      <c r="D223" s="28"/>
      <c r="E223" s="108"/>
      <c r="F223" s="28"/>
      <c r="G223" s="28"/>
      <c r="H223" s="124"/>
      <c r="I223" s="28"/>
      <c r="J223" s="28"/>
      <c r="K223" s="28"/>
      <c r="L223" s="28"/>
      <c r="M223" s="28"/>
      <c r="N223" s="28"/>
      <c r="O223" s="28"/>
      <c r="P223" s="28"/>
      <c r="Q223" s="28"/>
    </row>
    <row r="224" spans="2:17" ht="19.5" x14ac:dyDescent="0.25">
      <c r="B224" s="146"/>
      <c r="C224" s="122"/>
      <c r="D224" s="28"/>
      <c r="E224" s="108"/>
      <c r="F224" s="28"/>
      <c r="G224" s="28"/>
      <c r="H224" s="124"/>
      <c r="I224" s="28"/>
      <c r="J224" s="28"/>
      <c r="K224" s="28"/>
      <c r="L224" s="28"/>
      <c r="M224" s="28"/>
      <c r="N224" s="28"/>
      <c r="O224" s="28"/>
      <c r="P224" s="28"/>
      <c r="Q224" s="28"/>
    </row>
    <row r="225" spans="2:17" ht="19.5" x14ac:dyDescent="0.25">
      <c r="B225" s="146"/>
      <c r="C225" s="122"/>
      <c r="D225" s="28"/>
      <c r="E225" s="108"/>
      <c r="F225" s="28"/>
      <c r="G225" s="28"/>
      <c r="H225" s="124"/>
      <c r="I225" s="28"/>
      <c r="J225" s="28"/>
      <c r="K225" s="28"/>
      <c r="L225" s="28"/>
      <c r="M225" s="28"/>
      <c r="N225" s="28"/>
      <c r="O225" s="28"/>
      <c r="P225" s="28"/>
      <c r="Q225" s="28"/>
    </row>
    <row r="226" spans="2:17" ht="19.5" x14ac:dyDescent="0.25">
      <c r="B226" s="146"/>
      <c r="C226" s="122"/>
      <c r="D226" s="28"/>
      <c r="E226" s="108"/>
      <c r="F226" s="28"/>
      <c r="G226" s="28"/>
      <c r="H226" s="124"/>
      <c r="I226" s="28"/>
      <c r="J226" s="28"/>
      <c r="K226" s="28"/>
      <c r="L226" s="28"/>
      <c r="M226" s="28"/>
      <c r="N226" s="28"/>
      <c r="O226" s="28"/>
      <c r="P226" s="28"/>
      <c r="Q226" s="28"/>
    </row>
    <row r="227" spans="2:17" ht="19.5" x14ac:dyDescent="0.25">
      <c r="B227" s="146"/>
      <c r="C227" s="122"/>
      <c r="D227" s="28"/>
      <c r="E227" s="108"/>
      <c r="F227" s="28"/>
      <c r="G227" s="28"/>
      <c r="H227" s="124"/>
      <c r="I227" s="28"/>
      <c r="J227" s="28"/>
      <c r="K227" s="28"/>
      <c r="L227" s="28"/>
      <c r="M227" s="28"/>
      <c r="N227" s="28"/>
      <c r="O227" s="28"/>
      <c r="P227" s="28"/>
      <c r="Q227" s="28"/>
    </row>
    <row r="228" spans="2:17" ht="19.5" x14ac:dyDescent="0.25">
      <c r="B228" s="146"/>
      <c r="C228" s="122"/>
      <c r="D228" s="28"/>
      <c r="E228" s="108"/>
      <c r="F228" s="28"/>
      <c r="G228" s="28"/>
      <c r="H228" s="124"/>
      <c r="I228" s="28"/>
      <c r="J228" s="28"/>
      <c r="K228" s="28"/>
      <c r="L228" s="28"/>
      <c r="M228" s="28"/>
      <c r="N228" s="28"/>
      <c r="O228" s="28"/>
      <c r="P228" s="28"/>
      <c r="Q228" s="28"/>
    </row>
    <row r="229" spans="2:17" ht="19.5" x14ac:dyDescent="0.25">
      <c r="B229" s="146"/>
      <c r="C229" s="122"/>
      <c r="D229" s="28"/>
      <c r="E229" s="108"/>
      <c r="F229" s="28"/>
      <c r="G229" s="28"/>
      <c r="H229" s="124"/>
      <c r="I229" s="28"/>
      <c r="J229" s="28"/>
      <c r="K229" s="28"/>
      <c r="L229" s="28"/>
      <c r="M229" s="28"/>
      <c r="N229" s="28"/>
      <c r="O229" s="28"/>
      <c r="P229" s="28"/>
      <c r="Q229" s="28"/>
    </row>
    <row r="230" spans="2:17" ht="19.5" x14ac:dyDescent="0.25">
      <c r="B230" s="146"/>
      <c r="C230" s="122"/>
      <c r="D230" s="28"/>
      <c r="E230" s="108"/>
      <c r="F230" s="28"/>
      <c r="G230" s="28"/>
      <c r="H230" s="124"/>
      <c r="I230" s="28"/>
      <c r="J230" s="28"/>
      <c r="K230" s="28"/>
      <c r="L230" s="28"/>
      <c r="M230" s="28"/>
      <c r="N230" s="28"/>
      <c r="O230" s="28"/>
      <c r="P230" s="28"/>
      <c r="Q230" s="28"/>
    </row>
    <row r="231" spans="2:17" ht="19.5" x14ac:dyDescent="0.25">
      <c r="B231" s="146"/>
      <c r="C231" s="122"/>
      <c r="D231" s="28"/>
      <c r="E231" s="108"/>
      <c r="F231" s="28"/>
      <c r="G231" s="28"/>
      <c r="H231" s="124"/>
      <c r="I231" s="28"/>
      <c r="J231" s="28"/>
      <c r="K231" s="28"/>
      <c r="L231" s="28"/>
      <c r="M231" s="28"/>
      <c r="N231" s="28"/>
      <c r="O231" s="28"/>
      <c r="P231" s="28"/>
      <c r="Q231" s="28"/>
    </row>
    <row r="232" spans="2:17" ht="19.5" x14ac:dyDescent="0.25">
      <c r="B232" s="146"/>
      <c r="C232" s="122"/>
      <c r="D232" s="28"/>
      <c r="E232" s="108"/>
      <c r="F232" s="28"/>
      <c r="G232" s="28"/>
      <c r="H232" s="124"/>
      <c r="I232" s="28"/>
      <c r="J232" s="28"/>
      <c r="K232" s="28"/>
      <c r="L232" s="28"/>
      <c r="M232" s="28"/>
      <c r="N232" s="28"/>
      <c r="O232" s="28"/>
      <c r="P232" s="28"/>
      <c r="Q232" s="28"/>
    </row>
    <row r="233" spans="2:17" ht="19.5" x14ac:dyDescent="0.25">
      <c r="B233" s="146"/>
      <c r="C233" s="122"/>
      <c r="D233" s="28"/>
      <c r="E233" s="108"/>
      <c r="F233" s="28"/>
      <c r="G233" s="28"/>
      <c r="H233" s="124"/>
      <c r="I233" s="28"/>
      <c r="J233" s="28"/>
      <c r="K233" s="28"/>
      <c r="L233" s="28"/>
      <c r="M233" s="28"/>
      <c r="N233" s="28"/>
      <c r="O233" s="28"/>
      <c r="P233" s="28"/>
      <c r="Q233" s="28"/>
    </row>
    <row r="234" spans="2:17" ht="19.5" x14ac:dyDescent="0.25">
      <c r="B234" s="146"/>
      <c r="C234" s="122"/>
      <c r="D234" s="28"/>
      <c r="E234" s="108"/>
      <c r="F234" s="28"/>
      <c r="G234" s="28"/>
      <c r="H234" s="124"/>
      <c r="I234" s="28"/>
      <c r="J234" s="28"/>
      <c r="K234" s="28"/>
      <c r="L234" s="28"/>
      <c r="M234" s="28"/>
      <c r="N234" s="28"/>
      <c r="O234" s="28"/>
      <c r="P234" s="28"/>
      <c r="Q234" s="28"/>
    </row>
    <row r="235" spans="2:17" ht="19.5" x14ac:dyDescent="0.25">
      <c r="B235" s="146"/>
      <c r="C235" s="122"/>
      <c r="D235" s="28"/>
      <c r="E235" s="108"/>
      <c r="F235" s="28"/>
      <c r="G235" s="28"/>
      <c r="H235" s="124"/>
      <c r="I235" s="28"/>
      <c r="J235" s="28"/>
      <c r="K235" s="28"/>
      <c r="L235" s="28"/>
      <c r="M235" s="28"/>
      <c r="N235" s="28"/>
      <c r="O235" s="28"/>
      <c r="P235" s="28"/>
      <c r="Q235" s="28"/>
    </row>
    <row r="236" spans="2:17" ht="19.5" x14ac:dyDescent="0.25">
      <c r="B236" s="146"/>
      <c r="C236" s="122"/>
      <c r="D236" s="28"/>
      <c r="E236" s="108"/>
      <c r="F236" s="28"/>
      <c r="G236" s="28"/>
      <c r="H236" s="124"/>
      <c r="I236" s="28"/>
      <c r="J236" s="28"/>
      <c r="K236" s="28"/>
      <c r="L236" s="28"/>
      <c r="M236" s="28"/>
      <c r="N236" s="28"/>
      <c r="O236" s="28"/>
      <c r="P236" s="28"/>
      <c r="Q236" s="28"/>
    </row>
    <row r="237" spans="2:17" ht="19.5" x14ac:dyDescent="0.25">
      <c r="B237" s="146"/>
      <c r="C237" s="122"/>
      <c r="D237" s="28"/>
      <c r="E237" s="108"/>
      <c r="F237" s="28"/>
      <c r="G237" s="28"/>
      <c r="H237" s="124"/>
      <c r="I237" s="28"/>
      <c r="J237" s="28"/>
      <c r="K237" s="28"/>
      <c r="L237" s="28"/>
      <c r="M237" s="28"/>
      <c r="N237" s="28"/>
      <c r="O237" s="28"/>
      <c r="P237" s="28"/>
      <c r="Q237" s="28"/>
    </row>
    <row r="238" spans="2:17" ht="19.5" x14ac:dyDescent="0.25">
      <c r="B238" s="146"/>
      <c r="C238" s="122"/>
      <c r="D238" s="28"/>
      <c r="E238" s="108"/>
      <c r="F238" s="28"/>
      <c r="G238" s="28"/>
      <c r="H238" s="124"/>
      <c r="I238" s="28"/>
      <c r="J238" s="28"/>
      <c r="K238" s="28"/>
      <c r="L238" s="28"/>
      <c r="M238" s="28"/>
      <c r="N238" s="28"/>
      <c r="O238" s="28"/>
      <c r="P238" s="28"/>
      <c r="Q238" s="28"/>
    </row>
    <row r="239" spans="2:17" ht="19.5" x14ac:dyDescent="0.25">
      <c r="B239" s="146"/>
      <c r="C239" s="122"/>
      <c r="D239" s="28"/>
      <c r="E239" s="108"/>
      <c r="F239" s="28"/>
      <c r="G239" s="28"/>
      <c r="H239" s="124"/>
      <c r="I239" s="28"/>
      <c r="J239" s="28"/>
      <c r="K239" s="28"/>
      <c r="L239" s="28"/>
      <c r="M239" s="28"/>
      <c r="N239" s="28"/>
      <c r="O239" s="28"/>
      <c r="P239" s="28"/>
      <c r="Q239" s="28"/>
    </row>
    <row r="240" spans="2:17" ht="19.5" x14ac:dyDescent="0.25">
      <c r="B240" s="146"/>
      <c r="C240" s="122"/>
      <c r="D240" s="28"/>
      <c r="E240" s="108"/>
      <c r="F240" s="28"/>
      <c r="G240" s="28"/>
      <c r="H240" s="124"/>
      <c r="I240" s="28"/>
      <c r="J240" s="28"/>
      <c r="K240" s="28"/>
      <c r="L240" s="28"/>
      <c r="M240" s="28"/>
      <c r="N240" s="28"/>
      <c r="O240" s="28"/>
      <c r="P240" s="28"/>
      <c r="Q240" s="28"/>
    </row>
    <row r="241" spans="2:17" ht="19.5" x14ac:dyDescent="0.25">
      <c r="B241" s="146"/>
      <c r="C241" s="122"/>
      <c r="D241" s="28"/>
      <c r="E241" s="108"/>
      <c r="F241" s="28"/>
      <c r="G241" s="28"/>
      <c r="H241" s="124"/>
      <c r="I241" s="28"/>
      <c r="J241" s="28"/>
      <c r="K241" s="28"/>
      <c r="L241" s="28"/>
      <c r="M241" s="28"/>
      <c r="N241" s="28"/>
      <c r="O241" s="28"/>
      <c r="P241" s="28"/>
      <c r="Q241" s="28"/>
    </row>
    <row r="242" spans="2:17" ht="19.5" x14ac:dyDescent="0.25">
      <c r="B242" s="146"/>
      <c r="C242" s="122"/>
      <c r="D242" s="28"/>
      <c r="E242" s="108"/>
      <c r="F242" s="28"/>
      <c r="G242" s="28"/>
      <c r="H242" s="124"/>
      <c r="I242" s="28"/>
      <c r="J242" s="28"/>
      <c r="K242" s="28"/>
      <c r="L242" s="28"/>
      <c r="M242" s="28"/>
      <c r="N242" s="28"/>
      <c r="O242" s="28"/>
      <c r="P242" s="28"/>
      <c r="Q242" s="28"/>
    </row>
    <row r="243" spans="2:17" ht="19.5" x14ac:dyDescent="0.25">
      <c r="B243" s="146"/>
      <c r="C243" s="122"/>
      <c r="D243" s="28"/>
      <c r="E243" s="108"/>
      <c r="F243" s="28"/>
      <c r="G243" s="28"/>
      <c r="H243" s="124"/>
      <c r="I243" s="28"/>
      <c r="J243" s="28"/>
      <c r="K243" s="28"/>
      <c r="L243" s="28"/>
      <c r="M243" s="28"/>
      <c r="N243" s="28"/>
      <c r="O243" s="28"/>
      <c r="P243" s="28"/>
      <c r="Q243" s="28"/>
    </row>
    <row r="244" spans="2:17" ht="19.5" x14ac:dyDescent="0.25">
      <c r="B244" s="146"/>
      <c r="C244" s="122"/>
      <c r="D244" s="28"/>
      <c r="E244" s="108"/>
      <c r="F244" s="28"/>
      <c r="G244" s="28"/>
      <c r="H244" s="124"/>
      <c r="I244" s="28"/>
      <c r="J244" s="28"/>
      <c r="K244" s="28"/>
      <c r="L244" s="28"/>
      <c r="M244" s="28"/>
      <c r="N244" s="28"/>
      <c r="O244" s="28"/>
      <c r="P244" s="28"/>
      <c r="Q244" s="28"/>
    </row>
    <row r="245" spans="2:17" ht="19.5" x14ac:dyDescent="0.25">
      <c r="B245" s="146"/>
      <c r="C245" s="122"/>
      <c r="D245" s="28"/>
      <c r="E245" s="108"/>
      <c r="F245" s="28"/>
      <c r="G245" s="28"/>
      <c r="H245" s="124"/>
      <c r="I245" s="28"/>
      <c r="J245" s="28"/>
      <c r="K245" s="28"/>
      <c r="L245" s="28"/>
      <c r="M245" s="28"/>
      <c r="N245" s="28"/>
      <c r="O245" s="28"/>
      <c r="P245" s="28"/>
      <c r="Q245" s="28"/>
    </row>
    <row r="246" spans="2:17" ht="19.5" x14ac:dyDescent="0.25">
      <c r="B246" s="146"/>
      <c r="C246" s="122"/>
      <c r="D246" s="28"/>
      <c r="E246" s="108"/>
      <c r="F246" s="28"/>
      <c r="G246" s="28"/>
      <c r="H246" s="124"/>
      <c r="I246" s="28"/>
      <c r="J246" s="28"/>
      <c r="K246" s="28"/>
      <c r="L246" s="28"/>
      <c r="M246" s="28"/>
      <c r="N246" s="28"/>
      <c r="O246" s="28"/>
      <c r="P246" s="28"/>
      <c r="Q246" s="28"/>
    </row>
    <row r="247" spans="2:17" ht="19.5" x14ac:dyDescent="0.25">
      <c r="B247" s="146"/>
      <c r="C247" s="122"/>
      <c r="D247" s="28"/>
      <c r="E247" s="108"/>
      <c r="F247" s="28"/>
      <c r="G247" s="28"/>
      <c r="H247" s="124"/>
      <c r="I247" s="28"/>
      <c r="J247" s="28"/>
      <c r="K247" s="28"/>
      <c r="L247" s="28"/>
      <c r="M247" s="28"/>
      <c r="N247" s="28"/>
      <c r="O247" s="28"/>
      <c r="P247" s="28"/>
      <c r="Q247" s="28"/>
    </row>
    <row r="248" spans="2:17" ht="19.5" x14ac:dyDescent="0.25">
      <c r="B248" s="146"/>
      <c r="C248" s="122"/>
      <c r="D248" s="28"/>
      <c r="E248" s="108"/>
      <c r="F248" s="28"/>
      <c r="G248" s="28"/>
      <c r="H248" s="124"/>
      <c r="I248" s="28"/>
      <c r="J248" s="28"/>
      <c r="K248" s="28"/>
      <c r="L248" s="28"/>
      <c r="M248" s="28"/>
      <c r="N248" s="28"/>
      <c r="O248" s="28"/>
      <c r="P248" s="28"/>
      <c r="Q248" s="28"/>
    </row>
    <row r="249" spans="2:17" ht="19.5" x14ac:dyDescent="0.25">
      <c r="B249" s="146"/>
      <c r="C249" s="122"/>
      <c r="D249" s="28"/>
      <c r="E249" s="108"/>
      <c r="F249" s="28"/>
      <c r="G249" s="28"/>
      <c r="H249" s="124"/>
      <c r="I249" s="28"/>
      <c r="J249" s="28"/>
      <c r="K249" s="28"/>
      <c r="L249" s="28"/>
      <c r="M249" s="28"/>
      <c r="N249" s="28"/>
      <c r="O249" s="28"/>
      <c r="P249" s="28"/>
      <c r="Q249" s="28"/>
    </row>
    <row r="250" spans="2:17" ht="19.5" x14ac:dyDescent="0.25">
      <c r="B250" s="146"/>
      <c r="C250" s="122"/>
      <c r="D250" s="28"/>
      <c r="E250" s="108"/>
      <c r="F250" s="28"/>
      <c r="G250" s="28"/>
      <c r="H250" s="124"/>
      <c r="I250" s="28"/>
      <c r="J250" s="28"/>
      <c r="K250" s="28"/>
      <c r="L250" s="28"/>
      <c r="M250" s="28"/>
      <c r="N250" s="28"/>
      <c r="O250" s="28"/>
      <c r="P250" s="28"/>
      <c r="Q250" s="28"/>
    </row>
    <row r="251" spans="2:17" ht="19.5" x14ac:dyDescent="0.25">
      <c r="B251" s="146"/>
      <c r="C251" s="122"/>
      <c r="D251" s="28"/>
      <c r="E251" s="108"/>
      <c r="F251" s="28"/>
      <c r="G251" s="28"/>
      <c r="H251" s="124"/>
      <c r="I251" s="28"/>
      <c r="J251" s="28"/>
      <c r="K251" s="28"/>
      <c r="L251" s="28"/>
      <c r="M251" s="28"/>
      <c r="N251" s="28"/>
      <c r="O251" s="28"/>
      <c r="P251" s="28"/>
      <c r="Q251" s="28"/>
    </row>
    <row r="252" spans="2:17" ht="19.5" x14ac:dyDescent="0.25">
      <c r="B252" s="146"/>
      <c r="C252" s="122"/>
      <c r="D252" s="28"/>
      <c r="E252" s="108"/>
      <c r="F252" s="28"/>
      <c r="G252" s="28"/>
      <c r="H252" s="124"/>
      <c r="I252" s="28"/>
      <c r="J252" s="28"/>
      <c r="K252" s="28"/>
      <c r="L252" s="28"/>
      <c r="M252" s="28"/>
      <c r="N252" s="28"/>
      <c r="O252" s="28"/>
      <c r="P252" s="28"/>
      <c r="Q252" s="28"/>
    </row>
    <row r="253" spans="2:17" ht="19.5" x14ac:dyDescent="0.25">
      <c r="B253" s="146"/>
      <c r="C253" s="122"/>
      <c r="D253" s="28"/>
      <c r="E253" s="108"/>
      <c r="F253" s="28"/>
      <c r="G253" s="28"/>
      <c r="H253" s="124"/>
      <c r="I253" s="28"/>
      <c r="J253" s="28"/>
      <c r="K253" s="28"/>
      <c r="L253" s="28"/>
      <c r="M253" s="28"/>
      <c r="N253" s="28"/>
      <c r="O253" s="28"/>
      <c r="P253" s="28"/>
      <c r="Q253" s="28"/>
    </row>
    <row r="254" spans="2:17" ht="19.5" x14ac:dyDescent="0.25">
      <c r="B254" s="146"/>
      <c r="C254" s="122"/>
      <c r="D254" s="28"/>
      <c r="E254" s="108"/>
      <c r="F254" s="28"/>
      <c r="G254" s="28"/>
      <c r="H254" s="124"/>
      <c r="I254" s="28"/>
      <c r="J254" s="28"/>
      <c r="K254" s="28"/>
      <c r="L254" s="28"/>
      <c r="M254" s="28"/>
      <c r="N254" s="28"/>
      <c r="O254" s="28"/>
      <c r="P254" s="28"/>
      <c r="Q254" s="28"/>
    </row>
    <row r="255" spans="2:17" ht="19.5" x14ac:dyDescent="0.25">
      <c r="B255" s="146"/>
      <c r="C255" s="122"/>
      <c r="D255" s="28"/>
      <c r="E255" s="108"/>
      <c r="F255" s="28"/>
      <c r="G255" s="28"/>
      <c r="H255" s="124"/>
      <c r="I255" s="28"/>
      <c r="J255" s="28"/>
      <c r="K255" s="28"/>
      <c r="L255" s="28"/>
      <c r="M255" s="28"/>
      <c r="N255" s="28"/>
      <c r="O255" s="28"/>
      <c r="P255" s="28"/>
      <c r="Q255" s="28"/>
    </row>
    <row r="256" spans="2:17" ht="19.5" x14ac:dyDescent="0.25">
      <c r="B256" s="146"/>
      <c r="C256" s="122"/>
      <c r="D256" s="28"/>
      <c r="E256" s="108"/>
      <c r="F256" s="28"/>
      <c r="G256" s="28"/>
      <c r="H256" s="124"/>
      <c r="I256" s="28"/>
      <c r="J256" s="28"/>
      <c r="K256" s="28"/>
      <c r="L256" s="28"/>
      <c r="M256" s="28"/>
      <c r="N256" s="28"/>
      <c r="O256" s="28"/>
      <c r="P256" s="28"/>
      <c r="Q256" s="28"/>
    </row>
    <row r="257" spans="2:17" ht="19.5" x14ac:dyDescent="0.25">
      <c r="B257" s="146"/>
      <c r="C257" s="122"/>
      <c r="D257" s="28"/>
      <c r="E257" s="108"/>
      <c r="F257" s="28"/>
      <c r="G257" s="28"/>
      <c r="H257" s="124"/>
      <c r="I257" s="28"/>
      <c r="J257" s="28"/>
      <c r="K257" s="28"/>
      <c r="L257" s="28"/>
      <c r="M257" s="28"/>
      <c r="N257" s="28"/>
      <c r="O257" s="28"/>
      <c r="P257" s="28"/>
      <c r="Q257" s="28"/>
    </row>
    <row r="258" spans="2:17" ht="19.5" x14ac:dyDescent="0.25">
      <c r="B258" s="146"/>
      <c r="C258" s="122"/>
      <c r="D258" s="28"/>
      <c r="E258" s="108"/>
      <c r="F258" s="28"/>
      <c r="G258" s="28"/>
      <c r="H258" s="124"/>
      <c r="I258" s="28"/>
      <c r="J258" s="28"/>
      <c r="K258" s="28"/>
      <c r="L258" s="28"/>
      <c r="M258" s="28"/>
      <c r="N258" s="28"/>
      <c r="O258" s="28"/>
      <c r="P258" s="28"/>
      <c r="Q258" s="28"/>
    </row>
    <row r="259" spans="2:17" ht="19.5" x14ac:dyDescent="0.25">
      <c r="B259" s="146"/>
      <c r="C259" s="122"/>
      <c r="D259" s="28"/>
      <c r="E259" s="108"/>
      <c r="F259" s="28"/>
      <c r="G259" s="28"/>
      <c r="H259" s="124"/>
      <c r="I259" s="28"/>
      <c r="J259" s="28"/>
      <c r="K259" s="28"/>
      <c r="L259" s="28"/>
      <c r="M259" s="28"/>
      <c r="N259" s="28"/>
      <c r="O259" s="28"/>
      <c r="P259" s="28"/>
      <c r="Q259" s="28"/>
    </row>
    <row r="260" spans="2:17" ht="19.5" x14ac:dyDescent="0.25">
      <c r="B260" s="146"/>
      <c r="C260" s="122"/>
      <c r="D260" s="28"/>
      <c r="E260" s="108"/>
      <c r="F260" s="28"/>
      <c r="G260" s="28"/>
      <c r="H260" s="124"/>
      <c r="I260" s="28"/>
      <c r="J260" s="28"/>
      <c r="K260" s="28"/>
      <c r="L260" s="28"/>
      <c r="M260" s="28"/>
      <c r="N260" s="28"/>
      <c r="O260" s="28"/>
      <c r="P260" s="28"/>
      <c r="Q260" s="28"/>
    </row>
    <row r="261" spans="2:17" ht="19.5" x14ac:dyDescent="0.25">
      <c r="B261" s="146"/>
      <c r="C261" s="122"/>
      <c r="D261" s="28"/>
      <c r="E261" s="108"/>
      <c r="F261" s="28"/>
      <c r="G261" s="28"/>
      <c r="H261" s="124"/>
      <c r="I261" s="28"/>
      <c r="J261" s="28"/>
      <c r="K261" s="28"/>
      <c r="L261" s="28"/>
      <c r="M261" s="28"/>
      <c r="N261" s="28"/>
      <c r="O261" s="28"/>
      <c r="P261" s="28"/>
      <c r="Q261" s="28"/>
    </row>
    <row r="262" spans="2:17" ht="19.5" x14ac:dyDescent="0.25">
      <c r="B262" s="146"/>
      <c r="C262" s="122"/>
      <c r="D262" s="28"/>
      <c r="E262" s="108"/>
      <c r="F262" s="28"/>
      <c r="G262" s="28"/>
      <c r="H262" s="124"/>
      <c r="I262" s="28"/>
      <c r="J262" s="28"/>
      <c r="K262" s="28"/>
      <c r="L262" s="28"/>
      <c r="M262" s="28"/>
      <c r="N262" s="28"/>
      <c r="O262" s="28"/>
      <c r="P262" s="28"/>
      <c r="Q262" s="28"/>
    </row>
    <row r="263" spans="2:17" ht="19.5" x14ac:dyDescent="0.25">
      <c r="B263" s="146"/>
      <c r="C263" s="122"/>
      <c r="D263" s="28"/>
      <c r="E263" s="108"/>
      <c r="F263" s="28"/>
      <c r="G263" s="28"/>
      <c r="H263" s="124"/>
      <c r="I263" s="28"/>
      <c r="J263" s="28"/>
      <c r="K263" s="28"/>
      <c r="L263" s="28"/>
      <c r="M263" s="28"/>
      <c r="N263" s="28"/>
      <c r="O263" s="28"/>
      <c r="P263" s="28"/>
      <c r="Q263" s="28"/>
    </row>
    <row r="264" spans="2:17" ht="19.5" x14ac:dyDescent="0.25">
      <c r="B264" s="146"/>
      <c r="C264" s="122"/>
      <c r="D264" s="28"/>
      <c r="E264" s="108"/>
      <c r="F264" s="28"/>
      <c r="G264" s="28"/>
      <c r="H264" s="124"/>
      <c r="I264" s="28"/>
      <c r="J264" s="28"/>
      <c r="K264" s="28"/>
      <c r="L264" s="28"/>
      <c r="M264" s="28"/>
      <c r="N264" s="28"/>
      <c r="O264" s="28"/>
      <c r="P264" s="28"/>
      <c r="Q264" s="28"/>
    </row>
    <row r="265" spans="2:17" ht="19.5" x14ac:dyDescent="0.25">
      <c r="B265" s="146"/>
      <c r="C265" s="122"/>
      <c r="D265" s="28"/>
      <c r="E265" s="108"/>
      <c r="F265" s="28"/>
      <c r="G265" s="28"/>
      <c r="H265" s="124"/>
      <c r="I265" s="28"/>
      <c r="J265" s="28"/>
      <c r="K265" s="28"/>
      <c r="L265" s="28"/>
      <c r="M265" s="28"/>
      <c r="N265" s="28"/>
      <c r="O265" s="28"/>
      <c r="P265" s="28"/>
      <c r="Q265" s="28"/>
    </row>
    <row r="266" spans="2:17" ht="19.5" x14ac:dyDescent="0.25">
      <c r="B266" s="146"/>
      <c r="C266" s="122"/>
      <c r="D266" s="28"/>
      <c r="E266" s="108"/>
      <c r="F266" s="28"/>
      <c r="G266" s="28"/>
      <c r="H266" s="124"/>
      <c r="I266" s="28"/>
      <c r="J266" s="28"/>
      <c r="K266" s="28"/>
      <c r="L266" s="28"/>
      <c r="M266" s="28"/>
      <c r="N266" s="28"/>
      <c r="O266" s="28"/>
      <c r="P266" s="28"/>
      <c r="Q266" s="28"/>
    </row>
    <row r="267" spans="2:17" ht="19.5" x14ac:dyDescent="0.25">
      <c r="B267" s="146"/>
      <c r="C267" s="122"/>
      <c r="D267" s="28"/>
      <c r="E267" s="108"/>
      <c r="F267" s="28"/>
      <c r="G267" s="28"/>
      <c r="H267" s="124"/>
      <c r="I267" s="28"/>
      <c r="J267" s="28"/>
      <c r="K267" s="28"/>
      <c r="L267" s="28"/>
      <c r="M267" s="28"/>
      <c r="N267" s="28"/>
      <c r="O267" s="28"/>
      <c r="P267" s="28"/>
      <c r="Q267" s="28"/>
    </row>
    <row r="268" spans="2:17" ht="19.5" x14ac:dyDescent="0.25">
      <c r="B268" s="146"/>
      <c r="C268" s="122"/>
      <c r="D268" s="28"/>
      <c r="E268" s="108"/>
      <c r="F268" s="28"/>
      <c r="G268" s="28"/>
      <c r="H268" s="124"/>
      <c r="I268" s="28"/>
      <c r="J268" s="28"/>
      <c r="K268" s="28"/>
      <c r="L268" s="28"/>
      <c r="M268" s="28"/>
      <c r="N268" s="28"/>
      <c r="O268" s="28"/>
      <c r="P268" s="28"/>
      <c r="Q268" s="28"/>
    </row>
    <row r="269" spans="2:17" ht="19.5" x14ac:dyDescent="0.25">
      <c r="B269" s="146"/>
      <c r="C269" s="122"/>
      <c r="D269" s="28"/>
      <c r="E269" s="108"/>
      <c r="F269" s="28"/>
      <c r="G269" s="28"/>
      <c r="H269" s="124"/>
      <c r="I269" s="28"/>
      <c r="J269" s="28"/>
      <c r="K269" s="28"/>
      <c r="L269" s="28"/>
      <c r="M269" s="28"/>
      <c r="N269" s="28"/>
      <c r="O269" s="28"/>
      <c r="P269" s="28"/>
      <c r="Q269" s="28"/>
    </row>
    <row r="270" spans="2:17" ht="19.5" x14ac:dyDescent="0.25">
      <c r="B270" s="146"/>
      <c r="C270" s="122"/>
      <c r="D270" s="28"/>
      <c r="E270" s="108"/>
      <c r="F270" s="28"/>
      <c r="G270" s="28"/>
      <c r="H270" s="124"/>
      <c r="I270" s="28"/>
      <c r="J270" s="28"/>
      <c r="K270" s="28"/>
      <c r="L270" s="28"/>
      <c r="M270" s="28"/>
      <c r="N270" s="28"/>
      <c r="O270" s="28"/>
      <c r="P270" s="28"/>
      <c r="Q270" s="28"/>
    </row>
    <row r="271" spans="2:17" ht="19.5" x14ac:dyDescent="0.25">
      <c r="B271" s="146"/>
      <c r="C271" s="122"/>
      <c r="D271" s="28"/>
      <c r="E271" s="108"/>
      <c r="F271" s="28"/>
      <c r="G271" s="28"/>
      <c r="H271" s="124"/>
      <c r="I271" s="28"/>
      <c r="J271" s="28"/>
      <c r="K271" s="28"/>
      <c r="L271" s="28"/>
      <c r="M271" s="28"/>
      <c r="N271" s="28"/>
      <c r="O271" s="28"/>
      <c r="P271" s="28"/>
      <c r="Q271" s="28"/>
    </row>
    <row r="272" spans="2:17" ht="19.5" x14ac:dyDescent="0.25">
      <c r="B272" s="146"/>
      <c r="C272" s="122"/>
      <c r="D272" s="28"/>
      <c r="E272" s="108"/>
      <c r="F272" s="28"/>
      <c r="G272" s="28"/>
      <c r="H272" s="124"/>
      <c r="I272" s="28"/>
      <c r="J272" s="28"/>
      <c r="K272" s="28"/>
      <c r="L272" s="28"/>
      <c r="M272" s="28"/>
      <c r="N272" s="28"/>
      <c r="O272" s="28"/>
      <c r="P272" s="28"/>
      <c r="Q272" s="28"/>
    </row>
    <row r="273" spans="2:17" ht="19.5" x14ac:dyDescent="0.25">
      <c r="B273" s="146"/>
      <c r="C273" s="122"/>
      <c r="D273" s="28"/>
      <c r="E273" s="108"/>
      <c r="F273" s="28"/>
      <c r="G273" s="28"/>
      <c r="H273" s="124"/>
      <c r="I273" s="28"/>
      <c r="J273" s="28"/>
      <c r="K273" s="28"/>
      <c r="L273" s="28"/>
      <c r="M273" s="28"/>
      <c r="N273" s="28"/>
      <c r="O273" s="28"/>
      <c r="P273" s="28"/>
      <c r="Q273" s="28"/>
    </row>
    <row r="274" spans="2:17" ht="19.5" x14ac:dyDescent="0.25">
      <c r="B274" s="146"/>
      <c r="C274" s="122"/>
      <c r="D274" s="28"/>
      <c r="E274" s="108"/>
      <c r="F274" s="28"/>
      <c r="G274" s="28"/>
      <c r="H274" s="124"/>
      <c r="I274" s="28"/>
      <c r="J274" s="28"/>
      <c r="K274" s="28"/>
      <c r="L274" s="28"/>
      <c r="M274" s="28"/>
      <c r="N274" s="28"/>
      <c r="O274" s="28"/>
      <c r="P274" s="28"/>
      <c r="Q274" s="28"/>
    </row>
    <row r="275" spans="2:17" ht="19.5" x14ac:dyDescent="0.25">
      <c r="B275" s="146"/>
      <c r="C275" s="122"/>
      <c r="D275" s="28"/>
      <c r="E275" s="108"/>
      <c r="F275" s="28"/>
      <c r="G275" s="28"/>
      <c r="H275" s="124"/>
      <c r="I275" s="28"/>
      <c r="J275" s="28"/>
      <c r="K275" s="28"/>
      <c r="L275" s="28"/>
      <c r="M275" s="28"/>
      <c r="N275" s="28"/>
      <c r="O275" s="28"/>
      <c r="P275" s="28"/>
      <c r="Q275" s="28"/>
    </row>
    <row r="276" spans="2:17" ht="19.5" x14ac:dyDescent="0.25">
      <c r="B276" s="146"/>
      <c r="C276" s="122"/>
      <c r="D276" s="28"/>
      <c r="E276" s="108"/>
      <c r="F276" s="28"/>
      <c r="G276" s="28"/>
      <c r="H276" s="124"/>
      <c r="I276" s="28"/>
      <c r="J276" s="28"/>
      <c r="K276" s="28"/>
      <c r="L276" s="28"/>
      <c r="M276" s="28"/>
      <c r="N276" s="28"/>
      <c r="O276" s="28"/>
      <c r="P276" s="28"/>
      <c r="Q276" s="28"/>
    </row>
    <row r="277" spans="2:17" ht="19.5" x14ac:dyDescent="0.25">
      <c r="B277" s="146"/>
      <c r="C277" s="122"/>
      <c r="D277" s="28"/>
      <c r="E277" s="108"/>
      <c r="F277" s="28"/>
      <c r="G277" s="28"/>
      <c r="H277" s="124"/>
      <c r="I277" s="28"/>
      <c r="J277" s="28"/>
      <c r="K277" s="28"/>
      <c r="L277" s="28"/>
      <c r="M277" s="28"/>
      <c r="N277" s="28"/>
      <c r="O277" s="28"/>
      <c r="P277" s="28"/>
      <c r="Q277" s="28"/>
    </row>
    <row r="278" spans="2:17" ht="19.5" x14ac:dyDescent="0.25">
      <c r="B278" s="146"/>
      <c r="C278" s="122"/>
      <c r="D278" s="28"/>
      <c r="E278" s="108"/>
      <c r="F278" s="28"/>
      <c r="G278" s="28"/>
      <c r="H278" s="124"/>
      <c r="I278" s="28"/>
      <c r="J278" s="28"/>
      <c r="K278" s="28"/>
      <c r="L278" s="28"/>
      <c r="M278" s="28"/>
      <c r="N278" s="28"/>
      <c r="O278" s="28"/>
      <c r="P278" s="28"/>
      <c r="Q278" s="28"/>
    </row>
    <row r="279" spans="2:17" ht="19.5" x14ac:dyDescent="0.25">
      <c r="B279" s="146"/>
      <c r="C279" s="122"/>
      <c r="D279" s="28"/>
      <c r="E279" s="108"/>
      <c r="F279" s="28"/>
      <c r="G279" s="28"/>
      <c r="H279" s="124"/>
      <c r="I279" s="28"/>
      <c r="J279" s="28"/>
      <c r="K279" s="28"/>
      <c r="L279" s="28"/>
      <c r="M279" s="28"/>
      <c r="N279" s="28"/>
      <c r="O279" s="28"/>
      <c r="P279" s="28"/>
      <c r="Q279" s="28"/>
    </row>
    <row r="280" spans="2:17" ht="19.5" x14ac:dyDescent="0.25">
      <c r="B280" s="146"/>
      <c r="C280" s="122"/>
      <c r="D280" s="28"/>
      <c r="E280" s="108"/>
      <c r="F280" s="28"/>
      <c r="G280" s="28"/>
      <c r="H280" s="124"/>
      <c r="I280" s="28"/>
      <c r="J280" s="28"/>
      <c r="K280" s="28"/>
      <c r="L280" s="28"/>
      <c r="M280" s="28"/>
      <c r="N280" s="28"/>
      <c r="O280" s="28"/>
      <c r="P280" s="28"/>
      <c r="Q280" s="28"/>
    </row>
    <row r="281" spans="2:17" ht="19.5" x14ac:dyDescent="0.25">
      <c r="B281" s="146"/>
      <c r="C281" s="122"/>
      <c r="D281" s="28"/>
      <c r="E281" s="108"/>
      <c r="F281" s="28"/>
      <c r="G281" s="28"/>
      <c r="H281" s="124"/>
      <c r="I281" s="28"/>
      <c r="J281" s="28"/>
      <c r="K281" s="28"/>
      <c r="L281" s="28"/>
      <c r="M281" s="28"/>
      <c r="N281" s="28"/>
      <c r="O281" s="28"/>
      <c r="P281" s="28"/>
      <c r="Q281" s="28"/>
    </row>
    <row r="282" spans="2:17" ht="19.5" x14ac:dyDescent="0.25">
      <c r="B282" s="146"/>
      <c r="C282" s="122"/>
      <c r="D282" s="28"/>
      <c r="E282" s="108"/>
      <c r="F282" s="28"/>
      <c r="G282" s="28"/>
      <c r="H282" s="124"/>
      <c r="I282" s="28"/>
      <c r="J282" s="28"/>
      <c r="K282" s="28"/>
      <c r="L282" s="28"/>
      <c r="M282" s="28"/>
      <c r="N282" s="28"/>
      <c r="O282" s="28"/>
      <c r="P282" s="28"/>
      <c r="Q282" s="28"/>
    </row>
    <row r="283" spans="2:17" ht="19.5" x14ac:dyDescent="0.25">
      <c r="B283" s="146"/>
      <c r="C283" s="122"/>
      <c r="D283" s="28"/>
      <c r="E283" s="108"/>
      <c r="F283" s="28"/>
      <c r="G283" s="28"/>
      <c r="H283" s="124"/>
      <c r="I283" s="28"/>
      <c r="J283" s="28"/>
      <c r="K283" s="28"/>
      <c r="L283" s="28"/>
      <c r="M283" s="28"/>
      <c r="N283" s="28"/>
      <c r="O283" s="28"/>
      <c r="P283" s="28"/>
      <c r="Q283" s="28"/>
    </row>
    <row r="284" spans="2:17" ht="19.5" x14ac:dyDescent="0.25">
      <c r="B284" s="146"/>
      <c r="C284" s="122"/>
      <c r="D284" s="28"/>
      <c r="E284" s="108"/>
      <c r="F284" s="28"/>
      <c r="G284" s="28"/>
      <c r="H284" s="124"/>
      <c r="I284" s="28"/>
      <c r="J284" s="28"/>
      <c r="K284" s="28"/>
      <c r="L284" s="28"/>
      <c r="M284" s="28"/>
      <c r="N284" s="28"/>
      <c r="O284" s="28"/>
      <c r="P284" s="28"/>
      <c r="Q284" s="28"/>
    </row>
    <row r="285" spans="2:17" ht="19.5" x14ac:dyDescent="0.25">
      <c r="B285" s="146"/>
      <c r="C285" s="122"/>
      <c r="D285" s="28"/>
      <c r="E285" s="108"/>
      <c r="F285" s="28"/>
      <c r="G285" s="28"/>
      <c r="H285" s="124"/>
      <c r="I285" s="28"/>
      <c r="J285" s="28"/>
      <c r="K285" s="28"/>
      <c r="L285" s="28"/>
      <c r="M285" s="28"/>
      <c r="N285" s="28"/>
      <c r="O285" s="28"/>
      <c r="P285" s="28"/>
      <c r="Q285" s="28"/>
    </row>
    <row r="286" spans="2:17" ht="19.5" x14ac:dyDescent="0.25">
      <c r="B286" s="146"/>
      <c r="C286" s="122"/>
      <c r="D286" s="28"/>
      <c r="E286" s="108"/>
      <c r="F286" s="28"/>
      <c r="G286" s="28"/>
      <c r="H286" s="124"/>
      <c r="I286" s="28"/>
      <c r="J286" s="28"/>
      <c r="K286" s="28"/>
      <c r="L286" s="28"/>
      <c r="M286" s="28"/>
      <c r="N286" s="28"/>
      <c r="O286" s="28"/>
      <c r="P286" s="28"/>
      <c r="Q286" s="28"/>
    </row>
    <row r="287" spans="2:17" ht="19.5" x14ac:dyDescent="0.25">
      <c r="B287" s="146"/>
      <c r="C287" s="122"/>
      <c r="D287" s="28"/>
      <c r="E287" s="108"/>
      <c r="F287" s="28"/>
      <c r="G287" s="28"/>
      <c r="H287" s="124"/>
      <c r="I287" s="28"/>
      <c r="J287" s="28"/>
      <c r="K287" s="28"/>
      <c r="L287" s="28"/>
      <c r="M287" s="28"/>
      <c r="N287" s="28"/>
      <c r="O287" s="28"/>
      <c r="P287" s="28"/>
      <c r="Q287" s="28"/>
    </row>
    <row r="288" spans="2:17" ht="19.5" x14ac:dyDescent="0.25">
      <c r="B288" s="146"/>
      <c r="C288" s="122"/>
      <c r="D288" s="28"/>
      <c r="E288" s="108"/>
      <c r="F288" s="28"/>
      <c r="G288" s="28"/>
      <c r="H288" s="124"/>
      <c r="I288" s="28"/>
      <c r="J288" s="28"/>
      <c r="K288" s="28"/>
      <c r="L288" s="28"/>
      <c r="M288" s="28"/>
      <c r="N288" s="28"/>
      <c r="O288" s="28"/>
      <c r="P288" s="28"/>
      <c r="Q288" s="28"/>
    </row>
    <row r="289" spans="2:17" ht="19.5" x14ac:dyDescent="0.25">
      <c r="B289" s="146"/>
      <c r="C289" s="122"/>
      <c r="D289" s="28"/>
      <c r="E289" s="108"/>
      <c r="F289" s="28"/>
      <c r="G289" s="28"/>
      <c r="H289" s="124"/>
      <c r="I289" s="28"/>
      <c r="J289" s="28"/>
      <c r="K289" s="28"/>
      <c r="L289" s="28"/>
      <c r="M289" s="28"/>
      <c r="N289" s="28"/>
      <c r="O289" s="28"/>
      <c r="P289" s="28"/>
      <c r="Q289" s="28"/>
    </row>
    <row r="290" spans="2:17" ht="19.5" x14ac:dyDescent="0.25">
      <c r="B290" s="146"/>
      <c r="C290" s="122"/>
      <c r="D290" s="28"/>
      <c r="E290" s="108"/>
      <c r="F290" s="28"/>
      <c r="G290" s="28"/>
      <c r="H290" s="124"/>
      <c r="I290" s="28"/>
      <c r="J290" s="28"/>
      <c r="K290" s="28"/>
      <c r="L290" s="28"/>
      <c r="M290" s="28"/>
      <c r="N290" s="28"/>
      <c r="O290" s="28"/>
      <c r="P290" s="28"/>
      <c r="Q290" s="28"/>
    </row>
    <row r="291" spans="2:17" ht="19.5" x14ac:dyDescent="0.25">
      <c r="B291" s="146"/>
      <c r="C291" s="122"/>
      <c r="D291" s="28"/>
      <c r="E291" s="108"/>
      <c r="F291" s="28"/>
      <c r="G291" s="28"/>
      <c r="H291" s="124"/>
      <c r="I291" s="28"/>
      <c r="J291" s="28"/>
      <c r="K291" s="28"/>
      <c r="L291" s="28"/>
      <c r="M291" s="28"/>
      <c r="N291" s="28"/>
      <c r="O291" s="28"/>
      <c r="P291" s="28"/>
      <c r="Q291" s="28"/>
    </row>
    <row r="292" spans="2:17" ht="19.5" x14ac:dyDescent="0.25">
      <c r="B292" s="146"/>
      <c r="C292" s="122"/>
      <c r="D292" s="28"/>
      <c r="E292" s="108"/>
      <c r="F292" s="28"/>
      <c r="G292" s="28"/>
      <c r="H292" s="124"/>
      <c r="I292" s="28"/>
      <c r="J292" s="28"/>
      <c r="K292" s="28"/>
      <c r="L292" s="28"/>
      <c r="M292" s="28"/>
      <c r="N292" s="28"/>
      <c r="O292" s="28"/>
      <c r="P292" s="28"/>
      <c r="Q292" s="28"/>
    </row>
    <row r="293" spans="2:17" ht="19.5" x14ac:dyDescent="0.25">
      <c r="B293" s="146"/>
      <c r="C293" s="122"/>
      <c r="D293" s="28"/>
      <c r="E293" s="108"/>
      <c r="F293" s="28"/>
      <c r="G293" s="28"/>
      <c r="H293" s="124"/>
      <c r="I293" s="28"/>
      <c r="J293" s="28"/>
      <c r="K293" s="28"/>
      <c r="L293" s="28"/>
      <c r="M293" s="28"/>
      <c r="N293" s="28"/>
      <c r="O293" s="28"/>
      <c r="P293" s="28"/>
      <c r="Q293" s="28"/>
    </row>
    <row r="294" spans="2:17" ht="19.5" x14ac:dyDescent="0.25">
      <c r="B294" s="146"/>
      <c r="C294" s="122"/>
      <c r="D294" s="28"/>
      <c r="E294" s="108"/>
      <c r="F294" s="28"/>
      <c r="G294" s="28"/>
      <c r="H294" s="124"/>
      <c r="I294" s="28"/>
      <c r="J294" s="28"/>
      <c r="K294" s="28"/>
      <c r="L294" s="28"/>
      <c r="M294" s="28"/>
      <c r="N294" s="28"/>
      <c r="O294" s="28"/>
      <c r="P294" s="28"/>
      <c r="Q294" s="28"/>
    </row>
    <row r="295" spans="2:17" ht="19.5" x14ac:dyDescent="0.25">
      <c r="B295" s="146"/>
      <c r="C295" s="122"/>
      <c r="D295" s="28"/>
      <c r="E295" s="108"/>
      <c r="F295" s="28"/>
      <c r="G295" s="28"/>
      <c r="H295" s="124"/>
      <c r="I295" s="28"/>
      <c r="J295" s="28"/>
      <c r="K295" s="28"/>
      <c r="L295" s="28"/>
      <c r="M295" s="28"/>
      <c r="N295" s="28"/>
      <c r="O295" s="28"/>
      <c r="P295" s="28"/>
      <c r="Q295" s="28"/>
    </row>
    <row r="296" spans="2:17" ht="19.5" x14ac:dyDescent="0.25">
      <c r="B296" s="146"/>
      <c r="C296" s="122"/>
      <c r="D296" s="28"/>
      <c r="E296" s="108"/>
      <c r="F296" s="28"/>
      <c r="G296" s="28"/>
      <c r="H296" s="124"/>
      <c r="I296" s="28"/>
      <c r="J296" s="28"/>
      <c r="K296" s="28"/>
      <c r="L296" s="28"/>
      <c r="M296" s="28"/>
      <c r="N296" s="28"/>
      <c r="O296" s="28"/>
      <c r="P296" s="28"/>
      <c r="Q296" s="28"/>
    </row>
    <row r="297" spans="2:17" ht="19.5" x14ac:dyDescent="0.25">
      <c r="B297" s="146"/>
      <c r="C297" s="122"/>
      <c r="D297" s="28"/>
      <c r="E297" s="108"/>
      <c r="F297" s="28"/>
      <c r="G297" s="28"/>
      <c r="H297" s="124"/>
      <c r="I297" s="28"/>
      <c r="J297" s="28"/>
      <c r="K297" s="28"/>
      <c r="L297" s="28"/>
      <c r="M297" s="28"/>
      <c r="N297" s="28"/>
      <c r="O297" s="28"/>
      <c r="P297" s="28"/>
      <c r="Q297" s="28"/>
    </row>
    <row r="298" spans="2:17" ht="19.5" x14ac:dyDescent="0.25">
      <c r="B298" s="146"/>
      <c r="C298" s="122"/>
      <c r="D298" s="28"/>
      <c r="E298" s="108"/>
      <c r="F298" s="28"/>
      <c r="G298" s="28"/>
      <c r="H298" s="124"/>
      <c r="I298" s="28"/>
      <c r="J298" s="28"/>
      <c r="K298" s="28"/>
      <c r="L298" s="28"/>
      <c r="M298" s="28"/>
      <c r="N298" s="28"/>
      <c r="O298" s="28"/>
      <c r="P298" s="28"/>
      <c r="Q298" s="28"/>
    </row>
    <row r="299" spans="2:17" ht="19.5" x14ac:dyDescent="0.25">
      <c r="B299" s="146"/>
      <c r="C299" s="122"/>
      <c r="D299" s="28"/>
      <c r="E299" s="108"/>
      <c r="F299" s="28"/>
      <c r="G299" s="28"/>
      <c r="H299" s="124"/>
      <c r="I299" s="28"/>
      <c r="J299" s="28"/>
      <c r="K299" s="28"/>
      <c r="L299" s="28"/>
      <c r="M299" s="28"/>
      <c r="N299" s="28"/>
      <c r="O299" s="28"/>
      <c r="P299" s="28"/>
      <c r="Q299" s="28"/>
    </row>
    <row r="300" spans="2:17" ht="19.5" x14ac:dyDescent="0.25">
      <c r="B300" s="146"/>
      <c r="C300" s="122"/>
      <c r="D300" s="28"/>
      <c r="E300" s="108"/>
      <c r="F300" s="28"/>
      <c r="G300" s="28"/>
      <c r="H300" s="124"/>
      <c r="I300" s="28"/>
      <c r="J300" s="28"/>
      <c r="K300" s="28"/>
      <c r="L300" s="28"/>
      <c r="M300" s="28"/>
      <c r="N300" s="28"/>
      <c r="O300" s="28"/>
      <c r="P300" s="28"/>
      <c r="Q300" s="28"/>
    </row>
    <row r="301" spans="2:17" ht="19.5" x14ac:dyDescent="0.25">
      <c r="B301" s="146"/>
      <c r="C301" s="122"/>
      <c r="D301" s="28"/>
      <c r="E301" s="108"/>
      <c r="F301" s="28"/>
      <c r="G301" s="28"/>
      <c r="H301" s="124"/>
      <c r="I301" s="28"/>
      <c r="J301" s="28"/>
      <c r="K301" s="28"/>
      <c r="L301" s="28"/>
      <c r="M301" s="28"/>
      <c r="N301" s="28"/>
      <c r="O301" s="28"/>
      <c r="P301" s="28"/>
      <c r="Q301" s="28"/>
    </row>
    <row r="302" spans="2:17" ht="19.5" x14ac:dyDescent="0.25">
      <c r="B302" s="146"/>
      <c r="C302" s="122"/>
      <c r="D302" s="28"/>
      <c r="E302" s="108"/>
      <c r="F302" s="28"/>
      <c r="G302" s="28"/>
      <c r="H302" s="124"/>
      <c r="I302" s="28"/>
      <c r="J302" s="28"/>
      <c r="K302" s="28"/>
      <c r="L302" s="28"/>
      <c r="M302" s="28"/>
      <c r="N302" s="28"/>
      <c r="O302" s="28"/>
      <c r="P302" s="28"/>
      <c r="Q302" s="28"/>
    </row>
    <row r="303" spans="2:17" ht="19.5" x14ac:dyDescent="0.25">
      <c r="B303" s="146"/>
      <c r="C303" s="122"/>
      <c r="D303" s="28"/>
      <c r="E303" s="108"/>
      <c r="F303" s="28"/>
      <c r="G303" s="28"/>
      <c r="H303" s="124"/>
      <c r="I303" s="28"/>
      <c r="J303" s="28"/>
      <c r="K303" s="28"/>
      <c r="L303" s="28"/>
      <c r="M303" s="28"/>
      <c r="N303" s="28"/>
      <c r="O303" s="28"/>
      <c r="P303" s="28"/>
      <c r="Q303" s="28"/>
    </row>
    <row r="304" spans="2:17" ht="19.5" x14ac:dyDescent="0.25">
      <c r="B304" s="146"/>
      <c r="C304" s="122"/>
      <c r="D304" s="28"/>
      <c r="E304" s="108"/>
      <c r="F304" s="28"/>
      <c r="G304" s="28"/>
      <c r="H304" s="124"/>
      <c r="I304" s="28"/>
      <c r="J304" s="28"/>
      <c r="K304" s="28"/>
      <c r="L304" s="28"/>
      <c r="M304" s="28"/>
      <c r="N304" s="28"/>
      <c r="O304" s="28"/>
      <c r="P304" s="28"/>
      <c r="Q304" s="28"/>
    </row>
    <row r="305" spans="2:17" ht="19.5" x14ac:dyDescent="0.25">
      <c r="B305" s="146"/>
      <c r="C305" s="122"/>
      <c r="D305" s="28"/>
      <c r="E305" s="108"/>
      <c r="F305" s="28"/>
      <c r="G305" s="28"/>
      <c r="H305" s="124"/>
      <c r="I305" s="28"/>
      <c r="J305" s="28"/>
      <c r="K305" s="28"/>
      <c r="L305" s="28"/>
      <c r="M305" s="28"/>
      <c r="N305" s="28"/>
      <c r="O305" s="28"/>
      <c r="P305" s="28"/>
      <c r="Q305" s="28"/>
    </row>
    <row r="306" spans="2:17" ht="19.5" x14ac:dyDescent="0.25">
      <c r="B306" s="146"/>
      <c r="C306" s="122"/>
      <c r="D306" s="28"/>
      <c r="E306" s="108"/>
      <c r="F306" s="28"/>
      <c r="G306" s="28"/>
      <c r="H306" s="124"/>
      <c r="I306" s="28"/>
      <c r="J306" s="28"/>
      <c r="K306" s="28"/>
      <c r="L306" s="28"/>
      <c r="M306" s="28"/>
      <c r="N306" s="28"/>
      <c r="O306" s="28"/>
      <c r="P306" s="28"/>
      <c r="Q306" s="28"/>
    </row>
    <row r="307" spans="2:17" ht="19.5" x14ac:dyDescent="0.25">
      <c r="B307" s="146"/>
      <c r="C307" s="122"/>
      <c r="D307" s="28"/>
      <c r="E307" s="108"/>
      <c r="F307" s="28"/>
      <c r="G307" s="28"/>
      <c r="H307" s="124"/>
      <c r="I307" s="28"/>
      <c r="J307" s="28"/>
      <c r="K307" s="28"/>
      <c r="L307" s="28"/>
      <c r="M307" s="28"/>
      <c r="N307" s="28"/>
      <c r="O307" s="28"/>
      <c r="P307" s="28"/>
      <c r="Q307" s="28"/>
    </row>
    <row r="308" spans="2:17" ht="19.5" x14ac:dyDescent="0.25">
      <c r="B308" s="146"/>
      <c r="C308" s="122"/>
      <c r="D308" s="28"/>
      <c r="E308" s="108"/>
      <c r="F308" s="28"/>
      <c r="G308" s="28"/>
      <c r="H308" s="124"/>
      <c r="I308" s="28"/>
      <c r="J308" s="28"/>
      <c r="K308" s="28"/>
      <c r="L308" s="28"/>
      <c r="M308" s="28"/>
      <c r="N308" s="28"/>
      <c r="O308" s="28"/>
      <c r="P308" s="28"/>
      <c r="Q308" s="28"/>
    </row>
    <row r="309" spans="2:17" ht="19.5" x14ac:dyDescent="0.25">
      <c r="B309" s="146"/>
      <c r="C309" s="122"/>
      <c r="D309" s="28"/>
      <c r="E309" s="108"/>
      <c r="F309" s="28"/>
      <c r="G309" s="28"/>
      <c r="H309" s="124"/>
      <c r="I309" s="28"/>
      <c r="J309" s="28"/>
      <c r="K309" s="28"/>
      <c r="L309" s="28"/>
      <c r="M309" s="28"/>
      <c r="N309" s="28"/>
      <c r="O309" s="28"/>
      <c r="P309" s="28"/>
      <c r="Q309" s="28"/>
    </row>
    <row r="310" spans="2:17" ht="19.5" x14ac:dyDescent="0.25">
      <c r="B310" s="146"/>
      <c r="C310" s="122"/>
      <c r="D310" s="28"/>
      <c r="E310" s="108"/>
      <c r="F310" s="28"/>
      <c r="G310" s="28"/>
      <c r="H310" s="124"/>
      <c r="I310" s="28"/>
      <c r="J310" s="28"/>
      <c r="K310" s="28"/>
      <c r="L310" s="28"/>
      <c r="M310" s="28"/>
      <c r="N310" s="28"/>
      <c r="O310" s="28"/>
      <c r="P310" s="28"/>
      <c r="Q310" s="28"/>
    </row>
    <row r="311" spans="2:17" ht="19.5" x14ac:dyDescent="0.25">
      <c r="B311" s="146"/>
      <c r="C311" s="122"/>
      <c r="D311" s="28"/>
      <c r="E311" s="108"/>
      <c r="F311" s="28"/>
      <c r="G311" s="28"/>
      <c r="H311" s="124"/>
      <c r="I311" s="28"/>
      <c r="J311" s="28"/>
      <c r="K311" s="28"/>
      <c r="L311" s="28"/>
      <c r="M311" s="28"/>
      <c r="N311" s="28"/>
      <c r="O311" s="28"/>
      <c r="P311" s="28"/>
      <c r="Q311" s="28"/>
    </row>
    <row r="312" spans="2:17" ht="19.5" x14ac:dyDescent="0.25">
      <c r="B312" s="146"/>
      <c r="C312" s="122"/>
      <c r="D312" s="28"/>
      <c r="E312" s="108"/>
      <c r="F312" s="28"/>
      <c r="G312" s="28"/>
      <c r="H312" s="124"/>
      <c r="I312" s="28"/>
      <c r="J312" s="28"/>
      <c r="K312" s="28"/>
      <c r="L312" s="28"/>
      <c r="M312" s="28"/>
      <c r="N312" s="28"/>
      <c r="O312" s="28"/>
      <c r="P312" s="28"/>
      <c r="Q312" s="28"/>
    </row>
    <row r="313" spans="2:17" ht="19.5" x14ac:dyDescent="0.25">
      <c r="B313" s="146"/>
      <c r="C313" s="122"/>
      <c r="D313" s="28"/>
      <c r="E313" s="108"/>
      <c r="F313" s="28"/>
      <c r="G313" s="28"/>
      <c r="H313" s="124"/>
      <c r="I313" s="28"/>
      <c r="J313" s="28"/>
      <c r="K313" s="28"/>
      <c r="L313" s="28"/>
      <c r="M313" s="28"/>
      <c r="N313" s="28"/>
      <c r="O313" s="28"/>
      <c r="P313" s="28"/>
      <c r="Q313" s="28"/>
    </row>
    <row r="314" spans="2:17" ht="19.5" x14ac:dyDescent="0.25">
      <c r="B314" s="146"/>
      <c r="C314" s="122"/>
      <c r="D314" s="28"/>
      <c r="E314" s="108"/>
      <c r="F314" s="28"/>
      <c r="G314" s="28"/>
      <c r="H314" s="124"/>
      <c r="I314" s="28"/>
      <c r="J314" s="28"/>
      <c r="K314" s="28"/>
      <c r="L314" s="28"/>
      <c r="M314" s="28"/>
      <c r="N314" s="28"/>
      <c r="O314" s="28"/>
      <c r="P314" s="28"/>
      <c r="Q314" s="28"/>
    </row>
    <row r="315" spans="2:17" ht="19.5" x14ac:dyDescent="0.25">
      <c r="B315" s="146"/>
      <c r="C315" s="122"/>
      <c r="D315" s="28"/>
      <c r="E315" s="108"/>
      <c r="F315" s="28"/>
      <c r="G315" s="28"/>
      <c r="H315" s="124"/>
      <c r="I315" s="28"/>
      <c r="J315" s="28"/>
      <c r="K315" s="28"/>
      <c r="L315" s="28"/>
      <c r="M315" s="28"/>
      <c r="N315" s="28"/>
      <c r="O315" s="28"/>
      <c r="P315" s="28"/>
      <c r="Q315" s="28"/>
    </row>
    <row r="316" spans="2:17" ht="19.5" x14ac:dyDescent="0.25">
      <c r="B316" s="146"/>
      <c r="C316" s="122"/>
      <c r="D316" s="28"/>
      <c r="E316" s="108"/>
      <c r="F316" s="28"/>
      <c r="G316" s="28"/>
      <c r="H316" s="124"/>
      <c r="I316" s="28"/>
      <c r="J316" s="28"/>
      <c r="K316" s="28"/>
      <c r="L316" s="28"/>
      <c r="M316" s="28"/>
      <c r="N316" s="28"/>
      <c r="O316" s="28"/>
      <c r="P316" s="28"/>
      <c r="Q316" s="28"/>
    </row>
    <row r="317" spans="2:17" ht="19.5" x14ac:dyDescent="0.25">
      <c r="B317" s="146"/>
      <c r="C317" s="122"/>
      <c r="D317" s="28"/>
      <c r="E317" s="108"/>
      <c r="F317" s="28"/>
      <c r="G317" s="28"/>
      <c r="H317" s="124"/>
      <c r="I317" s="28"/>
      <c r="J317" s="28"/>
      <c r="K317" s="28"/>
      <c r="L317" s="28"/>
      <c r="M317" s="28"/>
      <c r="N317" s="28"/>
      <c r="O317" s="28"/>
      <c r="P317" s="28"/>
      <c r="Q317" s="28"/>
    </row>
    <row r="318" spans="2:17" ht="19.5" x14ac:dyDescent="0.25">
      <c r="B318" s="146"/>
      <c r="C318" s="122"/>
      <c r="D318" s="28"/>
      <c r="E318" s="108"/>
      <c r="F318" s="28"/>
      <c r="G318" s="28"/>
      <c r="H318" s="124"/>
      <c r="I318" s="28"/>
      <c r="J318" s="28"/>
      <c r="K318" s="28"/>
      <c r="L318" s="28"/>
      <c r="M318" s="28"/>
      <c r="N318" s="28"/>
      <c r="O318" s="28"/>
      <c r="P318" s="28"/>
      <c r="Q318" s="28"/>
    </row>
    <row r="319" spans="2:17" ht="19.5" x14ac:dyDescent="0.25">
      <c r="B319" s="146"/>
      <c r="C319" s="122"/>
      <c r="D319" s="28"/>
      <c r="E319" s="108"/>
      <c r="F319" s="28"/>
      <c r="G319" s="28"/>
      <c r="H319" s="124"/>
      <c r="I319" s="28"/>
      <c r="J319" s="28"/>
      <c r="K319" s="28"/>
      <c r="L319" s="28"/>
      <c r="M319" s="28"/>
      <c r="N319" s="28"/>
      <c r="O319" s="28"/>
      <c r="P319" s="28"/>
      <c r="Q319" s="28"/>
    </row>
    <row r="320" spans="2:17" ht="19.5" x14ac:dyDescent="0.25">
      <c r="B320" s="146"/>
      <c r="C320" s="122"/>
      <c r="D320" s="28"/>
      <c r="E320" s="108"/>
      <c r="F320" s="28"/>
      <c r="G320" s="28"/>
      <c r="H320" s="124"/>
      <c r="I320" s="28"/>
      <c r="J320" s="28"/>
      <c r="K320" s="28"/>
      <c r="L320" s="28"/>
      <c r="M320" s="28"/>
      <c r="N320" s="28"/>
      <c r="O320" s="28"/>
      <c r="P320" s="28"/>
      <c r="Q320" s="28"/>
    </row>
    <row r="321" spans="2:17" ht="19.5" x14ac:dyDescent="0.25">
      <c r="B321" s="146"/>
      <c r="C321" s="122"/>
      <c r="D321" s="28"/>
      <c r="E321" s="108"/>
      <c r="F321" s="28"/>
      <c r="G321" s="28"/>
      <c r="H321" s="124"/>
      <c r="I321" s="28"/>
      <c r="J321" s="28"/>
      <c r="K321" s="28"/>
      <c r="L321" s="28"/>
      <c r="M321" s="28"/>
      <c r="N321" s="28"/>
      <c r="O321" s="28"/>
      <c r="P321" s="28"/>
      <c r="Q321" s="28"/>
    </row>
    <row r="322" spans="2:17" ht="19.5" x14ac:dyDescent="0.25">
      <c r="B322" s="146"/>
      <c r="C322" s="122"/>
      <c r="D322" s="28"/>
      <c r="E322" s="108"/>
      <c r="F322" s="28"/>
      <c r="G322" s="28"/>
      <c r="H322" s="124"/>
      <c r="I322" s="28"/>
      <c r="J322" s="28"/>
      <c r="K322" s="28"/>
      <c r="L322" s="28"/>
      <c r="M322" s="28"/>
      <c r="N322" s="28"/>
      <c r="O322" s="28"/>
      <c r="P322" s="28"/>
      <c r="Q322" s="28"/>
    </row>
    <row r="323" spans="2:17" ht="19.5" x14ac:dyDescent="0.25">
      <c r="B323" s="146"/>
      <c r="C323" s="122"/>
      <c r="D323" s="28"/>
      <c r="E323" s="108"/>
      <c r="F323" s="28"/>
      <c r="G323" s="28"/>
      <c r="H323" s="124"/>
      <c r="I323" s="28"/>
      <c r="J323" s="28"/>
      <c r="K323" s="28"/>
      <c r="L323" s="28"/>
      <c r="M323" s="28"/>
      <c r="N323" s="28"/>
      <c r="O323" s="28"/>
      <c r="P323" s="28"/>
      <c r="Q323" s="28"/>
    </row>
    <row r="324" spans="2:17" ht="19.5" x14ac:dyDescent="0.25">
      <c r="B324" s="146"/>
      <c r="C324" s="122"/>
      <c r="D324" s="28"/>
      <c r="E324" s="108"/>
      <c r="F324" s="28"/>
      <c r="G324" s="28"/>
      <c r="H324" s="124"/>
      <c r="I324" s="28"/>
      <c r="J324" s="28"/>
      <c r="K324" s="28"/>
      <c r="L324" s="28"/>
      <c r="M324" s="28"/>
      <c r="N324" s="28"/>
      <c r="O324" s="28"/>
      <c r="P324" s="28"/>
      <c r="Q324" s="28"/>
    </row>
    <row r="325" spans="2:17" ht="19.5" x14ac:dyDescent="0.25">
      <c r="B325" s="146"/>
      <c r="C325" s="122"/>
      <c r="D325" s="28"/>
      <c r="E325" s="108"/>
      <c r="F325" s="28"/>
      <c r="G325" s="28"/>
      <c r="H325" s="124"/>
      <c r="I325" s="28"/>
      <c r="J325" s="28"/>
      <c r="K325" s="28"/>
      <c r="L325" s="28"/>
      <c r="M325" s="28"/>
      <c r="N325" s="28"/>
      <c r="O325" s="28"/>
      <c r="P325" s="28"/>
      <c r="Q325" s="28"/>
    </row>
    <row r="326" spans="2:17" ht="19.5" x14ac:dyDescent="0.25">
      <c r="B326" s="146"/>
      <c r="C326" s="122"/>
      <c r="D326" s="28"/>
      <c r="E326" s="108"/>
      <c r="F326" s="28"/>
      <c r="G326" s="28"/>
      <c r="H326" s="124"/>
      <c r="I326" s="28"/>
      <c r="J326" s="28"/>
      <c r="K326" s="28"/>
      <c r="L326" s="28"/>
      <c r="M326" s="28"/>
      <c r="N326" s="28"/>
      <c r="O326" s="28"/>
      <c r="P326" s="28"/>
      <c r="Q326" s="28"/>
    </row>
    <row r="327" spans="2:17" ht="19.5" x14ac:dyDescent="0.25">
      <c r="B327" s="146"/>
      <c r="C327" s="122"/>
      <c r="D327" s="28"/>
      <c r="E327" s="108"/>
      <c r="F327" s="28"/>
      <c r="G327" s="28"/>
      <c r="H327" s="124"/>
      <c r="I327" s="28"/>
      <c r="J327" s="28"/>
      <c r="K327" s="28"/>
      <c r="L327" s="28"/>
      <c r="M327" s="28"/>
      <c r="N327" s="28"/>
      <c r="O327" s="28"/>
      <c r="P327" s="28"/>
      <c r="Q327" s="28"/>
    </row>
    <row r="328" spans="2:17" ht="19.5" x14ac:dyDescent="0.25">
      <c r="B328" s="146"/>
      <c r="C328" s="122"/>
      <c r="D328" s="28"/>
      <c r="E328" s="108"/>
      <c r="F328" s="28"/>
      <c r="G328" s="28"/>
      <c r="H328" s="124"/>
      <c r="I328" s="28"/>
      <c r="J328" s="28"/>
      <c r="K328" s="28"/>
      <c r="L328" s="28"/>
      <c r="M328" s="28"/>
      <c r="N328" s="28"/>
      <c r="O328" s="28"/>
      <c r="P328" s="28"/>
      <c r="Q328" s="28"/>
    </row>
    <row r="329" spans="2:17" ht="19.5" x14ac:dyDescent="0.25">
      <c r="B329" s="146"/>
      <c r="C329" s="122"/>
      <c r="D329" s="28"/>
      <c r="E329" s="108"/>
      <c r="F329" s="28"/>
      <c r="G329" s="28"/>
      <c r="H329" s="124"/>
      <c r="I329" s="28"/>
      <c r="J329" s="28"/>
      <c r="K329" s="28"/>
      <c r="L329" s="28"/>
      <c r="M329" s="28"/>
      <c r="N329" s="28"/>
      <c r="O329" s="28"/>
      <c r="P329" s="28"/>
      <c r="Q329" s="28"/>
    </row>
    <row r="330" spans="2:17" ht="19.5" x14ac:dyDescent="0.25">
      <c r="B330" s="146"/>
      <c r="C330" s="122"/>
      <c r="D330" s="28"/>
      <c r="E330" s="108"/>
      <c r="F330" s="28"/>
      <c r="G330" s="28"/>
      <c r="H330" s="124"/>
      <c r="I330" s="28"/>
      <c r="J330" s="28"/>
      <c r="K330" s="28"/>
      <c r="L330" s="28"/>
      <c r="M330" s="28"/>
      <c r="N330" s="28"/>
      <c r="O330" s="28"/>
      <c r="P330" s="28"/>
      <c r="Q330" s="28"/>
    </row>
    <row r="331" spans="2:17" ht="19.5" x14ac:dyDescent="0.25">
      <c r="B331" s="146"/>
      <c r="C331" s="122"/>
      <c r="D331" s="28"/>
      <c r="E331" s="108"/>
      <c r="F331" s="28"/>
      <c r="G331" s="28"/>
      <c r="H331" s="124"/>
      <c r="I331" s="28"/>
      <c r="J331" s="28"/>
      <c r="K331" s="28"/>
      <c r="L331" s="28"/>
      <c r="M331" s="28"/>
      <c r="N331" s="28"/>
      <c r="O331" s="28"/>
      <c r="P331" s="28"/>
      <c r="Q331" s="28"/>
    </row>
    <row r="332" spans="2:17" ht="19.5" x14ac:dyDescent="0.25">
      <c r="B332" s="146"/>
      <c r="C332" s="122"/>
      <c r="D332" s="28"/>
      <c r="E332" s="108"/>
      <c r="F332" s="28"/>
      <c r="G332" s="28"/>
      <c r="H332" s="124"/>
      <c r="I332" s="28"/>
      <c r="J332" s="28"/>
      <c r="K332" s="28"/>
      <c r="L332" s="28"/>
      <c r="M332" s="28"/>
      <c r="N332" s="28"/>
      <c r="O332" s="28"/>
      <c r="P332" s="28"/>
      <c r="Q332" s="28"/>
    </row>
    <row r="333" spans="2:17" ht="19.5" x14ac:dyDescent="0.25">
      <c r="B333" s="146"/>
      <c r="C333" s="122"/>
      <c r="D333" s="28"/>
      <c r="E333" s="108"/>
      <c r="F333" s="28"/>
      <c r="G333" s="28"/>
      <c r="H333" s="124"/>
      <c r="I333" s="28"/>
      <c r="J333" s="28"/>
      <c r="K333" s="28"/>
      <c r="L333" s="28"/>
      <c r="M333" s="28"/>
      <c r="N333" s="28"/>
      <c r="O333" s="28"/>
      <c r="P333" s="28"/>
      <c r="Q333" s="28"/>
    </row>
    <row r="334" spans="2:17" ht="19.5" x14ac:dyDescent="0.25">
      <c r="B334" s="146"/>
      <c r="C334" s="122"/>
      <c r="D334" s="28"/>
      <c r="E334" s="108"/>
      <c r="F334" s="28"/>
      <c r="G334" s="28"/>
      <c r="H334" s="124"/>
      <c r="I334" s="28"/>
      <c r="J334" s="28"/>
      <c r="K334" s="28"/>
      <c r="L334" s="28"/>
      <c r="M334" s="28"/>
      <c r="N334" s="28"/>
      <c r="O334" s="28"/>
      <c r="P334" s="28"/>
      <c r="Q334" s="28"/>
    </row>
    <row r="335" spans="2:17" ht="19.5" x14ac:dyDescent="0.25">
      <c r="B335" s="146"/>
      <c r="C335" s="122"/>
      <c r="D335" s="28"/>
      <c r="E335" s="108"/>
      <c r="F335" s="28"/>
      <c r="G335" s="28"/>
      <c r="H335" s="124"/>
      <c r="I335" s="28"/>
      <c r="J335" s="28"/>
      <c r="K335" s="28"/>
      <c r="L335" s="28"/>
      <c r="M335" s="28"/>
      <c r="N335" s="28"/>
      <c r="O335" s="28"/>
      <c r="P335" s="28"/>
      <c r="Q335" s="28"/>
    </row>
    <row r="336" spans="2:17" ht="19.5" x14ac:dyDescent="0.25">
      <c r="B336" s="146"/>
      <c r="C336" s="122"/>
      <c r="D336" s="28"/>
      <c r="E336" s="108"/>
      <c r="F336" s="28"/>
      <c r="G336" s="28"/>
      <c r="H336" s="124"/>
      <c r="I336" s="28"/>
      <c r="J336" s="28"/>
      <c r="K336" s="28"/>
      <c r="L336" s="28"/>
      <c r="M336" s="28"/>
      <c r="N336" s="28"/>
      <c r="O336" s="28"/>
      <c r="P336" s="28"/>
      <c r="Q336" s="28"/>
    </row>
    <row r="337" spans="2:17" ht="19.5" x14ac:dyDescent="0.25">
      <c r="B337" s="146"/>
      <c r="C337" s="122"/>
      <c r="D337" s="28"/>
      <c r="E337" s="108"/>
      <c r="F337" s="28"/>
      <c r="G337" s="28"/>
      <c r="H337" s="124"/>
      <c r="I337" s="28"/>
      <c r="J337" s="28"/>
      <c r="K337" s="28"/>
      <c r="L337" s="28"/>
      <c r="M337" s="28"/>
      <c r="N337" s="28"/>
      <c r="O337" s="28"/>
      <c r="P337" s="28"/>
      <c r="Q337" s="28"/>
    </row>
    <row r="338" spans="2:17" ht="19.5" x14ac:dyDescent="0.25">
      <c r="B338" s="146"/>
      <c r="C338" s="122"/>
      <c r="D338" s="28"/>
      <c r="E338" s="108"/>
      <c r="F338" s="28"/>
      <c r="G338" s="28"/>
      <c r="H338" s="124"/>
      <c r="I338" s="28"/>
      <c r="J338" s="28"/>
      <c r="K338" s="28"/>
      <c r="L338" s="28"/>
      <c r="M338" s="28"/>
      <c r="N338" s="28"/>
      <c r="O338" s="28"/>
      <c r="P338" s="28"/>
      <c r="Q338" s="28"/>
    </row>
    <row r="339" spans="2:17" ht="19.5" x14ac:dyDescent="0.25">
      <c r="B339" s="146"/>
      <c r="C339" s="122"/>
      <c r="D339" s="28"/>
      <c r="E339" s="108"/>
      <c r="F339" s="28"/>
      <c r="G339" s="28"/>
      <c r="H339" s="124"/>
      <c r="I339" s="28"/>
      <c r="J339" s="28"/>
      <c r="K339" s="28"/>
      <c r="L339" s="28"/>
      <c r="M339" s="28"/>
      <c r="N339" s="28"/>
      <c r="O339" s="28"/>
      <c r="P339" s="28"/>
      <c r="Q339" s="28"/>
    </row>
    <row r="340" spans="2:17" ht="19.5" x14ac:dyDescent="0.25">
      <c r="B340" s="146"/>
      <c r="C340" s="122"/>
      <c r="D340" s="28"/>
      <c r="E340" s="108"/>
      <c r="F340" s="28"/>
      <c r="G340" s="28"/>
      <c r="H340" s="124"/>
      <c r="I340" s="28"/>
      <c r="J340" s="28"/>
      <c r="K340" s="28"/>
      <c r="L340" s="28"/>
      <c r="M340" s="28"/>
      <c r="N340" s="28"/>
      <c r="O340" s="28"/>
      <c r="P340" s="28"/>
      <c r="Q340" s="28"/>
    </row>
    <row r="341" spans="2:17" ht="19.5" x14ac:dyDescent="0.25">
      <c r="B341" s="146"/>
      <c r="C341" s="122"/>
      <c r="D341" s="28"/>
      <c r="E341" s="108"/>
      <c r="F341" s="28"/>
      <c r="G341" s="28"/>
      <c r="H341" s="124"/>
      <c r="I341" s="28"/>
      <c r="J341" s="28"/>
      <c r="K341" s="28"/>
      <c r="L341" s="28"/>
      <c r="M341" s="28"/>
      <c r="N341" s="28"/>
      <c r="O341" s="28"/>
      <c r="P341" s="28"/>
      <c r="Q341" s="28"/>
    </row>
    <row r="342" spans="2:17" ht="19.5" x14ac:dyDescent="0.25">
      <c r="B342" s="146"/>
      <c r="C342" s="122"/>
      <c r="D342" s="28"/>
      <c r="E342" s="108"/>
      <c r="F342" s="28"/>
      <c r="G342" s="28"/>
      <c r="H342" s="124"/>
      <c r="I342" s="28"/>
      <c r="J342" s="28"/>
      <c r="K342" s="28"/>
      <c r="L342" s="28"/>
      <c r="M342" s="28"/>
      <c r="N342" s="28"/>
      <c r="O342" s="28"/>
      <c r="P342" s="28"/>
      <c r="Q342" s="28"/>
    </row>
    <row r="343" spans="2:17" ht="19.5" x14ac:dyDescent="0.25">
      <c r="B343" s="146"/>
      <c r="C343" s="122"/>
      <c r="D343" s="28"/>
      <c r="E343" s="108"/>
      <c r="F343" s="28"/>
      <c r="G343" s="28"/>
      <c r="H343" s="124"/>
      <c r="I343" s="28"/>
      <c r="J343" s="28"/>
      <c r="K343" s="28"/>
      <c r="L343" s="28"/>
      <c r="M343" s="28"/>
      <c r="N343" s="28"/>
      <c r="O343" s="28"/>
      <c r="P343" s="28"/>
      <c r="Q343" s="28"/>
    </row>
    <row r="344" spans="2:17" ht="19.5" x14ac:dyDescent="0.25">
      <c r="B344" s="146"/>
      <c r="C344" s="122"/>
      <c r="D344" s="28"/>
      <c r="E344" s="108"/>
      <c r="F344" s="28"/>
      <c r="G344" s="28"/>
      <c r="H344" s="124"/>
      <c r="I344" s="28"/>
      <c r="J344" s="28"/>
      <c r="K344" s="28"/>
      <c r="L344" s="28"/>
      <c r="M344" s="28"/>
      <c r="N344" s="28"/>
      <c r="O344" s="28"/>
      <c r="P344" s="28"/>
      <c r="Q344" s="28"/>
    </row>
    <row r="345" spans="2:17" ht="19.5" x14ac:dyDescent="0.25">
      <c r="B345" s="146"/>
      <c r="C345" s="122"/>
      <c r="D345" s="28"/>
      <c r="E345" s="108"/>
      <c r="F345" s="28"/>
      <c r="G345" s="28"/>
      <c r="H345" s="124"/>
      <c r="I345" s="28"/>
      <c r="J345" s="28"/>
      <c r="K345" s="28"/>
      <c r="L345" s="28"/>
      <c r="M345" s="28"/>
      <c r="N345" s="28"/>
      <c r="O345" s="28"/>
      <c r="P345" s="28"/>
      <c r="Q345" s="28"/>
    </row>
    <row r="346" spans="2:17" ht="19.5" x14ac:dyDescent="0.25">
      <c r="B346" s="146"/>
      <c r="C346" s="122"/>
      <c r="D346" s="28"/>
      <c r="E346" s="108"/>
      <c r="F346" s="28"/>
      <c r="G346" s="28"/>
      <c r="H346" s="124"/>
      <c r="I346" s="28"/>
      <c r="J346" s="28"/>
      <c r="K346" s="28"/>
      <c r="L346" s="28"/>
      <c r="M346" s="28"/>
      <c r="N346" s="28"/>
      <c r="O346" s="28"/>
      <c r="P346" s="28"/>
      <c r="Q346" s="28"/>
    </row>
    <row r="347" spans="2:17" ht="19.5" x14ac:dyDescent="0.25">
      <c r="B347" s="146"/>
      <c r="C347" s="122"/>
      <c r="D347" s="28"/>
      <c r="E347" s="108"/>
      <c r="F347" s="28"/>
      <c r="G347" s="28"/>
      <c r="H347" s="124"/>
      <c r="I347" s="28"/>
      <c r="J347" s="28"/>
      <c r="K347" s="28"/>
      <c r="L347" s="28"/>
      <c r="M347" s="28"/>
      <c r="N347" s="28"/>
      <c r="O347" s="28"/>
      <c r="P347" s="28"/>
      <c r="Q347" s="28"/>
    </row>
    <row r="348" spans="2:17" ht="19.5" x14ac:dyDescent="0.25">
      <c r="B348" s="146"/>
      <c r="C348" s="122"/>
      <c r="D348" s="28"/>
      <c r="E348" s="108"/>
      <c r="F348" s="28"/>
      <c r="G348" s="28"/>
      <c r="H348" s="124"/>
      <c r="I348" s="28"/>
      <c r="J348" s="28"/>
      <c r="K348" s="28"/>
      <c r="L348" s="28"/>
      <c r="M348" s="28"/>
      <c r="N348" s="28"/>
      <c r="O348" s="28"/>
      <c r="P348" s="28"/>
      <c r="Q348" s="28"/>
    </row>
    <row r="349" spans="2:17" ht="19.5" x14ac:dyDescent="0.25">
      <c r="B349" s="146"/>
      <c r="C349" s="122"/>
      <c r="D349" s="28"/>
      <c r="E349" s="108"/>
      <c r="F349" s="28"/>
      <c r="G349" s="28"/>
      <c r="H349" s="124"/>
      <c r="I349" s="28"/>
      <c r="J349" s="28"/>
      <c r="K349" s="28"/>
      <c r="L349" s="28"/>
      <c r="M349" s="28"/>
      <c r="N349" s="28"/>
      <c r="O349" s="28"/>
      <c r="P349" s="28"/>
      <c r="Q349" s="28"/>
    </row>
    <row r="350" spans="2:17" ht="19.5" x14ac:dyDescent="0.25">
      <c r="B350" s="146"/>
      <c r="C350" s="122"/>
      <c r="D350" s="28"/>
      <c r="E350" s="108"/>
      <c r="F350" s="28"/>
      <c r="G350" s="28"/>
      <c r="H350" s="124"/>
      <c r="I350" s="28"/>
      <c r="J350" s="28"/>
      <c r="K350" s="28"/>
      <c r="L350" s="28"/>
      <c r="M350" s="28"/>
      <c r="N350" s="28"/>
      <c r="O350" s="28"/>
      <c r="P350" s="28"/>
      <c r="Q350" s="28"/>
    </row>
    <row r="351" spans="2:17" ht="19.5" x14ac:dyDescent="0.25">
      <c r="B351" s="146"/>
      <c r="C351" s="122"/>
      <c r="D351" s="28"/>
      <c r="E351" s="108"/>
      <c r="F351" s="28"/>
      <c r="G351" s="28"/>
      <c r="H351" s="124"/>
      <c r="I351" s="28"/>
      <c r="J351" s="28"/>
      <c r="K351" s="28"/>
      <c r="L351" s="28"/>
      <c r="M351" s="28"/>
      <c r="N351" s="28"/>
      <c r="O351" s="28"/>
      <c r="P351" s="28"/>
      <c r="Q351" s="28"/>
    </row>
    <row r="352" spans="2:17" ht="19.5" x14ac:dyDescent="0.25">
      <c r="B352" s="146"/>
      <c r="C352" s="122"/>
      <c r="D352" s="28"/>
      <c r="E352" s="108"/>
      <c r="F352" s="28"/>
      <c r="G352" s="28"/>
      <c r="H352" s="124"/>
      <c r="I352" s="28"/>
      <c r="J352" s="28"/>
      <c r="K352" s="28"/>
      <c r="L352" s="28"/>
      <c r="M352" s="28"/>
      <c r="N352" s="28"/>
      <c r="O352" s="28"/>
      <c r="P352" s="28"/>
      <c r="Q352" s="28"/>
    </row>
    <row r="353" spans="2:17" ht="19.5" x14ac:dyDescent="0.25">
      <c r="B353" s="146"/>
      <c r="C353" s="122"/>
      <c r="D353" s="28"/>
      <c r="E353" s="108"/>
      <c r="F353" s="28"/>
      <c r="G353" s="28"/>
      <c r="H353" s="124"/>
      <c r="I353" s="28"/>
      <c r="J353" s="28"/>
      <c r="K353" s="28"/>
      <c r="L353" s="28"/>
      <c r="M353" s="28"/>
      <c r="N353" s="28"/>
      <c r="O353" s="28"/>
      <c r="P353" s="28"/>
      <c r="Q353" s="28"/>
    </row>
    <row r="354" spans="2:17" ht="19.5" x14ac:dyDescent="0.25">
      <c r="B354" s="146"/>
      <c r="C354" s="122"/>
      <c r="D354" s="28"/>
      <c r="E354" s="108"/>
      <c r="F354" s="28"/>
      <c r="G354" s="28"/>
      <c r="H354" s="124"/>
      <c r="I354" s="28"/>
      <c r="J354" s="28"/>
      <c r="K354" s="28"/>
      <c r="L354" s="28"/>
      <c r="M354" s="28"/>
      <c r="N354" s="28"/>
      <c r="O354" s="28"/>
      <c r="P354" s="28"/>
      <c r="Q354" s="28"/>
    </row>
    <row r="355" spans="2:17" ht="19.5" x14ac:dyDescent="0.25">
      <c r="B355" s="146"/>
      <c r="C355" s="122"/>
      <c r="D355" s="28"/>
      <c r="E355" s="108"/>
      <c r="F355" s="28"/>
      <c r="G355" s="28"/>
      <c r="H355" s="124"/>
      <c r="I355" s="28"/>
      <c r="J355" s="28"/>
      <c r="K355" s="28"/>
      <c r="L355" s="28"/>
      <c r="M355" s="28"/>
      <c r="N355" s="28"/>
      <c r="O355" s="28"/>
      <c r="P355" s="28"/>
      <c r="Q355" s="28"/>
    </row>
    <row r="356" spans="2:17" ht="19.5" x14ac:dyDescent="0.25">
      <c r="B356" s="146"/>
      <c r="C356" s="122"/>
      <c r="D356" s="28"/>
      <c r="E356" s="108"/>
      <c r="F356" s="28"/>
      <c r="G356" s="28"/>
      <c r="H356" s="124"/>
      <c r="I356" s="28"/>
      <c r="J356" s="28"/>
      <c r="K356" s="28"/>
      <c r="L356" s="28"/>
      <c r="M356" s="28"/>
      <c r="N356" s="28"/>
      <c r="O356" s="28"/>
      <c r="P356" s="28"/>
      <c r="Q356" s="28"/>
    </row>
    <row r="357" spans="2:17" ht="19.5" x14ac:dyDescent="0.25">
      <c r="B357" s="146"/>
      <c r="C357" s="122"/>
      <c r="D357" s="28"/>
      <c r="E357" s="108"/>
      <c r="F357" s="28"/>
      <c r="G357" s="28"/>
      <c r="H357" s="124"/>
      <c r="I357" s="28"/>
      <c r="J357" s="28"/>
      <c r="K357" s="28"/>
      <c r="L357" s="28"/>
      <c r="M357" s="28"/>
      <c r="N357" s="28"/>
      <c r="O357" s="28"/>
      <c r="P357" s="28"/>
      <c r="Q357" s="28"/>
    </row>
    <row r="358" spans="2:17" ht="19.5" x14ac:dyDescent="0.25">
      <c r="B358" s="146"/>
      <c r="C358" s="122"/>
      <c r="D358" s="28"/>
      <c r="E358" s="108"/>
      <c r="F358" s="28"/>
      <c r="G358" s="28"/>
      <c r="H358" s="124"/>
      <c r="I358" s="28"/>
      <c r="J358" s="28"/>
      <c r="K358" s="28"/>
      <c r="L358" s="28"/>
      <c r="M358" s="28"/>
      <c r="N358" s="28"/>
      <c r="O358" s="28"/>
      <c r="P358" s="28"/>
      <c r="Q358" s="28"/>
    </row>
    <row r="359" spans="2:17" ht="19.5" x14ac:dyDescent="0.25">
      <c r="B359" s="146"/>
      <c r="C359" s="122"/>
      <c r="D359" s="28"/>
      <c r="E359" s="108"/>
      <c r="F359" s="28"/>
      <c r="G359" s="28"/>
      <c r="H359" s="124"/>
      <c r="I359" s="28"/>
      <c r="J359" s="28"/>
      <c r="K359" s="28"/>
      <c r="L359" s="28"/>
      <c r="M359" s="28"/>
      <c r="N359" s="28"/>
      <c r="O359" s="28"/>
      <c r="P359" s="28"/>
      <c r="Q359" s="28"/>
    </row>
    <row r="360" spans="2:17" ht="19.5" x14ac:dyDescent="0.25">
      <c r="B360" s="146"/>
      <c r="C360" s="122"/>
      <c r="D360" s="28"/>
      <c r="E360" s="108"/>
      <c r="F360" s="28"/>
      <c r="G360" s="28"/>
      <c r="H360" s="124"/>
      <c r="I360" s="28"/>
      <c r="J360" s="28"/>
      <c r="K360" s="28"/>
      <c r="L360" s="28"/>
      <c r="M360" s="28"/>
      <c r="N360" s="28"/>
      <c r="O360" s="28"/>
      <c r="P360" s="28"/>
      <c r="Q360" s="28"/>
    </row>
    <row r="361" spans="2:17" ht="19.5" x14ac:dyDescent="0.25">
      <c r="B361" s="146"/>
      <c r="C361" s="122"/>
      <c r="D361" s="28"/>
      <c r="E361" s="108"/>
      <c r="F361" s="28"/>
      <c r="G361" s="28"/>
      <c r="H361" s="124"/>
      <c r="I361" s="28"/>
      <c r="J361" s="28"/>
      <c r="K361" s="28"/>
      <c r="L361" s="28"/>
      <c r="M361" s="28"/>
      <c r="N361" s="28"/>
      <c r="O361" s="28"/>
      <c r="P361" s="28"/>
      <c r="Q361" s="28"/>
    </row>
    <row r="362" spans="2:17" ht="19.5" x14ac:dyDescent="0.25">
      <c r="B362" s="146"/>
      <c r="C362" s="122"/>
      <c r="D362" s="28"/>
      <c r="E362" s="108"/>
      <c r="F362" s="28"/>
      <c r="G362" s="28"/>
      <c r="H362" s="124"/>
      <c r="I362" s="28"/>
      <c r="J362" s="28"/>
      <c r="K362" s="28"/>
      <c r="L362" s="28"/>
      <c r="M362" s="28"/>
      <c r="N362" s="28"/>
      <c r="O362" s="28"/>
      <c r="P362" s="28"/>
      <c r="Q362" s="28"/>
    </row>
    <row r="363" spans="2:17" ht="19.5" x14ac:dyDescent="0.25">
      <c r="B363" s="146"/>
      <c r="C363" s="122"/>
      <c r="D363" s="28"/>
      <c r="E363" s="108"/>
      <c r="F363" s="28"/>
      <c r="G363" s="28"/>
      <c r="H363" s="124"/>
      <c r="I363" s="28"/>
      <c r="J363" s="28"/>
      <c r="K363" s="28"/>
      <c r="L363" s="28"/>
      <c r="M363" s="28"/>
      <c r="N363" s="28"/>
      <c r="O363" s="28"/>
      <c r="P363" s="28"/>
      <c r="Q363" s="28"/>
    </row>
    <row r="364" spans="2:17" ht="19.5" x14ac:dyDescent="0.25">
      <c r="B364" s="146"/>
      <c r="C364" s="122"/>
      <c r="D364" s="28"/>
      <c r="E364" s="108"/>
      <c r="F364" s="28"/>
      <c r="G364" s="28"/>
      <c r="H364" s="124"/>
      <c r="I364" s="28"/>
      <c r="J364" s="28"/>
      <c r="K364" s="28"/>
      <c r="L364" s="28"/>
      <c r="M364" s="28"/>
      <c r="N364" s="28"/>
      <c r="O364" s="28"/>
      <c r="P364" s="28"/>
      <c r="Q364" s="28"/>
    </row>
    <row r="365" spans="2:17" ht="19.5" x14ac:dyDescent="0.25">
      <c r="B365" s="146"/>
      <c r="C365" s="122"/>
      <c r="D365" s="28"/>
      <c r="E365" s="108"/>
      <c r="F365" s="28"/>
      <c r="G365" s="28"/>
      <c r="H365" s="124"/>
      <c r="I365" s="28"/>
      <c r="J365" s="28"/>
      <c r="K365" s="28"/>
      <c r="L365" s="28"/>
      <c r="M365" s="28"/>
      <c r="N365" s="28"/>
      <c r="O365" s="28"/>
      <c r="P365" s="28"/>
      <c r="Q365" s="28"/>
    </row>
    <row r="366" spans="2:17" ht="19.5" x14ac:dyDescent="0.25">
      <c r="B366" s="146"/>
      <c r="C366" s="122"/>
      <c r="D366" s="28"/>
      <c r="E366" s="108"/>
      <c r="F366" s="28"/>
      <c r="G366" s="28"/>
      <c r="H366" s="124"/>
      <c r="I366" s="28"/>
      <c r="J366" s="28"/>
      <c r="K366" s="28"/>
      <c r="L366" s="28"/>
      <c r="M366" s="28"/>
      <c r="N366" s="28"/>
      <c r="O366" s="28"/>
      <c r="P366" s="28"/>
      <c r="Q366" s="28"/>
    </row>
    <row r="367" spans="2:17" ht="19.5" x14ac:dyDescent="0.25">
      <c r="B367" s="146"/>
      <c r="C367" s="122"/>
      <c r="D367" s="28"/>
      <c r="E367" s="108"/>
      <c r="F367" s="28"/>
      <c r="G367" s="28"/>
      <c r="H367" s="124"/>
      <c r="I367" s="28"/>
      <c r="J367" s="28"/>
      <c r="K367" s="28"/>
      <c r="L367" s="28"/>
      <c r="M367" s="28"/>
      <c r="N367" s="28"/>
      <c r="O367" s="28"/>
      <c r="P367" s="28"/>
      <c r="Q367" s="28"/>
    </row>
    <row r="368" spans="2:17" ht="19.5" x14ac:dyDescent="0.25">
      <c r="B368" s="146"/>
      <c r="C368" s="122"/>
      <c r="D368" s="28"/>
      <c r="E368" s="108"/>
      <c r="F368" s="28"/>
      <c r="G368" s="28"/>
      <c r="H368" s="124"/>
      <c r="I368" s="28"/>
      <c r="J368" s="28"/>
      <c r="K368" s="28"/>
      <c r="L368" s="28"/>
      <c r="M368" s="28"/>
      <c r="N368" s="28"/>
      <c r="O368" s="28"/>
      <c r="P368" s="28"/>
      <c r="Q368" s="28"/>
    </row>
    <row r="369" spans="2:17" ht="19.5" x14ac:dyDescent="0.25">
      <c r="B369" s="146"/>
      <c r="C369" s="122"/>
      <c r="D369" s="28"/>
      <c r="E369" s="108"/>
      <c r="F369" s="28"/>
      <c r="G369" s="28"/>
      <c r="H369" s="124"/>
      <c r="I369" s="28"/>
      <c r="J369" s="28"/>
      <c r="K369" s="28"/>
      <c r="L369" s="28"/>
      <c r="M369" s="28"/>
      <c r="N369" s="28"/>
      <c r="O369" s="28"/>
      <c r="P369" s="28"/>
      <c r="Q369" s="28"/>
    </row>
    <row r="370" spans="2:17" ht="19.5" x14ac:dyDescent="0.25">
      <c r="B370" s="146"/>
      <c r="C370" s="122"/>
      <c r="D370" s="28"/>
      <c r="E370" s="108"/>
      <c r="F370" s="28"/>
      <c r="G370" s="28"/>
      <c r="H370" s="124"/>
      <c r="I370" s="28"/>
      <c r="J370" s="28"/>
      <c r="K370" s="28"/>
      <c r="L370" s="28"/>
      <c r="M370" s="28"/>
      <c r="N370" s="28"/>
      <c r="O370" s="28"/>
      <c r="P370" s="28"/>
      <c r="Q370" s="28"/>
    </row>
    <row r="371" spans="2:17" ht="19.5" x14ac:dyDescent="0.25">
      <c r="B371" s="146"/>
      <c r="C371" s="122"/>
      <c r="D371" s="28"/>
      <c r="E371" s="108"/>
      <c r="F371" s="28"/>
      <c r="G371" s="28"/>
      <c r="H371" s="124"/>
      <c r="I371" s="28"/>
      <c r="J371" s="28"/>
      <c r="K371" s="28"/>
      <c r="L371" s="28"/>
      <c r="M371" s="28"/>
      <c r="N371" s="28"/>
      <c r="O371" s="28"/>
      <c r="P371" s="28"/>
      <c r="Q371" s="28"/>
    </row>
    <row r="372" spans="2:17" ht="19.5" x14ac:dyDescent="0.25">
      <c r="B372" s="146"/>
      <c r="C372" s="122"/>
      <c r="D372" s="28"/>
      <c r="E372" s="108"/>
      <c r="F372" s="28"/>
      <c r="G372" s="28"/>
      <c r="H372" s="124"/>
      <c r="I372" s="28"/>
      <c r="J372" s="28"/>
      <c r="K372" s="28"/>
      <c r="L372" s="28"/>
      <c r="M372" s="28"/>
      <c r="N372" s="28"/>
      <c r="O372" s="28"/>
      <c r="P372" s="28"/>
      <c r="Q372" s="28"/>
    </row>
    <row r="373" spans="2:17" ht="19.5" x14ac:dyDescent="0.25">
      <c r="B373" s="146"/>
      <c r="C373" s="122"/>
      <c r="D373" s="28"/>
      <c r="E373" s="108"/>
      <c r="F373" s="28"/>
      <c r="G373" s="28"/>
      <c r="H373" s="124"/>
      <c r="I373" s="28"/>
      <c r="J373" s="28"/>
      <c r="K373" s="28"/>
      <c r="L373" s="28"/>
      <c r="M373" s="28"/>
      <c r="N373" s="28"/>
      <c r="O373" s="28"/>
      <c r="P373" s="28"/>
      <c r="Q373" s="28"/>
    </row>
    <row r="374" spans="2:17" ht="19.5" x14ac:dyDescent="0.25">
      <c r="B374" s="146"/>
      <c r="C374" s="122"/>
      <c r="D374" s="28"/>
      <c r="E374" s="108"/>
      <c r="F374" s="28"/>
      <c r="G374" s="28"/>
      <c r="H374" s="124"/>
      <c r="I374" s="28"/>
      <c r="J374" s="28"/>
      <c r="K374" s="28"/>
      <c r="L374" s="28"/>
      <c r="M374" s="28"/>
      <c r="N374" s="28"/>
      <c r="O374" s="28"/>
      <c r="P374" s="28"/>
      <c r="Q374" s="28"/>
    </row>
    <row r="375" spans="2:17" ht="19.5" x14ac:dyDescent="0.25">
      <c r="B375" s="146"/>
      <c r="C375" s="122"/>
      <c r="D375" s="28"/>
      <c r="E375" s="108"/>
      <c r="F375" s="28"/>
      <c r="G375" s="28"/>
      <c r="H375" s="124"/>
      <c r="I375" s="28"/>
      <c r="J375" s="28"/>
      <c r="K375" s="28"/>
      <c r="L375" s="28"/>
      <c r="M375" s="28"/>
      <c r="N375" s="28"/>
      <c r="O375" s="28"/>
      <c r="P375" s="28"/>
      <c r="Q375" s="28"/>
    </row>
    <row r="376" spans="2:17" ht="19.5" x14ac:dyDescent="0.25">
      <c r="B376" s="146"/>
      <c r="C376" s="122"/>
      <c r="D376" s="28"/>
      <c r="E376" s="108"/>
      <c r="F376" s="28"/>
      <c r="G376" s="28"/>
      <c r="H376" s="124"/>
      <c r="I376" s="28"/>
      <c r="J376" s="28"/>
      <c r="K376" s="28"/>
      <c r="L376" s="28"/>
      <c r="M376" s="28"/>
      <c r="N376" s="28"/>
      <c r="O376" s="28"/>
      <c r="P376" s="28"/>
      <c r="Q376" s="28"/>
    </row>
    <row r="377" spans="2:17" ht="19.5" x14ac:dyDescent="0.25">
      <c r="B377" s="146"/>
      <c r="C377" s="122"/>
      <c r="D377" s="28"/>
      <c r="E377" s="108"/>
      <c r="F377" s="28"/>
      <c r="G377" s="28"/>
      <c r="H377" s="124"/>
      <c r="I377" s="28"/>
      <c r="J377" s="28"/>
      <c r="K377" s="28"/>
      <c r="L377" s="28"/>
      <c r="M377" s="28"/>
      <c r="N377" s="28"/>
      <c r="O377" s="28"/>
      <c r="P377" s="28"/>
      <c r="Q377" s="28"/>
    </row>
    <row r="378" spans="2:17" ht="19.5" x14ac:dyDescent="0.25">
      <c r="B378" s="146"/>
      <c r="C378" s="122"/>
      <c r="D378" s="28"/>
      <c r="E378" s="108"/>
      <c r="F378" s="28"/>
      <c r="G378" s="28"/>
      <c r="H378" s="124"/>
      <c r="I378" s="28"/>
      <c r="J378" s="28"/>
      <c r="K378" s="28"/>
      <c r="L378" s="28"/>
      <c r="M378" s="28"/>
      <c r="N378" s="28"/>
      <c r="O378" s="28"/>
      <c r="P378" s="28"/>
      <c r="Q378" s="28"/>
    </row>
    <row r="379" spans="2:17" ht="19.5" x14ac:dyDescent="0.25">
      <c r="B379" s="146"/>
      <c r="C379" s="122"/>
      <c r="D379" s="28"/>
      <c r="E379" s="108"/>
      <c r="F379" s="28"/>
      <c r="G379" s="28"/>
      <c r="H379" s="124"/>
      <c r="I379" s="28"/>
      <c r="J379" s="28"/>
      <c r="K379" s="28"/>
      <c r="L379" s="28"/>
      <c r="M379" s="28"/>
      <c r="N379" s="28"/>
      <c r="O379" s="28"/>
      <c r="P379" s="28"/>
      <c r="Q379" s="28"/>
    </row>
    <row r="380" spans="2:17" ht="19.5" x14ac:dyDescent="0.25">
      <c r="B380" s="146"/>
      <c r="C380" s="122"/>
      <c r="D380" s="28"/>
      <c r="E380" s="108"/>
      <c r="F380" s="28"/>
      <c r="G380" s="28"/>
      <c r="H380" s="124"/>
      <c r="I380" s="28"/>
      <c r="J380" s="28"/>
      <c r="K380" s="28"/>
      <c r="L380" s="28"/>
      <c r="M380" s="28"/>
      <c r="N380" s="28"/>
      <c r="O380" s="28"/>
      <c r="P380" s="28"/>
      <c r="Q380" s="28"/>
    </row>
    <row r="381" spans="2:17" ht="21" x14ac:dyDescent="0.25">
      <c r="B381" s="193"/>
      <c r="C381" s="105"/>
      <c r="D381" s="27"/>
      <c r="E381" s="187"/>
      <c r="F381" s="27"/>
      <c r="G381" s="27"/>
      <c r="H381" s="183"/>
      <c r="I381" s="27"/>
      <c r="J381" s="27"/>
      <c r="K381" s="27"/>
      <c r="L381" s="27"/>
      <c r="M381" s="27"/>
      <c r="N381" s="27"/>
      <c r="O381" s="27"/>
      <c r="P381" s="27"/>
      <c r="Q381" s="27"/>
    </row>
    <row r="382" spans="2:17" ht="58.5" x14ac:dyDescent="0.25">
      <c r="B382" s="116">
        <v>1</v>
      </c>
      <c r="C382" s="116" t="s">
        <v>4827</v>
      </c>
      <c r="D382" s="116" t="s">
        <v>4967</v>
      </c>
      <c r="E382" s="116" t="s">
        <v>4968</v>
      </c>
      <c r="F382" s="194">
        <v>1.3888888888888888E-2</v>
      </c>
      <c r="G382" s="195" t="s">
        <v>4969</v>
      </c>
      <c r="H382" s="116" t="s">
        <v>4970</v>
      </c>
      <c r="I382" s="116" t="s">
        <v>1999</v>
      </c>
      <c r="J382" s="116">
        <v>550000</v>
      </c>
      <c r="K382" s="116">
        <v>1450000</v>
      </c>
      <c r="L382" s="116" t="s">
        <v>20</v>
      </c>
      <c r="M382" s="116" t="s">
        <v>20</v>
      </c>
      <c r="N382" s="116" t="s">
        <v>20</v>
      </c>
      <c r="O382" s="116" t="s">
        <v>20</v>
      </c>
      <c r="P382" s="116" t="s">
        <v>20</v>
      </c>
      <c r="Q382" s="116" t="s">
        <v>20</v>
      </c>
    </row>
    <row r="383" spans="2:17" ht="58.5" x14ac:dyDescent="0.25">
      <c r="B383" s="116">
        <v>2</v>
      </c>
      <c r="C383" s="116" t="s">
        <v>4827</v>
      </c>
      <c r="D383" s="116" t="s">
        <v>4967</v>
      </c>
      <c r="E383" s="116" t="s">
        <v>4971</v>
      </c>
      <c r="F383" s="194">
        <v>0.15625</v>
      </c>
      <c r="G383" s="195" t="s">
        <v>4972</v>
      </c>
      <c r="H383" s="116" t="s">
        <v>4970</v>
      </c>
      <c r="I383" s="116" t="s">
        <v>4973</v>
      </c>
      <c r="J383" s="116">
        <v>10000</v>
      </c>
      <c r="K383" s="116">
        <v>4990000</v>
      </c>
      <c r="L383" s="116" t="s">
        <v>20</v>
      </c>
      <c r="M383" s="116" t="s">
        <v>20</v>
      </c>
      <c r="N383" s="116" t="s">
        <v>20</v>
      </c>
      <c r="O383" s="116" t="s">
        <v>20</v>
      </c>
      <c r="P383" s="116" t="s">
        <v>20</v>
      </c>
      <c r="Q383" s="116" t="s">
        <v>20</v>
      </c>
    </row>
    <row r="384" spans="2:17" ht="58.5" x14ac:dyDescent="0.25">
      <c r="B384" s="196">
        <v>3</v>
      </c>
      <c r="C384" s="196" t="s">
        <v>4827</v>
      </c>
      <c r="D384" s="196" t="s">
        <v>4967</v>
      </c>
      <c r="E384" s="196" t="s">
        <v>4974</v>
      </c>
      <c r="F384" s="194">
        <v>0.79722222222222228</v>
      </c>
      <c r="G384" s="195" t="s">
        <v>4988</v>
      </c>
      <c r="H384" s="116" t="s">
        <v>20</v>
      </c>
      <c r="I384" s="116" t="s">
        <v>4975</v>
      </c>
      <c r="J384" s="116" t="s">
        <v>20</v>
      </c>
      <c r="K384" s="116" t="s">
        <v>20</v>
      </c>
      <c r="L384" s="116" t="s">
        <v>20</v>
      </c>
      <c r="M384" s="116" t="s">
        <v>20</v>
      </c>
      <c r="N384" s="116" t="s">
        <v>20</v>
      </c>
      <c r="O384" s="116" t="s">
        <v>20</v>
      </c>
      <c r="P384" s="116" t="s">
        <v>20</v>
      </c>
      <c r="Q384" s="116" t="s">
        <v>20</v>
      </c>
    </row>
    <row r="385" spans="2:17" ht="78" x14ac:dyDescent="0.25">
      <c r="B385" s="196">
        <v>4</v>
      </c>
      <c r="C385" s="196" t="s">
        <v>4827</v>
      </c>
      <c r="D385" s="196" t="s">
        <v>4967</v>
      </c>
      <c r="E385" s="196" t="s">
        <v>4976</v>
      </c>
      <c r="F385" s="116">
        <v>14.37</v>
      </c>
      <c r="G385" s="195" t="s">
        <v>4989</v>
      </c>
      <c r="H385" s="196" t="s">
        <v>4970</v>
      </c>
      <c r="I385" s="116" t="s">
        <v>4977</v>
      </c>
      <c r="J385" s="116">
        <v>75000</v>
      </c>
      <c r="K385" s="116">
        <v>5000</v>
      </c>
      <c r="L385" s="116" t="s">
        <v>20</v>
      </c>
      <c r="M385" s="116" t="s">
        <v>20</v>
      </c>
      <c r="N385" s="116" t="s">
        <v>20</v>
      </c>
      <c r="O385" s="116" t="s">
        <v>20</v>
      </c>
      <c r="P385" s="116" t="s">
        <v>20</v>
      </c>
      <c r="Q385" s="116" t="s">
        <v>20</v>
      </c>
    </row>
    <row r="386" spans="2:17" ht="58.5" x14ac:dyDescent="0.25">
      <c r="B386" s="196">
        <v>5</v>
      </c>
      <c r="C386" s="196" t="s">
        <v>4827</v>
      </c>
      <c r="D386" s="196" t="s">
        <v>4967</v>
      </c>
      <c r="E386" s="196" t="s">
        <v>4978</v>
      </c>
      <c r="F386" s="116">
        <v>2.1</v>
      </c>
      <c r="G386" s="195" t="s">
        <v>4979</v>
      </c>
      <c r="H386" s="196" t="s">
        <v>4970</v>
      </c>
      <c r="I386" s="116" t="s">
        <v>1999</v>
      </c>
      <c r="J386" s="116">
        <v>10000</v>
      </c>
      <c r="K386" s="116">
        <v>1540000</v>
      </c>
      <c r="L386" s="116" t="s">
        <v>20</v>
      </c>
      <c r="M386" s="116" t="s">
        <v>20</v>
      </c>
      <c r="N386" s="116" t="s">
        <v>20</v>
      </c>
      <c r="O386" s="116" t="s">
        <v>20</v>
      </c>
      <c r="P386" s="116" t="s">
        <v>20</v>
      </c>
      <c r="Q386" s="116" t="s">
        <v>20</v>
      </c>
    </row>
    <row r="387" spans="2:17" ht="58.5" x14ac:dyDescent="0.25">
      <c r="B387" s="196">
        <v>6</v>
      </c>
      <c r="C387" s="196" t="s">
        <v>4827</v>
      </c>
      <c r="D387" s="196" t="s">
        <v>4967</v>
      </c>
      <c r="E387" s="196" t="s">
        <v>4980</v>
      </c>
      <c r="F387" s="194">
        <v>0.32916666666666666</v>
      </c>
      <c r="G387" s="195" t="s">
        <v>4990</v>
      </c>
      <c r="H387" s="116" t="s">
        <v>4970</v>
      </c>
      <c r="I387" s="116" t="s">
        <v>4981</v>
      </c>
      <c r="J387" s="116">
        <v>500000</v>
      </c>
      <c r="K387" s="116">
        <v>300000</v>
      </c>
      <c r="L387" s="116" t="s">
        <v>20</v>
      </c>
      <c r="M387" s="116" t="s">
        <v>20</v>
      </c>
      <c r="N387" s="116">
        <v>1</v>
      </c>
      <c r="O387" s="116" t="s">
        <v>20</v>
      </c>
      <c r="P387" s="116" t="s">
        <v>696</v>
      </c>
      <c r="Q387" s="116" t="s">
        <v>20</v>
      </c>
    </row>
    <row r="388" spans="2:17" ht="78" x14ac:dyDescent="0.25">
      <c r="B388" s="196">
        <v>7</v>
      </c>
      <c r="C388" s="196" t="s">
        <v>4827</v>
      </c>
      <c r="D388" s="196" t="s">
        <v>4967</v>
      </c>
      <c r="E388" s="196" t="s">
        <v>4982</v>
      </c>
      <c r="F388" s="194">
        <v>2.0833333333333332E-2</v>
      </c>
      <c r="G388" s="195" t="s">
        <v>4991</v>
      </c>
      <c r="H388" s="116" t="s">
        <v>406</v>
      </c>
      <c r="I388" s="116" t="s">
        <v>2019</v>
      </c>
      <c r="J388" s="116">
        <v>5000</v>
      </c>
      <c r="K388" s="116">
        <v>995000</v>
      </c>
      <c r="L388" s="116" t="s">
        <v>20</v>
      </c>
      <c r="M388" s="116" t="s">
        <v>20</v>
      </c>
      <c r="N388" s="116" t="s">
        <v>20</v>
      </c>
      <c r="O388" s="116" t="s">
        <v>20</v>
      </c>
      <c r="P388" s="116" t="s">
        <v>20</v>
      </c>
      <c r="Q388" s="116" t="s">
        <v>20</v>
      </c>
    </row>
    <row r="389" spans="2:17" ht="58.5" x14ac:dyDescent="0.25">
      <c r="B389" s="196">
        <v>8</v>
      </c>
      <c r="C389" s="196" t="s">
        <v>4827</v>
      </c>
      <c r="D389" s="196" t="s">
        <v>4967</v>
      </c>
      <c r="E389" s="196" t="s">
        <v>4983</v>
      </c>
      <c r="F389" s="194">
        <v>0.35069444444444442</v>
      </c>
      <c r="G389" s="195" t="s">
        <v>4984</v>
      </c>
      <c r="H389" s="196" t="s">
        <v>4970</v>
      </c>
      <c r="I389" s="196" t="s">
        <v>4992</v>
      </c>
      <c r="J389" s="196">
        <v>50000</v>
      </c>
      <c r="K389" s="196">
        <v>1950000</v>
      </c>
      <c r="L389" s="196" t="s">
        <v>20</v>
      </c>
      <c r="M389" s="196" t="s">
        <v>20</v>
      </c>
      <c r="N389" s="196" t="s">
        <v>20</v>
      </c>
      <c r="O389" s="196" t="s">
        <v>20</v>
      </c>
      <c r="P389" s="196" t="s">
        <v>20</v>
      </c>
      <c r="Q389" s="196" t="s">
        <v>20</v>
      </c>
    </row>
    <row r="390" spans="2:17" ht="78" x14ac:dyDescent="0.25">
      <c r="B390" s="196">
        <v>9</v>
      </c>
      <c r="C390" s="196" t="s">
        <v>4827</v>
      </c>
      <c r="D390" s="196" t="s">
        <v>4967</v>
      </c>
      <c r="E390" s="196" t="s">
        <v>4985</v>
      </c>
      <c r="F390" s="194">
        <v>0.87152777777777779</v>
      </c>
      <c r="G390" s="195" t="s">
        <v>4987</v>
      </c>
      <c r="H390" s="196" t="s">
        <v>406</v>
      </c>
      <c r="I390" s="196" t="s">
        <v>4986</v>
      </c>
      <c r="J390" s="116" t="s">
        <v>20</v>
      </c>
      <c r="K390" s="116" t="s">
        <v>20</v>
      </c>
      <c r="L390" s="116" t="s">
        <v>20</v>
      </c>
      <c r="M390" s="196" t="s">
        <v>20</v>
      </c>
      <c r="N390" s="196" t="s">
        <v>20</v>
      </c>
      <c r="O390" s="196" t="s">
        <v>20</v>
      </c>
      <c r="P390" s="196" t="s">
        <v>20</v>
      </c>
      <c r="Q390" s="196" t="s">
        <v>20</v>
      </c>
    </row>
    <row r="391" spans="2:17" ht="78" x14ac:dyDescent="0.25">
      <c r="B391" s="116">
        <v>1</v>
      </c>
      <c r="C391" s="116" t="s">
        <v>4827</v>
      </c>
      <c r="D391" s="116" t="s">
        <v>4967</v>
      </c>
      <c r="E391" s="196" t="s">
        <v>4993</v>
      </c>
      <c r="F391" s="194">
        <v>0.42777777777777776</v>
      </c>
      <c r="G391" s="195" t="s">
        <v>5060</v>
      </c>
      <c r="H391" s="116" t="s">
        <v>406</v>
      </c>
      <c r="I391" s="116" t="s">
        <v>5061</v>
      </c>
      <c r="J391" s="116">
        <v>300000</v>
      </c>
      <c r="K391" s="116">
        <v>150000</v>
      </c>
      <c r="L391" s="116" t="s">
        <v>20</v>
      </c>
      <c r="M391" s="116" t="s">
        <v>20</v>
      </c>
      <c r="N391" s="116" t="s">
        <v>20</v>
      </c>
      <c r="O391" s="116" t="s">
        <v>20</v>
      </c>
      <c r="P391" s="116" t="s">
        <v>20</v>
      </c>
      <c r="Q391" s="116" t="s">
        <v>20</v>
      </c>
    </row>
    <row r="392" spans="2:17" ht="58.5" x14ac:dyDescent="0.25">
      <c r="B392" s="116">
        <v>2</v>
      </c>
      <c r="C392" s="116" t="s">
        <v>4827</v>
      </c>
      <c r="D392" s="116" t="s">
        <v>4967</v>
      </c>
      <c r="E392" s="116" t="s">
        <v>4996</v>
      </c>
      <c r="F392" s="194">
        <v>0.3923611111111111</v>
      </c>
      <c r="G392" s="195" t="s">
        <v>4994</v>
      </c>
      <c r="H392" s="116" t="s">
        <v>4970</v>
      </c>
      <c r="I392" s="116" t="s">
        <v>4995</v>
      </c>
      <c r="J392" s="116">
        <v>80000</v>
      </c>
      <c r="K392" s="116">
        <v>200000</v>
      </c>
      <c r="L392" s="116" t="s">
        <v>20</v>
      </c>
      <c r="M392" s="116" t="s">
        <v>20</v>
      </c>
      <c r="N392" s="116" t="s">
        <v>20</v>
      </c>
      <c r="O392" s="116" t="s">
        <v>20</v>
      </c>
      <c r="P392" s="116" t="s">
        <v>20</v>
      </c>
      <c r="Q392" s="116" t="s">
        <v>20</v>
      </c>
    </row>
    <row r="393" spans="2:17" ht="58.5" x14ac:dyDescent="0.25">
      <c r="B393" s="196">
        <v>3</v>
      </c>
      <c r="C393" s="196" t="s">
        <v>4827</v>
      </c>
      <c r="D393" s="196" t="s">
        <v>4967</v>
      </c>
      <c r="E393" s="196" t="s">
        <v>4996</v>
      </c>
      <c r="F393" s="196">
        <v>18.53</v>
      </c>
      <c r="G393" s="195" t="s">
        <v>5062</v>
      </c>
      <c r="H393" s="116" t="s">
        <v>406</v>
      </c>
      <c r="I393" s="116" t="s">
        <v>2019</v>
      </c>
      <c r="J393" s="116" t="s">
        <v>20</v>
      </c>
      <c r="K393" s="116" t="s">
        <v>20</v>
      </c>
      <c r="L393" s="116" t="s">
        <v>20</v>
      </c>
      <c r="M393" s="116" t="s">
        <v>20</v>
      </c>
      <c r="N393" s="116" t="s">
        <v>20</v>
      </c>
      <c r="O393" s="116" t="s">
        <v>20</v>
      </c>
      <c r="P393" s="116" t="s">
        <v>20</v>
      </c>
      <c r="Q393" s="116" t="s">
        <v>20</v>
      </c>
    </row>
    <row r="394" spans="2:17" ht="58.5" x14ac:dyDescent="0.25">
      <c r="B394" s="196">
        <v>4</v>
      </c>
      <c r="C394" s="196" t="s">
        <v>4827</v>
      </c>
      <c r="D394" s="196" t="s">
        <v>4967</v>
      </c>
      <c r="E394" s="196" t="s">
        <v>4997</v>
      </c>
      <c r="F394" s="196">
        <v>13.24</v>
      </c>
      <c r="G394" s="195" t="s">
        <v>5063</v>
      </c>
      <c r="H394" s="116" t="s">
        <v>4998</v>
      </c>
      <c r="I394" s="116" t="s">
        <v>2019</v>
      </c>
      <c r="J394" s="116" t="s">
        <v>20</v>
      </c>
      <c r="K394" s="116" t="s">
        <v>20</v>
      </c>
      <c r="L394" s="116" t="s">
        <v>20</v>
      </c>
      <c r="M394" s="116" t="s">
        <v>20</v>
      </c>
      <c r="N394" s="116" t="s">
        <v>20</v>
      </c>
      <c r="O394" s="116" t="s">
        <v>20</v>
      </c>
      <c r="P394" s="116" t="s">
        <v>20</v>
      </c>
      <c r="Q394" s="116" t="s">
        <v>20</v>
      </c>
    </row>
    <row r="395" spans="2:17" ht="58.5" x14ac:dyDescent="0.25">
      <c r="B395" s="196">
        <v>5</v>
      </c>
      <c r="C395" s="196" t="s">
        <v>4827</v>
      </c>
      <c r="D395" s="196" t="s">
        <v>4967</v>
      </c>
      <c r="E395" s="196" t="s">
        <v>4999</v>
      </c>
      <c r="F395" s="196">
        <v>17.3</v>
      </c>
      <c r="G395" s="195" t="s">
        <v>5000</v>
      </c>
      <c r="H395" s="116" t="s">
        <v>406</v>
      </c>
      <c r="I395" s="116" t="s">
        <v>2019</v>
      </c>
      <c r="J395" s="116" t="s">
        <v>20</v>
      </c>
      <c r="K395" s="116" t="s">
        <v>20</v>
      </c>
      <c r="L395" s="116" t="s">
        <v>20</v>
      </c>
      <c r="M395" s="116" t="s">
        <v>20</v>
      </c>
      <c r="N395" s="116" t="s">
        <v>20</v>
      </c>
      <c r="O395" s="116" t="s">
        <v>20</v>
      </c>
      <c r="P395" s="116" t="s">
        <v>20</v>
      </c>
      <c r="Q395" s="116" t="s">
        <v>20</v>
      </c>
    </row>
    <row r="396" spans="2:17" ht="78" x14ac:dyDescent="0.25">
      <c r="B396" s="196">
        <v>6</v>
      </c>
      <c r="C396" s="196" t="s">
        <v>4827</v>
      </c>
      <c r="D396" s="196" t="s">
        <v>4967</v>
      </c>
      <c r="E396" s="196" t="s">
        <v>5001</v>
      </c>
      <c r="F396" s="196">
        <v>0.34</v>
      </c>
      <c r="G396" s="195" t="s">
        <v>5002</v>
      </c>
      <c r="H396" s="116" t="s">
        <v>5003</v>
      </c>
      <c r="I396" s="116" t="s">
        <v>5004</v>
      </c>
      <c r="J396" s="116">
        <v>400000</v>
      </c>
      <c r="K396" s="116">
        <v>1000000</v>
      </c>
      <c r="L396" s="116" t="s">
        <v>20</v>
      </c>
      <c r="M396" s="116" t="s">
        <v>20</v>
      </c>
      <c r="N396" s="116" t="s">
        <v>20</v>
      </c>
      <c r="O396" s="116" t="s">
        <v>20</v>
      </c>
      <c r="P396" s="116" t="s">
        <v>20</v>
      </c>
      <c r="Q396" s="116" t="s">
        <v>20</v>
      </c>
    </row>
    <row r="397" spans="2:17" ht="78" x14ac:dyDescent="0.25">
      <c r="B397" s="196">
        <v>7</v>
      </c>
      <c r="C397" s="196" t="s">
        <v>4827</v>
      </c>
      <c r="D397" s="196" t="s">
        <v>4967</v>
      </c>
      <c r="E397" s="196" t="s">
        <v>5005</v>
      </c>
      <c r="F397" s="196">
        <v>20.59</v>
      </c>
      <c r="G397" s="195" t="s">
        <v>5006</v>
      </c>
      <c r="H397" s="116" t="s">
        <v>406</v>
      </c>
      <c r="I397" s="116" t="s">
        <v>340</v>
      </c>
      <c r="J397" s="116">
        <v>1000</v>
      </c>
      <c r="K397" s="116">
        <v>800000</v>
      </c>
      <c r="L397" s="116" t="s">
        <v>20</v>
      </c>
      <c r="M397" s="116" t="s">
        <v>20</v>
      </c>
      <c r="N397" s="116" t="s">
        <v>20</v>
      </c>
      <c r="O397" s="116" t="s">
        <v>20</v>
      </c>
      <c r="P397" s="116" t="s">
        <v>20</v>
      </c>
      <c r="Q397" s="196" t="s">
        <v>20</v>
      </c>
    </row>
    <row r="398" spans="2:17" ht="58.5" x14ac:dyDescent="0.25">
      <c r="B398" s="196">
        <v>8</v>
      </c>
      <c r="C398" s="196" t="s">
        <v>5007</v>
      </c>
      <c r="D398" s="196" t="s">
        <v>4967</v>
      </c>
      <c r="E398" s="196" t="s">
        <v>4821</v>
      </c>
      <c r="F398" s="196">
        <v>19.59</v>
      </c>
      <c r="G398" s="195" t="s">
        <v>5008</v>
      </c>
      <c r="H398" s="116" t="s">
        <v>5009</v>
      </c>
      <c r="I398" s="116" t="s">
        <v>5010</v>
      </c>
      <c r="J398" s="116">
        <v>5000</v>
      </c>
      <c r="K398" s="116">
        <v>100000</v>
      </c>
      <c r="L398" s="116" t="s">
        <v>20</v>
      </c>
      <c r="M398" s="116" t="s">
        <v>20</v>
      </c>
      <c r="N398" s="116" t="s">
        <v>20</v>
      </c>
      <c r="O398" s="116" t="s">
        <v>20</v>
      </c>
      <c r="P398" s="116" t="s">
        <v>20</v>
      </c>
      <c r="Q398" s="116" t="s">
        <v>20</v>
      </c>
    </row>
    <row r="399" spans="2:17" ht="78" x14ac:dyDescent="0.25">
      <c r="B399" s="196">
        <v>9</v>
      </c>
      <c r="C399" s="196" t="s">
        <v>4827</v>
      </c>
      <c r="D399" s="196" t="s">
        <v>4967</v>
      </c>
      <c r="E399" s="196" t="s">
        <v>4821</v>
      </c>
      <c r="F399" s="196">
        <v>20.39</v>
      </c>
      <c r="G399" s="195" t="s">
        <v>5011</v>
      </c>
      <c r="H399" s="116" t="s">
        <v>5012</v>
      </c>
      <c r="I399" s="116" t="s">
        <v>448</v>
      </c>
      <c r="J399" s="116" t="s">
        <v>5013</v>
      </c>
      <c r="K399" s="116" t="s">
        <v>20</v>
      </c>
      <c r="L399" s="116" t="s">
        <v>20</v>
      </c>
      <c r="M399" s="116" t="s">
        <v>20</v>
      </c>
      <c r="N399" s="116" t="s">
        <v>20</v>
      </c>
      <c r="O399" s="116" t="s">
        <v>20</v>
      </c>
      <c r="P399" s="116" t="s">
        <v>20</v>
      </c>
      <c r="Q399" s="116"/>
    </row>
    <row r="400" spans="2:17" ht="39" x14ac:dyDescent="0.25">
      <c r="B400" s="196">
        <v>10</v>
      </c>
      <c r="C400" s="196" t="s">
        <v>4827</v>
      </c>
      <c r="D400" s="196" t="s">
        <v>4967</v>
      </c>
      <c r="E400" s="196" t="s">
        <v>5014</v>
      </c>
      <c r="F400" s="196">
        <v>23</v>
      </c>
      <c r="G400" s="195" t="s">
        <v>5015</v>
      </c>
      <c r="H400" s="116" t="s">
        <v>5016</v>
      </c>
      <c r="I400" s="116" t="s">
        <v>2035</v>
      </c>
      <c r="J400" s="116" t="s">
        <v>20</v>
      </c>
      <c r="K400" s="116" t="s">
        <v>20</v>
      </c>
      <c r="L400" s="116" t="s">
        <v>20</v>
      </c>
      <c r="M400" s="116" t="s">
        <v>20</v>
      </c>
      <c r="N400" s="116" t="s">
        <v>20</v>
      </c>
      <c r="O400" s="116" t="s">
        <v>20</v>
      </c>
      <c r="P400" s="116" t="s">
        <v>20</v>
      </c>
      <c r="Q400" s="116" t="s">
        <v>20</v>
      </c>
    </row>
    <row r="401" spans="2:17" ht="83.25" customHeight="1" x14ac:dyDescent="0.25">
      <c r="B401" s="116">
        <v>1</v>
      </c>
      <c r="C401" s="116" t="s">
        <v>4827</v>
      </c>
      <c r="D401" s="116" t="s">
        <v>4967</v>
      </c>
      <c r="E401" s="196" t="s">
        <v>5017</v>
      </c>
      <c r="F401" s="116">
        <v>5.53</v>
      </c>
      <c r="G401" s="195" t="s">
        <v>5018</v>
      </c>
      <c r="H401" s="116" t="s">
        <v>5021</v>
      </c>
      <c r="I401" s="116" t="s">
        <v>5019</v>
      </c>
      <c r="J401" s="116">
        <v>3000</v>
      </c>
      <c r="K401" s="116">
        <v>2000</v>
      </c>
      <c r="L401" s="116" t="s">
        <v>20</v>
      </c>
      <c r="M401" s="116" t="s">
        <v>20</v>
      </c>
      <c r="N401" s="116" t="s">
        <v>20</v>
      </c>
      <c r="O401" s="116" t="s">
        <v>20</v>
      </c>
      <c r="P401" s="116" t="s">
        <v>20</v>
      </c>
      <c r="Q401" s="116" t="s">
        <v>20</v>
      </c>
    </row>
    <row r="402" spans="2:17" ht="78" x14ac:dyDescent="0.25">
      <c r="B402" s="116">
        <v>2</v>
      </c>
      <c r="C402" s="116" t="s">
        <v>4827</v>
      </c>
      <c r="D402" s="116" t="s">
        <v>4967</v>
      </c>
      <c r="E402" s="116" t="s">
        <v>5017</v>
      </c>
      <c r="F402" s="116">
        <v>19.21</v>
      </c>
      <c r="G402" s="195" t="s">
        <v>5064</v>
      </c>
      <c r="H402" s="116" t="s">
        <v>5020</v>
      </c>
      <c r="I402" s="116" t="s">
        <v>2019</v>
      </c>
      <c r="J402" s="116" t="s">
        <v>20</v>
      </c>
      <c r="K402" s="116" t="s">
        <v>20</v>
      </c>
      <c r="L402" s="116" t="s">
        <v>20</v>
      </c>
      <c r="M402" s="116" t="s">
        <v>20</v>
      </c>
      <c r="N402" s="116" t="s">
        <v>20</v>
      </c>
      <c r="O402" s="116" t="s">
        <v>20</v>
      </c>
      <c r="P402" s="116" t="s">
        <v>20</v>
      </c>
      <c r="Q402" s="116" t="s">
        <v>20</v>
      </c>
    </row>
    <row r="403" spans="2:17" ht="78" x14ac:dyDescent="0.25">
      <c r="B403" s="196">
        <v>3</v>
      </c>
      <c r="C403" s="196" t="s">
        <v>4827</v>
      </c>
      <c r="D403" s="196" t="s">
        <v>4967</v>
      </c>
      <c r="E403" s="196" t="s">
        <v>5017</v>
      </c>
      <c r="F403" s="196">
        <v>20.170000000000002</v>
      </c>
      <c r="G403" s="195" t="s">
        <v>5065</v>
      </c>
      <c r="H403" s="116" t="s">
        <v>5021</v>
      </c>
      <c r="I403" s="116" t="s">
        <v>5022</v>
      </c>
      <c r="J403" s="116">
        <v>2000</v>
      </c>
      <c r="K403" s="116">
        <v>3000</v>
      </c>
      <c r="L403" s="116" t="s">
        <v>20</v>
      </c>
      <c r="M403" s="116" t="s">
        <v>20</v>
      </c>
      <c r="N403" s="116" t="s">
        <v>20</v>
      </c>
      <c r="O403" s="116" t="s">
        <v>20</v>
      </c>
      <c r="P403" s="116" t="s">
        <v>20</v>
      </c>
      <c r="Q403" s="116" t="s">
        <v>20</v>
      </c>
    </row>
    <row r="404" spans="2:17" ht="78" x14ac:dyDescent="0.25">
      <c r="B404" s="196">
        <v>4</v>
      </c>
      <c r="C404" s="196" t="s">
        <v>4827</v>
      </c>
      <c r="D404" s="196" t="s">
        <v>4967</v>
      </c>
      <c r="E404" s="196" t="s">
        <v>5023</v>
      </c>
      <c r="F404" s="196">
        <v>22.53</v>
      </c>
      <c r="G404" s="195" t="s">
        <v>5024</v>
      </c>
      <c r="H404" s="116" t="s">
        <v>5021</v>
      </c>
      <c r="I404" s="116" t="s">
        <v>2019</v>
      </c>
      <c r="J404" s="116" t="s">
        <v>20</v>
      </c>
      <c r="K404" s="116" t="s">
        <v>20</v>
      </c>
      <c r="L404" s="116" t="s">
        <v>20</v>
      </c>
      <c r="M404" s="116" t="s">
        <v>20</v>
      </c>
      <c r="N404" s="116" t="s">
        <v>20</v>
      </c>
      <c r="O404" s="116" t="s">
        <v>20</v>
      </c>
      <c r="P404" s="116" t="s">
        <v>20</v>
      </c>
      <c r="Q404" s="116" t="s">
        <v>20</v>
      </c>
    </row>
    <row r="405" spans="2:17" ht="78" x14ac:dyDescent="0.25">
      <c r="B405" s="196">
        <v>5</v>
      </c>
      <c r="C405" s="196" t="s">
        <v>4827</v>
      </c>
      <c r="D405" s="196" t="s">
        <v>4967</v>
      </c>
      <c r="E405" s="196" t="s">
        <v>5025</v>
      </c>
      <c r="F405" s="196">
        <v>1.18</v>
      </c>
      <c r="G405" s="195" t="s">
        <v>5026</v>
      </c>
      <c r="H405" s="116" t="s">
        <v>5003</v>
      </c>
      <c r="I405" s="116" t="s">
        <v>410</v>
      </c>
      <c r="J405" s="116">
        <v>200000</v>
      </c>
      <c r="K405" s="116">
        <v>600000</v>
      </c>
      <c r="L405" s="116" t="s">
        <v>20</v>
      </c>
      <c r="M405" s="116" t="s">
        <v>20</v>
      </c>
      <c r="N405" s="116" t="s">
        <v>20</v>
      </c>
      <c r="O405" s="116" t="s">
        <v>20</v>
      </c>
      <c r="P405" s="116" t="s">
        <v>20</v>
      </c>
      <c r="Q405" s="116" t="s">
        <v>20</v>
      </c>
    </row>
    <row r="406" spans="2:17" ht="78" x14ac:dyDescent="0.25">
      <c r="B406" s="196">
        <v>6</v>
      </c>
      <c r="C406" s="196" t="s">
        <v>4827</v>
      </c>
      <c r="D406" s="196" t="s">
        <v>4967</v>
      </c>
      <c r="E406" s="196" t="s">
        <v>5027</v>
      </c>
      <c r="F406" s="196">
        <v>14.14</v>
      </c>
      <c r="G406" s="195" t="s">
        <v>5028</v>
      </c>
      <c r="H406" s="116" t="s">
        <v>20</v>
      </c>
      <c r="I406" s="116" t="s">
        <v>20</v>
      </c>
      <c r="J406" s="116">
        <v>10000</v>
      </c>
      <c r="K406" s="116">
        <v>200000</v>
      </c>
      <c r="L406" s="116" t="s">
        <v>20</v>
      </c>
      <c r="M406" s="116" t="s">
        <v>20</v>
      </c>
      <c r="N406" s="116" t="s">
        <v>20</v>
      </c>
      <c r="O406" s="116" t="s">
        <v>20</v>
      </c>
      <c r="P406" s="116" t="s">
        <v>20</v>
      </c>
      <c r="Q406" s="116" t="s">
        <v>20</v>
      </c>
    </row>
    <row r="407" spans="2:17" ht="78" x14ac:dyDescent="0.25">
      <c r="B407" s="196">
        <v>7</v>
      </c>
      <c r="C407" s="196" t="s">
        <v>4827</v>
      </c>
      <c r="D407" s="196" t="s">
        <v>4967</v>
      </c>
      <c r="E407" s="196" t="s">
        <v>5029</v>
      </c>
      <c r="F407" s="196">
        <v>22.13</v>
      </c>
      <c r="G407" s="195" t="s">
        <v>5030</v>
      </c>
      <c r="H407" s="116" t="s">
        <v>20</v>
      </c>
      <c r="I407" s="116" t="s">
        <v>20</v>
      </c>
      <c r="J407" s="116" t="s">
        <v>20</v>
      </c>
      <c r="K407" s="116" t="s">
        <v>20</v>
      </c>
      <c r="L407" s="116" t="s">
        <v>20</v>
      </c>
      <c r="M407" s="116" t="s">
        <v>20</v>
      </c>
      <c r="N407" s="116" t="s">
        <v>20</v>
      </c>
      <c r="O407" s="116" t="s">
        <v>20</v>
      </c>
      <c r="P407" s="116" t="s">
        <v>20</v>
      </c>
      <c r="Q407" s="196" t="s">
        <v>20</v>
      </c>
    </row>
    <row r="408" spans="2:17" ht="78" x14ac:dyDescent="0.25">
      <c r="B408" s="196">
        <v>8</v>
      </c>
      <c r="C408" s="196" t="s">
        <v>5007</v>
      </c>
      <c r="D408" s="196" t="s">
        <v>4967</v>
      </c>
      <c r="E408" s="196" t="s">
        <v>5031</v>
      </c>
      <c r="F408" s="196">
        <v>6</v>
      </c>
      <c r="G408" s="195" t="s">
        <v>5032</v>
      </c>
      <c r="H408" s="116" t="s">
        <v>406</v>
      </c>
      <c r="I408" s="116" t="s">
        <v>2019</v>
      </c>
      <c r="J408" s="116" t="s">
        <v>20</v>
      </c>
      <c r="K408" s="116" t="s">
        <v>20</v>
      </c>
      <c r="L408" s="116" t="s">
        <v>20</v>
      </c>
      <c r="M408" s="116" t="s">
        <v>20</v>
      </c>
      <c r="N408" s="116" t="s">
        <v>20</v>
      </c>
      <c r="O408" s="116" t="s">
        <v>20</v>
      </c>
      <c r="P408" s="116" t="s">
        <v>20</v>
      </c>
      <c r="Q408" s="116" t="s">
        <v>20</v>
      </c>
    </row>
    <row r="409" spans="2:17" ht="58.5" x14ac:dyDescent="0.25">
      <c r="B409" s="196">
        <v>9</v>
      </c>
      <c r="C409" s="196" t="s">
        <v>4827</v>
      </c>
      <c r="D409" s="196" t="s">
        <v>4967</v>
      </c>
      <c r="E409" s="196" t="s">
        <v>5033</v>
      </c>
      <c r="F409" s="196">
        <v>20.329999999999998</v>
      </c>
      <c r="G409" s="195" t="s">
        <v>5034</v>
      </c>
      <c r="H409" s="116" t="s">
        <v>20</v>
      </c>
      <c r="I409" s="116" t="s">
        <v>4766</v>
      </c>
      <c r="J409" s="116" t="s">
        <v>20</v>
      </c>
      <c r="K409" s="116" t="s">
        <v>20</v>
      </c>
      <c r="L409" s="116" t="s">
        <v>20</v>
      </c>
      <c r="M409" s="116" t="s">
        <v>20</v>
      </c>
      <c r="N409" s="116" t="s">
        <v>20</v>
      </c>
      <c r="O409" s="116" t="s">
        <v>20</v>
      </c>
      <c r="P409" s="116" t="s">
        <v>20</v>
      </c>
      <c r="Q409" s="116"/>
    </row>
    <row r="410" spans="2:17" ht="78" x14ac:dyDescent="0.25">
      <c r="B410" s="196">
        <v>10</v>
      </c>
      <c r="C410" s="196" t="s">
        <v>4827</v>
      </c>
      <c r="D410" s="196" t="s">
        <v>4967</v>
      </c>
      <c r="E410" s="196" t="s">
        <v>5035</v>
      </c>
      <c r="F410" s="196">
        <v>16.3</v>
      </c>
      <c r="G410" s="195" t="s">
        <v>5036</v>
      </c>
      <c r="H410" s="116" t="s">
        <v>406</v>
      </c>
      <c r="I410" s="116" t="s">
        <v>5010</v>
      </c>
      <c r="J410" s="116">
        <v>1000</v>
      </c>
      <c r="K410" s="116">
        <v>5000</v>
      </c>
      <c r="L410" s="116" t="s">
        <v>20</v>
      </c>
      <c r="M410" s="116" t="s">
        <v>20</v>
      </c>
      <c r="N410" s="116" t="s">
        <v>20</v>
      </c>
      <c r="O410" s="116" t="s">
        <v>20</v>
      </c>
      <c r="P410" s="116" t="s">
        <v>20</v>
      </c>
      <c r="Q410" s="116" t="s">
        <v>20</v>
      </c>
    </row>
    <row r="411" spans="2:17" ht="58.5" x14ac:dyDescent="0.25">
      <c r="B411" s="196">
        <v>11</v>
      </c>
      <c r="C411" s="196" t="s">
        <v>4827</v>
      </c>
      <c r="D411" s="196" t="s">
        <v>4967</v>
      </c>
      <c r="E411" s="196" t="s">
        <v>5037</v>
      </c>
      <c r="F411" s="196">
        <v>10.49</v>
      </c>
      <c r="G411" s="195" t="s">
        <v>5038</v>
      </c>
      <c r="H411" s="116" t="s">
        <v>20</v>
      </c>
      <c r="I411" s="116" t="s">
        <v>4766</v>
      </c>
      <c r="J411" s="116" t="s">
        <v>20</v>
      </c>
      <c r="K411" s="116" t="s">
        <v>20</v>
      </c>
      <c r="L411" s="116" t="s">
        <v>20</v>
      </c>
      <c r="M411" s="116" t="s">
        <v>20</v>
      </c>
      <c r="N411" s="116" t="s">
        <v>20</v>
      </c>
      <c r="O411" s="116" t="s">
        <v>20</v>
      </c>
      <c r="P411" s="116" t="s">
        <v>20</v>
      </c>
      <c r="Q411" s="116"/>
    </row>
    <row r="412" spans="2:17" ht="58.5" x14ac:dyDescent="0.25">
      <c r="B412" s="116">
        <v>1</v>
      </c>
      <c r="C412" s="116" t="s">
        <v>4827</v>
      </c>
      <c r="D412" s="116" t="s">
        <v>4967</v>
      </c>
      <c r="E412" s="196" t="s">
        <v>5039</v>
      </c>
      <c r="F412" s="116">
        <v>15.17</v>
      </c>
      <c r="G412" s="195" t="s">
        <v>5040</v>
      </c>
      <c r="H412" s="116" t="s">
        <v>406</v>
      </c>
      <c r="I412" s="116" t="s">
        <v>5041</v>
      </c>
      <c r="J412" s="116" t="s">
        <v>20</v>
      </c>
      <c r="K412" s="116" t="s">
        <v>20</v>
      </c>
      <c r="L412" s="116" t="s">
        <v>20</v>
      </c>
      <c r="M412" s="116" t="s">
        <v>20</v>
      </c>
      <c r="N412" s="116" t="s">
        <v>20</v>
      </c>
      <c r="O412" s="116" t="s">
        <v>20</v>
      </c>
      <c r="P412" s="116" t="s">
        <v>20</v>
      </c>
      <c r="Q412" s="116" t="s">
        <v>20</v>
      </c>
    </row>
    <row r="413" spans="2:17" ht="58.5" x14ac:dyDescent="0.25">
      <c r="B413" s="116">
        <v>2</v>
      </c>
      <c r="C413" s="116" t="s">
        <v>4827</v>
      </c>
      <c r="D413" s="116" t="s">
        <v>4967</v>
      </c>
      <c r="E413" s="116" t="s">
        <v>5042</v>
      </c>
      <c r="F413" s="116">
        <v>10.5</v>
      </c>
      <c r="G413" s="195" t="s">
        <v>5066</v>
      </c>
      <c r="H413" s="116" t="s">
        <v>406</v>
      </c>
      <c r="I413" s="116" t="s">
        <v>5043</v>
      </c>
      <c r="J413" s="116" t="s">
        <v>20</v>
      </c>
      <c r="K413" s="116" t="s">
        <v>20</v>
      </c>
      <c r="L413" s="116" t="s">
        <v>20</v>
      </c>
      <c r="M413" s="116" t="s">
        <v>20</v>
      </c>
      <c r="N413" s="116" t="s">
        <v>20</v>
      </c>
      <c r="O413" s="116" t="s">
        <v>20</v>
      </c>
      <c r="P413" s="116" t="s">
        <v>20</v>
      </c>
      <c r="Q413" s="116" t="s">
        <v>20</v>
      </c>
    </row>
    <row r="414" spans="2:17" ht="58.5" x14ac:dyDescent="0.25">
      <c r="B414" s="196">
        <v>3</v>
      </c>
      <c r="C414" s="196" t="s">
        <v>4827</v>
      </c>
      <c r="D414" s="196" t="s">
        <v>4967</v>
      </c>
      <c r="E414" s="196" t="s">
        <v>5044</v>
      </c>
      <c r="F414" s="196">
        <v>14.47</v>
      </c>
      <c r="G414" s="195" t="s">
        <v>5066</v>
      </c>
      <c r="H414" s="116" t="s">
        <v>406</v>
      </c>
      <c r="I414" s="116" t="s">
        <v>5043</v>
      </c>
      <c r="J414" s="116" t="s">
        <v>20</v>
      </c>
      <c r="K414" s="116" t="s">
        <v>20</v>
      </c>
      <c r="L414" s="116" t="s">
        <v>20</v>
      </c>
      <c r="M414" s="116" t="s">
        <v>20</v>
      </c>
      <c r="N414" s="116" t="s">
        <v>20</v>
      </c>
      <c r="O414" s="116" t="s">
        <v>20</v>
      </c>
      <c r="P414" s="116" t="s">
        <v>20</v>
      </c>
      <c r="Q414" s="116" t="s">
        <v>20</v>
      </c>
    </row>
    <row r="415" spans="2:17" ht="58.5" x14ac:dyDescent="0.25">
      <c r="B415" s="196">
        <v>4</v>
      </c>
      <c r="C415" s="196" t="s">
        <v>4827</v>
      </c>
      <c r="D415" s="196" t="s">
        <v>4967</v>
      </c>
      <c r="E415" s="196" t="s">
        <v>5044</v>
      </c>
      <c r="F415" s="196">
        <v>7.1</v>
      </c>
      <c r="G415" s="195" t="s">
        <v>5066</v>
      </c>
      <c r="H415" s="116" t="s">
        <v>406</v>
      </c>
      <c r="I415" s="116" t="s">
        <v>5043</v>
      </c>
      <c r="J415" s="116" t="s">
        <v>20</v>
      </c>
      <c r="K415" s="116" t="s">
        <v>20</v>
      </c>
      <c r="L415" s="116" t="s">
        <v>20</v>
      </c>
      <c r="M415" s="116" t="s">
        <v>20</v>
      </c>
      <c r="N415" s="116" t="s">
        <v>20</v>
      </c>
      <c r="O415" s="116" t="s">
        <v>20</v>
      </c>
      <c r="P415" s="116" t="s">
        <v>20</v>
      </c>
      <c r="Q415" s="116" t="s">
        <v>20</v>
      </c>
    </row>
    <row r="416" spans="2:17" ht="58.5" x14ac:dyDescent="0.25">
      <c r="B416" s="196">
        <v>5</v>
      </c>
      <c r="C416" s="196" t="s">
        <v>4827</v>
      </c>
      <c r="D416" s="196" t="s">
        <v>4967</v>
      </c>
      <c r="E416" s="196" t="s">
        <v>5044</v>
      </c>
      <c r="F416" s="196">
        <v>10.5</v>
      </c>
      <c r="G416" s="195" t="s">
        <v>5066</v>
      </c>
      <c r="H416" s="116" t="s">
        <v>406</v>
      </c>
      <c r="I416" s="116" t="s">
        <v>5043</v>
      </c>
      <c r="J416" s="116" t="s">
        <v>20</v>
      </c>
      <c r="K416" s="116" t="s">
        <v>20</v>
      </c>
      <c r="L416" s="116" t="s">
        <v>20</v>
      </c>
      <c r="M416" s="116" t="s">
        <v>20</v>
      </c>
      <c r="N416" s="116" t="s">
        <v>20</v>
      </c>
      <c r="O416" s="116" t="s">
        <v>20</v>
      </c>
      <c r="P416" s="116" t="s">
        <v>20</v>
      </c>
      <c r="Q416" s="116" t="s">
        <v>20</v>
      </c>
    </row>
    <row r="417" spans="2:17" ht="78" x14ac:dyDescent="0.25">
      <c r="B417" s="196">
        <v>6</v>
      </c>
      <c r="C417" s="196" t="s">
        <v>4827</v>
      </c>
      <c r="D417" s="196" t="s">
        <v>4967</v>
      </c>
      <c r="E417" s="196" t="s">
        <v>5045</v>
      </c>
      <c r="F417" s="196">
        <v>8.1</v>
      </c>
      <c r="G417" s="195" t="s">
        <v>5046</v>
      </c>
      <c r="H417" s="116" t="s">
        <v>5047</v>
      </c>
      <c r="I417" s="116" t="s">
        <v>5048</v>
      </c>
      <c r="J417" s="116">
        <v>500000</v>
      </c>
      <c r="K417" s="116">
        <v>5000000</v>
      </c>
      <c r="L417" s="116" t="s">
        <v>20</v>
      </c>
      <c r="M417" s="116" t="s">
        <v>20</v>
      </c>
      <c r="N417" s="116" t="s">
        <v>20</v>
      </c>
      <c r="O417" s="116" t="s">
        <v>20</v>
      </c>
      <c r="P417" s="116" t="s">
        <v>20</v>
      </c>
      <c r="Q417" s="116" t="s">
        <v>20</v>
      </c>
    </row>
    <row r="418" spans="2:17" ht="97.5" x14ac:dyDescent="0.25">
      <c r="B418" s="196">
        <v>7</v>
      </c>
      <c r="C418" s="196" t="s">
        <v>4827</v>
      </c>
      <c r="D418" s="196" t="s">
        <v>4967</v>
      </c>
      <c r="E418" s="196" t="s">
        <v>4855</v>
      </c>
      <c r="F418" s="196">
        <v>13.18</v>
      </c>
      <c r="G418" s="195" t="s">
        <v>5034</v>
      </c>
      <c r="H418" s="116" t="s">
        <v>20</v>
      </c>
      <c r="I418" s="116" t="s">
        <v>5070</v>
      </c>
      <c r="J418" s="116" t="s">
        <v>20</v>
      </c>
      <c r="K418" s="116" t="s">
        <v>20</v>
      </c>
      <c r="L418" s="116" t="s">
        <v>20</v>
      </c>
      <c r="M418" s="116" t="s">
        <v>20</v>
      </c>
      <c r="N418" s="116" t="s">
        <v>20</v>
      </c>
      <c r="O418" s="116" t="s">
        <v>20</v>
      </c>
      <c r="P418" s="116" t="s">
        <v>20</v>
      </c>
      <c r="Q418" s="196" t="s">
        <v>20</v>
      </c>
    </row>
    <row r="419" spans="2:17" ht="78" x14ac:dyDescent="0.25">
      <c r="B419" s="196">
        <v>8</v>
      </c>
      <c r="C419" s="196" t="s">
        <v>5007</v>
      </c>
      <c r="D419" s="196" t="s">
        <v>4967</v>
      </c>
      <c r="E419" s="196" t="s">
        <v>4855</v>
      </c>
      <c r="F419" s="196">
        <v>23.51</v>
      </c>
      <c r="G419" s="195" t="s">
        <v>5049</v>
      </c>
      <c r="H419" s="116" t="s">
        <v>5047</v>
      </c>
      <c r="I419" s="116" t="s">
        <v>5050</v>
      </c>
      <c r="J419" s="116">
        <v>50000</v>
      </c>
      <c r="K419" s="116">
        <v>500000</v>
      </c>
      <c r="L419" s="116" t="s">
        <v>20</v>
      </c>
      <c r="M419" s="116" t="s">
        <v>20</v>
      </c>
      <c r="N419" s="116" t="s">
        <v>20</v>
      </c>
      <c r="O419" s="116" t="s">
        <v>20</v>
      </c>
      <c r="P419" s="116" t="s">
        <v>20</v>
      </c>
      <c r="Q419" s="116" t="s">
        <v>20</v>
      </c>
    </row>
    <row r="420" spans="2:17" ht="78" x14ac:dyDescent="0.25">
      <c r="B420" s="196">
        <v>9</v>
      </c>
      <c r="C420" s="196" t="s">
        <v>4827</v>
      </c>
      <c r="D420" s="196" t="s">
        <v>4967</v>
      </c>
      <c r="E420" s="196" t="s">
        <v>4861</v>
      </c>
      <c r="F420" s="196">
        <v>14.15</v>
      </c>
      <c r="G420" s="195" t="s">
        <v>5067</v>
      </c>
      <c r="H420" s="116" t="s">
        <v>406</v>
      </c>
      <c r="I420" s="116" t="s">
        <v>2035</v>
      </c>
      <c r="J420" s="116">
        <v>10000</v>
      </c>
      <c r="K420" s="116">
        <v>2000000</v>
      </c>
      <c r="L420" s="116" t="s">
        <v>20</v>
      </c>
      <c r="M420" s="116" t="s">
        <v>20</v>
      </c>
      <c r="N420" s="116" t="s">
        <v>20</v>
      </c>
      <c r="O420" s="116" t="s">
        <v>20</v>
      </c>
      <c r="P420" s="116" t="s">
        <v>20</v>
      </c>
      <c r="Q420" s="116"/>
    </row>
    <row r="421" spans="2:17" ht="19.5" x14ac:dyDescent="0.25">
      <c r="B421" s="196">
        <v>10</v>
      </c>
      <c r="C421" s="196" t="s">
        <v>4827</v>
      </c>
      <c r="D421" s="196" t="s">
        <v>4967</v>
      </c>
      <c r="E421" s="196" t="s">
        <v>5051</v>
      </c>
      <c r="F421" s="196">
        <v>20.2</v>
      </c>
      <c r="G421" s="195" t="s">
        <v>5052</v>
      </c>
      <c r="H421" s="196" t="s">
        <v>20</v>
      </c>
      <c r="I421" s="196" t="s">
        <v>20</v>
      </c>
      <c r="J421" s="196" t="s">
        <v>5054</v>
      </c>
      <c r="K421" s="196" t="s">
        <v>20</v>
      </c>
      <c r="L421" s="196" t="s">
        <v>20</v>
      </c>
      <c r="M421" s="196" t="s">
        <v>20</v>
      </c>
      <c r="N421" s="196" t="s">
        <v>20</v>
      </c>
      <c r="O421" s="196" t="s">
        <v>20</v>
      </c>
      <c r="P421" s="196" t="s">
        <v>20</v>
      </c>
      <c r="Q421" s="196" t="s">
        <v>20</v>
      </c>
    </row>
    <row r="422" spans="2:17" ht="19.5" x14ac:dyDescent="0.25">
      <c r="B422" s="196"/>
      <c r="C422" s="196" t="s">
        <v>4827</v>
      </c>
      <c r="D422" s="196" t="s">
        <v>4967</v>
      </c>
      <c r="E422" s="196" t="s">
        <v>4866</v>
      </c>
      <c r="F422" s="196">
        <v>9.58</v>
      </c>
      <c r="G422" s="195" t="s">
        <v>5053</v>
      </c>
      <c r="H422" s="196"/>
      <c r="I422" s="196"/>
      <c r="J422" s="196"/>
      <c r="K422" s="196"/>
      <c r="L422" s="196"/>
      <c r="M422" s="196"/>
      <c r="N422" s="196"/>
      <c r="O422" s="196"/>
      <c r="P422" s="196"/>
      <c r="Q422" s="196"/>
    </row>
    <row r="423" spans="2:17" ht="58.5" x14ac:dyDescent="0.25">
      <c r="B423" s="196">
        <v>11</v>
      </c>
      <c r="C423" s="196" t="s">
        <v>4827</v>
      </c>
      <c r="D423" s="196" t="s">
        <v>4967</v>
      </c>
      <c r="E423" s="196" t="s">
        <v>5055</v>
      </c>
      <c r="F423" s="196">
        <v>7.42</v>
      </c>
      <c r="G423" s="195" t="s">
        <v>5056</v>
      </c>
      <c r="H423" s="116" t="s">
        <v>5047</v>
      </c>
      <c r="I423" s="116" t="s">
        <v>5050</v>
      </c>
      <c r="J423" s="116">
        <v>20000</v>
      </c>
      <c r="K423" s="116">
        <v>400000</v>
      </c>
      <c r="L423" s="116" t="s">
        <v>20</v>
      </c>
      <c r="M423" s="116" t="s">
        <v>20</v>
      </c>
      <c r="N423" s="116" t="s">
        <v>20</v>
      </c>
      <c r="O423" s="116" t="s">
        <v>20</v>
      </c>
      <c r="P423" s="116" t="s">
        <v>20</v>
      </c>
      <c r="Q423" s="116"/>
    </row>
    <row r="424" spans="2:17" ht="58.5" x14ac:dyDescent="0.25">
      <c r="B424" s="196">
        <v>12</v>
      </c>
      <c r="C424" s="196" t="s">
        <v>4827</v>
      </c>
      <c r="D424" s="196" t="s">
        <v>4967</v>
      </c>
      <c r="E424" s="196" t="s">
        <v>4888</v>
      </c>
      <c r="F424" s="196">
        <v>7.3</v>
      </c>
      <c r="G424" s="195" t="s">
        <v>5057</v>
      </c>
      <c r="H424" s="116" t="s">
        <v>5047</v>
      </c>
      <c r="I424" s="116" t="s">
        <v>5050</v>
      </c>
      <c r="J424" s="196"/>
      <c r="K424" s="196"/>
      <c r="L424" s="116" t="s">
        <v>20</v>
      </c>
      <c r="M424" s="116" t="s">
        <v>20</v>
      </c>
      <c r="N424" s="116" t="s">
        <v>20</v>
      </c>
      <c r="O424" s="116" t="s">
        <v>20</v>
      </c>
      <c r="P424" s="116" t="s">
        <v>20</v>
      </c>
      <c r="Q424" s="116"/>
    </row>
    <row r="425" spans="2:17" ht="58.5" x14ac:dyDescent="0.25">
      <c r="B425" s="196">
        <v>13</v>
      </c>
      <c r="C425" s="196" t="s">
        <v>4827</v>
      </c>
      <c r="D425" s="196" t="s">
        <v>4967</v>
      </c>
      <c r="E425" s="196" t="s">
        <v>4888</v>
      </c>
      <c r="F425" s="196">
        <v>17.54</v>
      </c>
      <c r="G425" s="195" t="s">
        <v>5068</v>
      </c>
      <c r="H425" s="116" t="s">
        <v>406</v>
      </c>
      <c r="I425" s="116" t="s">
        <v>5058</v>
      </c>
      <c r="J425" s="116">
        <v>10000</v>
      </c>
      <c r="K425" s="116">
        <v>200000</v>
      </c>
      <c r="L425" s="116" t="s">
        <v>20</v>
      </c>
      <c r="M425" s="116" t="s">
        <v>20</v>
      </c>
      <c r="N425" s="116" t="s">
        <v>20</v>
      </c>
      <c r="O425" s="116" t="s">
        <v>20</v>
      </c>
      <c r="P425" s="116" t="s">
        <v>20</v>
      </c>
      <c r="Q425" s="116"/>
    </row>
    <row r="426" spans="2:17" ht="97.5" x14ac:dyDescent="0.25">
      <c r="B426" s="196">
        <v>14</v>
      </c>
      <c r="C426" s="196" t="s">
        <v>4827</v>
      </c>
      <c r="D426" s="196" t="s">
        <v>4967</v>
      </c>
      <c r="E426" s="196" t="s">
        <v>4896</v>
      </c>
      <c r="F426" s="196">
        <v>16.57</v>
      </c>
      <c r="G426" s="195" t="s">
        <v>5069</v>
      </c>
      <c r="H426" s="116" t="s">
        <v>5059</v>
      </c>
      <c r="I426" s="116" t="s">
        <v>5048</v>
      </c>
      <c r="J426" s="116">
        <v>15000</v>
      </c>
      <c r="K426" s="116">
        <v>1000000</v>
      </c>
      <c r="L426" s="116" t="s">
        <v>20</v>
      </c>
      <c r="M426" s="116" t="s">
        <v>20</v>
      </c>
      <c r="N426" s="116" t="s">
        <v>20</v>
      </c>
      <c r="O426" s="116" t="s">
        <v>20</v>
      </c>
      <c r="P426" s="116" t="s">
        <v>20</v>
      </c>
      <c r="Q426" s="11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BA5FC-8048-42BB-89BC-F356562D6D46}">
  <dimension ref="B4:R82"/>
  <sheetViews>
    <sheetView topLeftCell="A12" zoomScale="70" zoomScaleNormal="70" workbookViewId="0">
      <selection activeCell="G17" sqref="G17"/>
    </sheetView>
  </sheetViews>
  <sheetFormatPr defaultRowHeight="15" x14ac:dyDescent="0.25"/>
  <cols>
    <col min="2" max="2" width="7.85546875" customWidth="1"/>
    <col min="3" max="3" width="9.7109375" customWidth="1"/>
    <col min="4" max="4" width="11.42578125" style="182" customWidth="1"/>
    <col min="5" max="5" width="12" customWidth="1"/>
    <col min="6" max="6" width="10.140625" bestFit="1" customWidth="1"/>
    <col min="7" max="7" width="42.28515625" customWidth="1"/>
    <col min="8" max="8" width="19" customWidth="1"/>
    <col min="9" max="9" width="13.42578125" customWidth="1"/>
    <col min="10" max="10" width="18.5703125" customWidth="1"/>
    <col min="11" max="11" width="14.28515625" customWidth="1"/>
  </cols>
  <sheetData>
    <row r="4" spans="2:18" ht="78" x14ac:dyDescent="0.25">
      <c r="B4" s="28" t="s">
        <v>4767</v>
      </c>
      <c r="C4" s="122" t="s">
        <v>77</v>
      </c>
      <c r="D4" s="28" t="s">
        <v>5473</v>
      </c>
      <c r="E4" s="28" t="s">
        <v>5452</v>
      </c>
      <c r="F4" s="28" t="s">
        <v>80</v>
      </c>
      <c r="G4" s="28" t="s">
        <v>81</v>
      </c>
      <c r="H4" s="124" t="s">
        <v>82</v>
      </c>
      <c r="I4" s="124"/>
      <c r="J4" s="28" t="s">
        <v>4769</v>
      </c>
      <c r="K4" s="28" t="s">
        <v>4770</v>
      </c>
      <c r="L4" s="28" t="s">
        <v>85</v>
      </c>
      <c r="M4" s="28" t="s">
        <v>4771</v>
      </c>
      <c r="N4" s="28" t="s">
        <v>4772</v>
      </c>
      <c r="O4" s="28" t="s">
        <v>4773</v>
      </c>
      <c r="P4" s="28" t="s">
        <v>4774</v>
      </c>
      <c r="Q4" s="28" t="s">
        <v>4775</v>
      </c>
      <c r="R4" s="28" t="s">
        <v>4776</v>
      </c>
    </row>
    <row r="5" spans="2:18" ht="39" x14ac:dyDescent="0.25">
      <c r="B5" s="28"/>
      <c r="C5" s="26" t="s">
        <v>5357</v>
      </c>
      <c r="D5" s="28" t="s">
        <v>5475</v>
      </c>
      <c r="E5" s="110">
        <v>45459</v>
      </c>
      <c r="F5" s="109">
        <v>0.77916666666666667</v>
      </c>
      <c r="G5" s="122" t="s">
        <v>5974</v>
      </c>
      <c r="H5" s="28" t="s">
        <v>406</v>
      </c>
      <c r="I5" s="124"/>
      <c r="J5" s="28" t="s">
        <v>343</v>
      </c>
      <c r="K5" s="28">
        <v>500</v>
      </c>
      <c r="L5" s="28">
        <v>9500</v>
      </c>
      <c r="M5" s="28"/>
      <c r="N5" s="28"/>
      <c r="O5" s="28"/>
      <c r="P5" s="28"/>
      <c r="Q5" s="28"/>
      <c r="R5" s="28"/>
    </row>
    <row r="6" spans="2:18" ht="39" x14ac:dyDescent="0.25">
      <c r="B6" s="28"/>
      <c r="C6" s="26" t="s">
        <v>5357</v>
      </c>
      <c r="D6" s="28" t="s">
        <v>5475</v>
      </c>
      <c r="E6" s="110">
        <v>45460</v>
      </c>
      <c r="F6" s="109">
        <v>0.43263888888888891</v>
      </c>
      <c r="G6" s="122" t="s">
        <v>5974</v>
      </c>
      <c r="H6" s="28" t="s">
        <v>406</v>
      </c>
      <c r="I6" s="124"/>
      <c r="J6" s="28" t="s">
        <v>343</v>
      </c>
      <c r="K6" s="28">
        <v>500</v>
      </c>
      <c r="L6" s="28">
        <v>9500</v>
      </c>
      <c r="M6" s="28"/>
      <c r="N6" s="28"/>
      <c r="O6" s="28"/>
      <c r="P6" s="28"/>
      <c r="Q6" s="28"/>
      <c r="R6" s="28"/>
    </row>
    <row r="7" spans="2:18" ht="39" x14ac:dyDescent="0.25">
      <c r="B7" s="26">
        <v>1</v>
      </c>
      <c r="C7" s="26" t="s">
        <v>5357</v>
      </c>
      <c r="D7" s="28" t="s">
        <v>5474</v>
      </c>
      <c r="E7" s="110">
        <v>45455</v>
      </c>
      <c r="F7" s="109">
        <v>0.27986111111111112</v>
      </c>
      <c r="G7" s="254" t="s">
        <v>5985</v>
      </c>
      <c r="H7" s="28" t="s">
        <v>406</v>
      </c>
      <c r="I7" s="26"/>
      <c r="J7" s="28" t="s">
        <v>2177</v>
      </c>
      <c r="K7" s="180">
        <v>10000</v>
      </c>
      <c r="L7" s="180">
        <v>500000</v>
      </c>
      <c r="M7" s="26" t="s">
        <v>20</v>
      </c>
      <c r="N7" s="26" t="s">
        <v>20</v>
      </c>
      <c r="O7" s="26" t="s">
        <v>20</v>
      </c>
      <c r="P7" s="26" t="s">
        <v>20</v>
      </c>
      <c r="Q7" s="26" t="s">
        <v>20</v>
      </c>
      <c r="R7" s="26" t="s">
        <v>20</v>
      </c>
    </row>
    <row r="8" spans="2:18" ht="39" x14ac:dyDescent="0.35">
      <c r="B8" s="26">
        <v>2</v>
      </c>
      <c r="C8" s="26" t="s">
        <v>5357</v>
      </c>
      <c r="D8" s="255" t="s">
        <v>5986</v>
      </c>
      <c r="E8" s="110">
        <v>45456</v>
      </c>
      <c r="F8" s="109">
        <v>0.35416666666666669</v>
      </c>
      <c r="G8" s="254" t="s">
        <v>5987</v>
      </c>
      <c r="H8" s="28" t="s">
        <v>406</v>
      </c>
      <c r="I8" s="26"/>
      <c r="J8" s="28" t="s">
        <v>5988</v>
      </c>
      <c r="K8" s="28">
        <v>1000</v>
      </c>
      <c r="L8" s="28">
        <v>99000</v>
      </c>
      <c r="M8" s="28" t="s">
        <v>20</v>
      </c>
      <c r="N8" s="28" t="s">
        <v>20</v>
      </c>
      <c r="O8" s="28" t="s">
        <v>20</v>
      </c>
      <c r="P8" s="28" t="s">
        <v>20</v>
      </c>
      <c r="Q8" s="28" t="s">
        <v>20</v>
      </c>
      <c r="R8" s="28" t="s">
        <v>20</v>
      </c>
    </row>
    <row r="9" spans="2:18" ht="39" x14ac:dyDescent="0.25">
      <c r="B9" s="26">
        <v>3</v>
      </c>
      <c r="C9" s="26" t="s">
        <v>5357</v>
      </c>
      <c r="D9" s="26" t="s">
        <v>5986</v>
      </c>
      <c r="E9" s="108">
        <v>45456</v>
      </c>
      <c r="F9" s="109">
        <v>0.78541666666666665</v>
      </c>
      <c r="G9" s="254" t="s">
        <v>5989</v>
      </c>
      <c r="H9" s="28" t="s">
        <v>5377</v>
      </c>
      <c r="I9" s="26"/>
      <c r="J9" s="28" t="s">
        <v>5990</v>
      </c>
      <c r="K9" s="28">
        <v>50000</v>
      </c>
      <c r="L9" s="162">
        <v>950000</v>
      </c>
      <c r="M9" s="28" t="s">
        <v>20</v>
      </c>
      <c r="N9" s="28" t="s">
        <v>20</v>
      </c>
      <c r="O9" s="28" t="s">
        <v>20</v>
      </c>
      <c r="P9" s="28" t="s">
        <v>20</v>
      </c>
      <c r="Q9" s="28" t="s">
        <v>20</v>
      </c>
      <c r="R9" s="28" t="s">
        <v>20</v>
      </c>
    </row>
    <row r="10" spans="2:18" ht="39" x14ac:dyDescent="0.25">
      <c r="B10" s="26">
        <v>4</v>
      </c>
      <c r="C10" s="26" t="s">
        <v>5357</v>
      </c>
      <c r="D10" s="26" t="s">
        <v>5986</v>
      </c>
      <c r="E10" s="110">
        <v>45457</v>
      </c>
      <c r="F10" s="109">
        <v>0.74236111111111114</v>
      </c>
      <c r="G10" s="254" t="s">
        <v>5991</v>
      </c>
      <c r="H10" s="28" t="s">
        <v>5361</v>
      </c>
      <c r="I10" s="26"/>
      <c r="J10" s="28" t="s">
        <v>5992</v>
      </c>
      <c r="K10" s="28">
        <v>500</v>
      </c>
      <c r="L10" s="28">
        <v>50000</v>
      </c>
      <c r="M10" s="28" t="s">
        <v>20</v>
      </c>
      <c r="N10" s="28" t="s">
        <v>20</v>
      </c>
      <c r="O10" s="28" t="s">
        <v>20</v>
      </c>
      <c r="P10" s="28" t="s">
        <v>20</v>
      </c>
      <c r="Q10" s="28" t="s">
        <v>20</v>
      </c>
      <c r="R10" s="28" t="s">
        <v>20</v>
      </c>
    </row>
    <row r="11" spans="2:18" ht="39" x14ac:dyDescent="0.25">
      <c r="B11" s="26">
        <v>5</v>
      </c>
      <c r="C11" s="26" t="s">
        <v>5357</v>
      </c>
      <c r="D11" s="28" t="s">
        <v>5474</v>
      </c>
      <c r="E11" s="110">
        <v>45458</v>
      </c>
      <c r="F11" s="109">
        <v>0.35416666666666669</v>
      </c>
      <c r="G11" s="122" t="s">
        <v>5993</v>
      </c>
      <c r="H11" s="28" t="s">
        <v>406</v>
      </c>
      <c r="I11" s="26"/>
      <c r="J11" s="28" t="s">
        <v>5994</v>
      </c>
      <c r="K11" s="28" t="s">
        <v>20</v>
      </c>
      <c r="L11" s="28">
        <v>2000</v>
      </c>
      <c r="M11" s="28" t="s">
        <v>20</v>
      </c>
      <c r="N11" s="28" t="s">
        <v>20</v>
      </c>
      <c r="O11" s="28" t="s">
        <v>20</v>
      </c>
      <c r="P11" s="28" t="s">
        <v>20</v>
      </c>
      <c r="Q11" s="28" t="s">
        <v>20</v>
      </c>
      <c r="R11" s="28" t="s">
        <v>20</v>
      </c>
    </row>
    <row r="12" spans="2:18" ht="39" x14ac:dyDescent="0.25">
      <c r="B12" s="26">
        <v>6</v>
      </c>
      <c r="C12" s="26" t="s">
        <v>5357</v>
      </c>
      <c r="D12" s="28" t="s">
        <v>5469</v>
      </c>
      <c r="E12" s="110">
        <v>45465</v>
      </c>
      <c r="F12" s="109">
        <v>0.57430555555555551</v>
      </c>
      <c r="G12" s="122" t="s">
        <v>5995</v>
      </c>
      <c r="H12" s="28" t="s">
        <v>5361</v>
      </c>
      <c r="I12" s="26"/>
      <c r="J12" s="28" t="s">
        <v>5996</v>
      </c>
      <c r="K12" s="28">
        <v>90000</v>
      </c>
      <c r="L12" s="28">
        <v>1410000</v>
      </c>
      <c r="M12" s="28" t="s">
        <v>20</v>
      </c>
      <c r="N12" s="28" t="s">
        <v>20</v>
      </c>
      <c r="O12" s="28" t="s">
        <v>20</v>
      </c>
      <c r="P12" s="28" t="s">
        <v>20</v>
      </c>
      <c r="Q12" s="28" t="s">
        <v>20</v>
      </c>
      <c r="R12" s="28" t="s">
        <v>20</v>
      </c>
    </row>
    <row r="13" spans="2:18" ht="39" x14ac:dyDescent="0.25">
      <c r="B13" s="26">
        <v>7</v>
      </c>
      <c r="C13" s="26" t="s">
        <v>5357</v>
      </c>
      <c r="D13" s="28" t="s">
        <v>5470</v>
      </c>
      <c r="E13" s="110" t="s">
        <v>5984</v>
      </c>
      <c r="F13" s="109">
        <v>0.69097222222222221</v>
      </c>
      <c r="G13" s="122" t="s">
        <v>5997</v>
      </c>
      <c r="H13" s="28" t="s">
        <v>5386</v>
      </c>
      <c r="I13" s="28"/>
      <c r="J13" s="28" t="s">
        <v>5998</v>
      </c>
      <c r="K13" s="27" t="s">
        <v>20</v>
      </c>
      <c r="L13" s="27" t="s">
        <v>20</v>
      </c>
      <c r="M13" s="28" t="s">
        <v>20</v>
      </c>
      <c r="N13" s="28" t="s">
        <v>20</v>
      </c>
      <c r="O13" s="28" t="s">
        <v>20</v>
      </c>
      <c r="P13" s="28" t="s">
        <v>20</v>
      </c>
      <c r="Q13" s="28" t="s">
        <v>20</v>
      </c>
      <c r="R13" s="28" t="s">
        <v>20</v>
      </c>
    </row>
    <row r="14" spans="2:18" ht="39" x14ac:dyDescent="0.25">
      <c r="B14" s="26">
        <v>8</v>
      </c>
      <c r="C14" s="26" t="s">
        <v>5357</v>
      </c>
      <c r="D14" s="28" t="s">
        <v>5470</v>
      </c>
      <c r="E14" s="110">
        <v>45457</v>
      </c>
      <c r="F14" s="109">
        <v>0.50347222222222221</v>
      </c>
      <c r="G14" s="122" t="s">
        <v>5999</v>
      </c>
      <c r="H14" s="26"/>
      <c r="I14" s="26"/>
      <c r="J14" s="28" t="s">
        <v>5998</v>
      </c>
      <c r="K14" s="162">
        <v>125000</v>
      </c>
      <c r="L14" s="162">
        <v>375000</v>
      </c>
      <c r="M14" s="28" t="s">
        <v>20</v>
      </c>
      <c r="N14" s="28">
        <v>1</v>
      </c>
      <c r="O14" s="28" t="s">
        <v>20</v>
      </c>
      <c r="P14" s="28" t="s">
        <v>20</v>
      </c>
      <c r="Q14" s="28" t="s">
        <v>20</v>
      </c>
      <c r="R14" s="28" t="s">
        <v>20</v>
      </c>
    </row>
    <row r="15" spans="2:18" ht="39" x14ac:dyDescent="0.25">
      <c r="B15" s="26">
        <v>9</v>
      </c>
      <c r="C15" s="26" t="s">
        <v>5357</v>
      </c>
      <c r="D15" s="28" t="s">
        <v>5475</v>
      </c>
      <c r="E15" s="110">
        <v>45444</v>
      </c>
      <c r="F15" s="109">
        <v>0.46250000000000002</v>
      </c>
      <c r="G15" s="122" t="s">
        <v>6000</v>
      </c>
      <c r="H15" s="26"/>
      <c r="I15" s="26"/>
      <c r="J15" s="28" t="s">
        <v>6001</v>
      </c>
      <c r="K15" s="28">
        <v>1000</v>
      </c>
      <c r="L15" s="162">
        <v>499000</v>
      </c>
      <c r="M15" s="28" t="s">
        <v>20</v>
      </c>
      <c r="N15" s="28" t="s">
        <v>20</v>
      </c>
      <c r="O15" s="28" t="s">
        <v>20</v>
      </c>
      <c r="P15" s="28" t="s">
        <v>20</v>
      </c>
      <c r="Q15" s="28" t="s">
        <v>20</v>
      </c>
      <c r="R15" s="28" t="s">
        <v>20</v>
      </c>
    </row>
    <row r="16" spans="2:18" ht="39" x14ac:dyDescent="0.25">
      <c r="B16" s="26">
        <v>10</v>
      </c>
      <c r="C16" s="26" t="s">
        <v>5357</v>
      </c>
      <c r="D16" s="28" t="s">
        <v>5475</v>
      </c>
      <c r="E16" s="110">
        <v>45444</v>
      </c>
      <c r="F16" s="109">
        <v>0.47291666666666665</v>
      </c>
      <c r="G16" s="122" t="s">
        <v>6002</v>
      </c>
      <c r="H16" s="122"/>
      <c r="I16" s="122"/>
      <c r="J16" s="28" t="s">
        <v>6001</v>
      </c>
      <c r="K16" s="28">
        <v>1000</v>
      </c>
      <c r="L16" s="28">
        <v>4999000</v>
      </c>
      <c r="M16" s="28" t="s">
        <v>20</v>
      </c>
      <c r="N16" s="28" t="s">
        <v>20</v>
      </c>
      <c r="O16" s="28" t="s">
        <v>20</v>
      </c>
      <c r="P16" s="28" t="s">
        <v>20</v>
      </c>
      <c r="Q16" s="28" t="s">
        <v>20</v>
      </c>
      <c r="R16" s="28" t="s">
        <v>20</v>
      </c>
    </row>
    <row r="17" spans="2:18" ht="39" x14ac:dyDescent="0.25">
      <c r="B17" s="26">
        <v>11</v>
      </c>
      <c r="C17" s="26" t="s">
        <v>5357</v>
      </c>
      <c r="D17" s="28" t="s">
        <v>5475</v>
      </c>
      <c r="E17" s="110">
        <v>45444</v>
      </c>
      <c r="F17" s="109">
        <v>0.63888888888888884</v>
      </c>
      <c r="G17" s="122" t="s">
        <v>6003</v>
      </c>
      <c r="H17" s="28" t="s">
        <v>5356</v>
      </c>
      <c r="I17" s="28"/>
      <c r="J17" s="28" t="s">
        <v>6001</v>
      </c>
      <c r="K17" s="28">
        <v>1000</v>
      </c>
      <c r="L17" s="28">
        <v>499000</v>
      </c>
      <c r="M17" s="28" t="s">
        <v>20</v>
      </c>
      <c r="N17" s="28" t="s">
        <v>20</v>
      </c>
      <c r="O17" s="28" t="s">
        <v>20</v>
      </c>
      <c r="P17" s="28" t="s">
        <v>20</v>
      </c>
      <c r="Q17" s="28" t="s">
        <v>20</v>
      </c>
      <c r="R17" s="28" t="s">
        <v>20</v>
      </c>
    </row>
    <row r="18" spans="2:18" ht="39" x14ac:dyDescent="0.25">
      <c r="B18" s="26">
        <v>12</v>
      </c>
      <c r="C18" s="26" t="s">
        <v>5357</v>
      </c>
      <c r="D18" s="28" t="s">
        <v>5475</v>
      </c>
      <c r="E18" s="110">
        <v>45444</v>
      </c>
      <c r="F18" s="109">
        <v>0.68888888888888888</v>
      </c>
      <c r="G18" s="122" t="s">
        <v>6004</v>
      </c>
      <c r="H18" s="28"/>
      <c r="I18" s="28"/>
      <c r="J18" s="28" t="s">
        <v>6001</v>
      </c>
      <c r="K18" s="181">
        <v>1000</v>
      </c>
      <c r="L18" s="28">
        <v>499000</v>
      </c>
      <c r="M18" s="28" t="s">
        <v>20</v>
      </c>
      <c r="N18" s="28" t="s">
        <v>20</v>
      </c>
      <c r="O18" s="28" t="s">
        <v>20</v>
      </c>
      <c r="P18" s="28" t="s">
        <v>20</v>
      </c>
      <c r="Q18" s="28" t="s">
        <v>20</v>
      </c>
      <c r="R18" s="28" t="s">
        <v>20</v>
      </c>
    </row>
    <row r="19" spans="2:18" ht="39" x14ac:dyDescent="0.25">
      <c r="B19" s="26">
        <v>13</v>
      </c>
      <c r="C19" s="26" t="s">
        <v>5357</v>
      </c>
      <c r="D19" s="28" t="s">
        <v>5475</v>
      </c>
      <c r="E19" s="110">
        <v>45444</v>
      </c>
      <c r="F19" s="109">
        <v>0.82152777777777775</v>
      </c>
      <c r="G19" s="122" t="s">
        <v>6005</v>
      </c>
      <c r="H19" s="26"/>
      <c r="I19" s="26"/>
      <c r="J19" s="28" t="s">
        <v>6006</v>
      </c>
      <c r="K19" s="26">
        <v>1000</v>
      </c>
      <c r="L19" s="26">
        <v>799000</v>
      </c>
      <c r="M19" s="26"/>
      <c r="N19" s="26"/>
      <c r="O19" s="26"/>
      <c r="P19" s="26"/>
      <c r="Q19" s="26"/>
      <c r="R19" s="26"/>
    </row>
    <row r="20" spans="2:18" ht="39" x14ac:dyDescent="0.25">
      <c r="B20" s="26">
        <v>14</v>
      </c>
      <c r="C20" s="26" t="s">
        <v>5357</v>
      </c>
      <c r="D20" s="28" t="s">
        <v>5475</v>
      </c>
      <c r="E20" s="110">
        <v>45450</v>
      </c>
      <c r="F20" s="109">
        <v>0.35</v>
      </c>
      <c r="G20" s="122" t="s">
        <v>6007</v>
      </c>
      <c r="H20" s="28"/>
      <c r="I20" s="28"/>
      <c r="J20" s="28" t="s">
        <v>6001</v>
      </c>
      <c r="K20" s="181">
        <v>1000</v>
      </c>
      <c r="L20" s="28">
        <v>399000</v>
      </c>
      <c r="M20" s="28" t="s">
        <v>20</v>
      </c>
      <c r="N20" s="28" t="s">
        <v>20</v>
      </c>
      <c r="O20" s="28" t="s">
        <v>20</v>
      </c>
      <c r="P20" s="28" t="s">
        <v>20</v>
      </c>
      <c r="Q20" s="28" t="s">
        <v>20</v>
      </c>
      <c r="R20" s="28" t="s">
        <v>20</v>
      </c>
    </row>
    <row r="21" spans="2:18" ht="39" x14ac:dyDescent="0.25">
      <c r="B21" s="26">
        <v>15</v>
      </c>
      <c r="C21" s="26" t="s">
        <v>5357</v>
      </c>
      <c r="D21" s="28" t="s">
        <v>5475</v>
      </c>
      <c r="E21" s="110">
        <v>45450</v>
      </c>
      <c r="F21" s="109">
        <v>0.75347222222222221</v>
      </c>
      <c r="G21" s="122" t="s">
        <v>6008</v>
      </c>
      <c r="H21" s="28"/>
      <c r="I21" s="28"/>
      <c r="J21" s="28" t="s">
        <v>6001</v>
      </c>
      <c r="K21" s="181">
        <v>1000</v>
      </c>
      <c r="L21" s="28">
        <v>999000</v>
      </c>
      <c r="M21" s="28" t="s">
        <v>20</v>
      </c>
      <c r="N21" s="28" t="s">
        <v>20</v>
      </c>
      <c r="O21" s="28" t="s">
        <v>20</v>
      </c>
      <c r="P21" s="28" t="s">
        <v>20</v>
      </c>
      <c r="Q21" s="28" t="s">
        <v>20</v>
      </c>
      <c r="R21" s="28" t="s">
        <v>20</v>
      </c>
    </row>
    <row r="22" spans="2:18" ht="39" x14ac:dyDescent="0.25">
      <c r="B22" s="26">
        <v>16</v>
      </c>
      <c r="C22" s="26" t="s">
        <v>5357</v>
      </c>
      <c r="D22" s="28" t="s">
        <v>5475</v>
      </c>
      <c r="E22" s="110">
        <v>45452</v>
      </c>
      <c r="F22" s="109">
        <v>0.52777777777777779</v>
      </c>
      <c r="G22" s="122" t="s">
        <v>6009</v>
      </c>
      <c r="H22" s="122"/>
      <c r="I22" s="122"/>
      <c r="J22" s="28" t="s">
        <v>6001</v>
      </c>
      <c r="K22" s="28">
        <v>500</v>
      </c>
      <c r="L22" s="28">
        <v>999500</v>
      </c>
      <c r="M22" s="28" t="s">
        <v>20</v>
      </c>
      <c r="N22" s="28" t="s">
        <v>20</v>
      </c>
      <c r="O22" s="28" t="s">
        <v>20</v>
      </c>
      <c r="P22" s="28" t="s">
        <v>20</v>
      </c>
      <c r="Q22" s="28" t="s">
        <v>20</v>
      </c>
      <c r="R22" s="28" t="s">
        <v>20</v>
      </c>
    </row>
    <row r="23" spans="2:18" ht="39" x14ac:dyDescent="0.25">
      <c r="B23" s="26">
        <v>17</v>
      </c>
      <c r="C23" s="26" t="s">
        <v>5357</v>
      </c>
      <c r="D23" s="28" t="s">
        <v>5475</v>
      </c>
      <c r="E23" s="110">
        <v>45452</v>
      </c>
      <c r="F23" s="109">
        <v>0.77569444444444446</v>
      </c>
      <c r="G23" s="122" t="s">
        <v>6010</v>
      </c>
      <c r="H23" s="28" t="s">
        <v>20</v>
      </c>
      <c r="I23" s="28"/>
      <c r="J23" s="28" t="s">
        <v>6001</v>
      </c>
      <c r="K23" s="28" t="s">
        <v>20</v>
      </c>
      <c r="L23" s="28" t="s">
        <v>20</v>
      </c>
      <c r="M23" s="28" t="s">
        <v>20</v>
      </c>
      <c r="N23" s="28" t="s">
        <v>20</v>
      </c>
      <c r="O23" s="28" t="s">
        <v>20</v>
      </c>
      <c r="P23" s="28" t="s">
        <v>20</v>
      </c>
      <c r="Q23" s="28" t="s">
        <v>20</v>
      </c>
      <c r="R23" s="28" t="s">
        <v>20</v>
      </c>
    </row>
    <row r="24" spans="2:18" ht="39" x14ac:dyDescent="0.25">
      <c r="B24" s="26">
        <v>18</v>
      </c>
      <c r="C24" s="26" t="s">
        <v>5357</v>
      </c>
      <c r="D24" s="28" t="s">
        <v>5475</v>
      </c>
      <c r="E24" s="110">
        <v>45452</v>
      </c>
      <c r="F24" s="109">
        <v>0.81944444444444442</v>
      </c>
      <c r="G24" s="122" t="s">
        <v>6011</v>
      </c>
      <c r="H24" s="28" t="s">
        <v>20</v>
      </c>
      <c r="I24" s="122"/>
      <c r="J24" s="28" t="s">
        <v>6001</v>
      </c>
      <c r="K24" s="28" t="s">
        <v>20</v>
      </c>
      <c r="L24" s="28" t="s">
        <v>20</v>
      </c>
      <c r="M24" s="28" t="s">
        <v>20</v>
      </c>
      <c r="N24" s="28" t="s">
        <v>20</v>
      </c>
      <c r="O24" s="28" t="s">
        <v>20</v>
      </c>
      <c r="P24" s="28" t="s">
        <v>20</v>
      </c>
      <c r="Q24" s="28" t="s">
        <v>20</v>
      </c>
      <c r="R24" s="28" t="s">
        <v>20</v>
      </c>
    </row>
    <row r="25" spans="2:18" ht="39" x14ac:dyDescent="0.25">
      <c r="B25" s="26">
        <v>19</v>
      </c>
      <c r="C25" s="26" t="s">
        <v>5357</v>
      </c>
      <c r="D25" s="28" t="s">
        <v>5475</v>
      </c>
      <c r="E25" s="110">
        <v>45452</v>
      </c>
      <c r="F25" s="109">
        <v>0.88402777777777775</v>
      </c>
      <c r="G25" s="122" t="s">
        <v>6012</v>
      </c>
      <c r="H25" s="28" t="s">
        <v>20</v>
      </c>
      <c r="I25" s="122"/>
      <c r="J25" s="28" t="s">
        <v>6001</v>
      </c>
      <c r="K25" s="28" t="s">
        <v>20</v>
      </c>
      <c r="L25" s="28" t="s">
        <v>20</v>
      </c>
      <c r="M25" s="28" t="s">
        <v>20</v>
      </c>
      <c r="N25" s="28" t="s">
        <v>20</v>
      </c>
      <c r="O25" s="28" t="s">
        <v>20</v>
      </c>
      <c r="P25" s="28" t="s">
        <v>20</v>
      </c>
      <c r="Q25" s="28" t="s">
        <v>20</v>
      </c>
      <c r="R25" s="28" t="s">
        <v>20</v>
      </c>
    </row>
    <row r="26" spans="2:18" ht="39" x14ac:dyDescent="0.25">
      <c r="B26" s="26">
        <v>20</v>
      </c>
      <c r="C26" s="26" t="s">
        <v>5357</v>
      </c>
      <c r="D26" s="28" t="s">
        <v>5475</v>
      </c>
      <c r="E26" s="110">
        <v>45452</v>
      </c>
      <c r="F26" s="109">
        <v>0.97569444444444442</v>
      </c>
      <c r="G26" s="122" t="s">
        <v>6013</v>
      </c>
      <c r="H26" s="28" t="s">
        <v>20</v>
      </c>
      <c r="I26" s="122"/>
      <c r="J26" s="28" t="s">
        <v>6001</v>
      </c>
      <c r="K26" s="28" t="s">
        <v>20</v>
      </c>
      <c r="L26" s="28" t="s">
        <v>20</v>
      </c>
      <c r="M26" s="28" t="s">
        <v>20</v>
      </c>
      <c r="N26" s="28" t="s">
        <v>20</v>
      </c>
      <c r="O26" s="28" t="s">
        <v>20</v>
      </c>
      <c r="P26" s="28" t="s">
        <v>20</v>
      </c>
      <c r="Q26" s="28" t="s">
        <v>20</v>
      </c>
      <c r="R26" s="28" t="s">
        <v>20</v>
      </c>
    </row>
    <row r="27" spans="2:18" ht="39" x14ac:dyDescent="0.25">
      <c r="B27" s="26">
        <v>21</v>
      </c>
      <c r="C27" s="26" t="s">
        <v>5357</v>
      </c>
      <c r="D27" s="28" t="s">
        <v>5475</v>
      </c>
      <c r="E27" s="110">
        <v>45453</v>
      </c>
      <c r="F27" s="109">
        <v>0.41597222222222224</v>
      </c>
      <c r="G27" s="122" t="s">
        <v>6014</v>
      </c>
      <c r="H27" s="28" t="s">
        <v>20</v>
      </c>
      <c r="I27" s="26"/>
      <c r="J27" s="28" t="s">
        <v>6001</v>
      </c>
      <c r="K27" s="28" t="s">
        <v>20</v>
      </c>
      <c r="L27" s="28" t="s">
        <v>20</v>
      </c>
      <c r="M27" s="26" t="s">
        <v>20</v>
      </c>
      <c r="N27" s="26" t="s">
        <v>20</v>
      </c>
      <c r="O27" s="26" t="s">
        <v>20</v>
      </c>
      <c r="P27" s="26" t="s">
        <v>20</v>
      </c>
      <c r="Q27" s="26" t="s">
        <v>20</v>
      </c>
      <c r="R27" s="26" t="s">
        <v>20</v>
      </c>
    </row>
    <row r="28" spans="2:18" ht="39" x14ac:dyDescent="0.25">
      <c r="B28" s="26">
        <v>22</v>
      </c>
      <c r="C28" s="26" t="s">
        <v>5357</v>
      </c>
      <c r="D28" s="28" t="s">
        <v>5475</v>
      </c>
      <c r="E28" s="110">
        <v>45453</v>
      </c>
      <c r="F28" s="109">
        <v>0.76041666666666663</v>
      </c>
      <c r="G28" s="122" t="s">
        <v>6015</v>
      </c>
      <c r="H28" s="28" t="s">
        <v>20</v>
      </c>
      <c r="I28" s="28"/>
      <c r="J28" s="28" t="s">
        <v>6001</v>
      </c>
      <c r="K28" s="28" t="s">
        <v>20</v>
      </c>
      <c r="L28" s="28" t="s">
        <v>20</v>
      </c>
      <c r="M28" s="28" t="s">
        <v>20</v>
      </c>
      <c r="N28" s="28" t="s">
        <v>20</v>
      </c>
      <c r="O28" s="28" t="s">
        <v>20</v>
      </c>
      <c r="P28" s="28" t="s">
        <v>20</v>
      </c>
      <c r="Q28" s="28" t="s">
        <v>20</v>
      </c>
      <c r="R28" s="28" t="s">
        <v>20</v>
      </c>
    </row>
    <row r="29" spans="2:18" ht="39" x14ac:dyDescent="0.25">
      <c r="B29" s="26">
        <v>23</v>
      </c>
      <c r="C29" s="26" t="s">
        <v>5357</v>
      </c>
      <c r="D29" s="28" t="s">
        <v>5475</v>
      </c>
      <c r="E29" s="110">
        <v>45453</v>
      </c>
      <c r="F29" s="109">
        <v>0.88749999999999996</v>
      </c>
      <c r="G29" s="122" t="s">
        <v>6015</v>
      </c>
      <c r="H29" s="28" t="s">
        <v>20</v>
      </c>
      <c r="I29" s="28"/>
      <c r="J29" s="28" t="s">
        <v>6001</v>
      </c>
      <c r="K29" s="28" t="s">
        <v>20</v>
      </c>
      <c r="L29" s="28" t="s">
        <v>20</v>
      </c>
      <c r="M29" s="28" t="s">
        <v>20</v>
      </c>
      <c r="N29" s="28" t="s">
        <v>20</v>
      </c>
      <c r="O29" s="28" t="s">
        <v>20</v>
      </c>
      <c r="P29" s="28" t="s">
        <v>20</v>
      </c>
      <c r="Q29" s="28" t="s">
        <v>20</v>
      </c>
      <c r="R29" s="28" t="s">
        <v>20</v>
      </c>
    </row>
    <row r="30" spans="2:18" ht="39" x14ac:dyDescent="0.25">
      <c r="B30" s="26">
        <v>24</v>
      </c>
      <c r="C30" s="26" t="s">
        <v>5357</v>
      </c>
      <c r="D30" s="28" t="s">
        <v>5475</v>
      </c>
      <c r="E30" s="110">
        <v>45454</v>
      </c>
      <c r="F30" s="109">
        <v>0.37430555555555556</v>
      </c>
      <c r="G30" s="122" t="s">
        <v>6016</v>
      </c>
      <c r="H30" s="28" t="s">
        <v>20</v>
      </c>
      <c r="I30" s="28"/>
      <c r="J30" s="28" t="s">
        <v>6001</v>
      </c>
      <c r="K30" s="122">
        <v>500</v>
      </c>
      <c r="L30" s="28">
        <v>499500</v>
      </c>
      <c r="M30" s="28" t="s">
        <v>20</v>
      </c>
      <c r="N30" s="28" t="s">
        <v>20</v>
      </c>
      <c r="O30" s="28" t="s">
        <v>20</v>
      </c>
      <c r="P30" s="28" t="s">
        <v>20</v>
      </c>
      <c r="Q30" s="28" t="s">
        <v>20</v>
      </c>
      <c r="R30" s="28" t="s">
        <v>20</v>
      </c>
    </row>
    <row r="31" spans="2:18" ht="39" x14ac:dyDescent="0.25">
      <c r="B31" s="26">
        <v>25</v>
      </c>
      <c r="C31" s="26" t="s">
        <v>5357</v>
      </c>
      <c r="D31" s="28" t="s">
        <v>5475</v>
      </c>
      <c r="E31" s="110">
        <v>45454</v>
      </c>
      <c r="F31" s="109">
        <v>0.64652777777777781</v>
      </c>
      <c r="G31" s="122" t="s">
        <v>6017</v>
      </c>
      <c r="H31" s="28" t="s">
        <v>20</v>
      </c>
      <c r="I31" s="28"/>
      <c r="J31" s="28" t="s">
        <v>6001</v>
      </c>
      <c r="K31" s="28" t="s">
        <v>20</v>
      </c>
      <c r="L31" s="28" t="s">
        <v>20</v>
      </c>
      <c r="M31" s="28" t="s">
        <v>20</v>
      </c>
      <c r="N31" s="28" t="s">
        <v>20</v>
      </c>
      <c r="O31" s="28" t="s">
        <v>20</v>
      </c>
      <c r="P31" s="28" t="s">
        <v>20</v>
      </c>
      <c r="Q31" s="28" t="s">
        <v>20</v>
      </c>
      <c r="R31" s="28" t="s">
        <v>20</v>
      </c>
    </row>
    <row r="32" spans="2:18" ht="39" x14ac:dyDescent="0.25">
      <c r="B32" s="26">
        <v>26</v>
      </c>
      <c r="C32" s="26" t="s">
        <v>5357</v>
      </c>
      <c r="D32" s="28" t="s">
        <v>5475</v>
      </c>
      <c r="E32" s="110">
        <v>45454</v>
      </c>
      <c r="F32" s="109">
        <v>0.75</v>
      </c>
      <c r="G32" s="122" t="s">
        <v>6018</v>
      </c>
      <c r="H32" s="28" t="s">
        <v>20</v>
      </c>
      <c r="I32" s="28"/>
      <c r="J32" s="28" t="s">
        <v>6001</v>
      </c>
      <c r="K32" s="28" t="s">
        <v>20</v>
      </c>
      <c r="L32" s="28" t="s">
        <v>20</v>
      </c>
      <c r="M32" s="28" t="s">
        <v>20</v>
      </c>
      <c r="N32" s="28" t="s">
        <v>20</v>
      </c>
      <c r="O32" s="28" t="s">
        <v>20</v>
      </c>
      <c r="P32" s="28" t="s">
        <v>20</v>
      </c>
      <c r="Q32" s="28" t="s">
        <v>20</v>
      </c>
      <c r="R32" s="28" t="s">
        <v>20</v>
      </c>
    </row>
    <row r="33" spans="2:18" ht="39" x14ac:dyDescent="0.25">
      <c r="B33" s="26">
        <v>27</v>
      </c>
      <c r="C33" s="26" t="s">
        <v>5357</v>
      </c>
      <c r="D33" s="28" t="s">
        <v>5475</v>
      </c>
      <c r="E33" s="110">
        <v>45455</v>
      </c>
      <c r="F33" s="109">
        <v>0.27430555555555558</v>
      </c>
      <c r="G33" s="122" t="s">
        <v>6019</v>
      </c>
      <c r="H33" s="28" t="s">
        <v>20</v>
      </c>
      <c r="I33" s="28"/>
      <c r="J33" s="28" t="s">
        <v>6001</v>
      </c>
      <c r="K33" s="122">
        <v>500</v>
      </c>
      <c r="L33" s="162">
        <v>199500</v>
      </c>
      <c r="M33" s="28" t="s">
        <v>20</v>
      </c>
      <c r="N33" s="28" t="s">
        <v>20</v>
      </c>
      <c r="O33" s="28" t="s">
        <v>20</v>
      </c>
      <c r="P33" s="28" t="s">
        <v>20</v>
      </c>
      <c r="Q33" s="28" t="s">
        <v>20</v>
      </c>
      <c r="R33" s="28" t="s">
        <v>20</v>
      </c>
    </row>
    <row r="34" spans="2:18" ht="39" x14ac:dyDescent="0.25">
      <c r="B34" s="26">
        <v>28</v>
      </c>
      <c r="C34" s="26" t="s">
        <v>5357</v>
      </c>
      <c r="D34" s="28" t="s">
        <v>5475</v>
      </c>
      <c r="E34" s="110">
        <v>45455</v>
      </c>
      <c r="F34" s="109">
        <v>0.63194444444444442</v>
      </c>
      <c r="G34" s="122" t="s">
        <v>6020</v>
      </c>
      <c r="H34" s="28" t="s">
        <v>20</v>
      </c>
      <c r="I34" s="28"/>
      <c r="J34" s="28" t="s">
        <v>6001</v>
      </c>
      <c r="K34" s="28" t="s">
        <v>20</v>
      </c>
      <c r="L34" s="28" t="s">
        <v>20</v>
      </c>
      <c r="M34" s="28" t="s">
        <v>20</v>
      </c>
      <c r="N34" s="28" t="s">
        <v>20</v>
      </c>
      <c r="O34" s="28" t="s">
        <v>20</v>
      </c>
      <c r="P34" s="28" t="s">
        <v>20</v>
      </c>
      <c r="Q34" s="28" t="s">
        <v>20</v>
      </c>
      <c r="R34" s="28" t="s">
        <v>20</v>
      </c>
    </row>
    <row r="35" spans="2:18" ht="39" x14ac:dyDescent="0.25">
      <c r="B35" s="26">
        <v>29</v>
      </c>
      <c r="C35" s="26" t="s">
        <v>5357</v>
      </c>
      <c r="D35" s="28" t="s">
        <v>5475</v>
      </c>
      <c r="E35" s="110">
        <v>45455</v>
      </c>
      <c r="F35" s="109">
        <v>0.82499999999999996</v>
      </c>
      <c r="G35" s="122" t="s">
        <v>6011</v>
      </c>
      <c r="H35" s="28" t="s">
        <v>20</v>
      </c>
      <c r="I35" s="122"/>
      <c r="J35" s="28" t="s">
        <v>6001</v>
      </c>
      <c r="K35" s="28">
        <v>500</v>
      </c>
      <c r="L35" s="28">
        <v>249500</v>
      </c>
      <c r="M35" s="28" t="s">
        <v>20</v>
      </c>
      <c r="N35" s="28" t="s">
        <v>20</v>
      </c>
      <c r="O35" s="28" t="s">
        <v>20</v>
      </c>
      <c r="P35" s="28" t="s">
        <v>20</v>
      </c>
      <c r="Q35" s="28" t="s">
        <v>20</v>
      </c>
      <c r="R35" s="28" t="s">
        <v>20</v>
      </c>
    </row>
    <row r="36" spans="2:18" ht="39" x14ac:dyDescent="0.25">
      <c r="B36" s="26">
        <v>30</v>
      </c>
      <c r="C36" s="26" t="s">
        <v>5357</v>
      </c>
      <c r="D36" s="28" t="s">
        <v>5475</v>
      </c>
      <c r="E36" s="110">
        <v>45455</v>
      </c>
      <c r="F36" s="109">
        <v>0.83819444444444446</v>
      </c>
      <c r="G36" s="122" t="s">
        <v>6021</v>
      </c>
      <c r="H36" s="28" t="s">
        <v>20</v>
      </c>
      <c r="I36" s="122"/>
      <c r="J36" s="28" t="s">
        <v>6001</v>
      </c>
      <c r="K36" s="28">
        <v>500</v>
      </c>
      <c r="L36" s="28">
        <v>999500</v>
      </c>
      <c r="M36" s="28" t="s">
        <v>20</v>
      </c>
      <c r="N36" s="28" t="s">
        <v>20</v>
      </c>
      <c r="O36" s="28" t="s">
        <v>20</v>
      </c>
      <c r="P36" s="28" t="s">
        <v>20</v>
      </c>
      <c r="Q36" s="28" t="s">
        <v>20</v>
      </c>
      <c r="R36" s="28" t="s">
        <v>20</v>
      </c>
    </row>
    <row r="37" spans="2:18" ht="39" x14ac:dyDescent="0.25">
      <c r="B37" s="26">
        <v>31</v>
      </c>
      <c r="C37" s="26" t="s">
        <v>5357</v>
      </c>
      <c r="D37" s="28" t="s">
        <v>5475</v>
      </c>
      <c r="E37" s="110">
        <v>45456</v>
      </c>
      <c r="F37" s="109">
        <v>0.60347222222222219</v>
      </c>
      <c r="G37" s="122" t="s">
        <v>6022</v>
      </c>
      <c r="H37" s="28" t="s">
        <v>20</v>
      </c>
      <c r="I37" s="122"/>
      <c r="J37" s="28" t="s">
        <v>6001</v>
      </c>
      <c r="K37" s="28" t="s">
        <v>20</v>
      </c>
      <c r="L37" s="28" t="s">
        <v>20</v>
      </c>
      <c r="M37" s="28" t="s">
        <v>20</v>
      </c>
      <c r="N37" s="28" t="s">
        <v>20</v>
      </c>
      <c r="O37" s="28" t="s">
        <v>20</v>
      </c>
      <c r="P37" s="28" t="s">
        <v>20</v>
      </c>
      <c r="Q37" s="28" t="s">
        <v>20</v>
      </c>
      <c r="R37" s="28" t="s">
        <v>20</v>
      </c>
    </row>
    <row r="38" spans="2:18" ht="39" x14ac:dyDescent="0.25">
      <c r="B38" s="26">
        <v>32</v>
      </c>
      <c r="C38" s="26" t="s">
        <v>5357</v>
      </c>
      <c r="D38" s="28" t="s">
        <v>5475</v>
      </c>
      <c r="E38" s="110">
        <v>45456</v>
      </c>
      <c r="F38" s="109">
        <v>0.64444444444444449</v>
      </c>
      <c r="G38" s="122" t="s">
        <v>6023</v>
      </c>
      <c r="H38" s="28" t="s">
        <v>20</v>
      </c>
      <c r="I38" s="122"/>
      <c r="J38" s="28" t="s">
        <v>6001</v>
      </c>
      <c r="K38" s="28"/>
      <c r="L38" s="28">
        <v>5000000</v>
      </c>
      <c r="M38" s="28" t="s">
        <v>20</v>
      </c>
      <c r="N38" s="28" t="s">
        <v>20</v>
      </c>
      <c r="O38" s="28" t="s">
        <v>20</v>
      </c>
      <c r="P38" s="28" t="s">
        <v>20</v>
      </c>
      <c r="Q38" s="28" t="s">
        <v>20</v>
      </c>
      <c r="R38" s="28" t="s">
        <v>20</v>
      </c>
    </row>
    <row r="39" spans="2:18" ht="39" x14ac:dyDescent="0.25">
      <c r="B39" s="26">
        <v>33</v>
      </c>
      <c r="C39" s="26" t="s">
        <v>5357</v>
      </c>
      <c r="D39" s="28" t="s">
        <v>5475</v>
      </c>
      <c r="E39" s="110">
        <v>45456</v>
      </c>
      <c r="F39" s="109">
        <v>0.65277777777777779</v>
      </c>
      <c r="G39" s="122" t="s">
        <v>6024</v>
      </c>
      <c r="H39" s="28" t="s">
        <v>20</v>
      </c>
      <c r="I39" s="122"/>
      <c r="J39" s="28" t="s">
        <v>6001</v>
      </c>
      <c r="K39" s="28" t="s">
        <v>20</v>
      </c>
      <c r="L39" s="28" t="s">
        <v>20</v>
      </c>
      <c r="M39" s="28" t="s">
        <v>20</v>
      </c>
      <c r="N39" s="28" t="s">
        <v>20</v>
      </c>
      <c r="O39" s="28" t="s">
        <v>20</v>
      </c>
      <c r="P39" s="28" t="s">
        <v>20</v>
      </c>
      <c r="Q39" s="28" t="s">
        <v>20</v>
      </c>
      <c r="R39" s="28" t="s">
        <v>20</v>
      </c>
    </row>
    <row r="40" spans="2:18" ht="39" x14ac:dyDescent="0.25">
      <c r="B40" s="26">
        <v>34</v>
      </c>
      <c r="C40" s="26" t="s">
        <v>5357</v>
      </c>
      <c r="D40" s="28" t="s">
        <v>5475</v>
      </c>
      <c r="E40" s="110">
        <v>45456</v>
      </c>
      <c r="F40" s="109">
        <v>0.81805555555555554</v>
      </c>
      <c r="G40" s="122" t="s">
        <v>6025</v>
      </c>
      <c r="H40" s="28" t="s">
        <v>20</v>
      </c>
      <c r="I40" s="122"/>
      <c r="J40" s="28" t="s">
        <v>6001</v>
      </c>
      <c r="K40" s="28">
        <v>200</v>
      </c>
      <c r="L40" s="28">
        <v>999800</v>
      </c>
      <c r="M40" s="28" t="s">
        <v>20</v>
      </c>
      <c r="N40" s="28" t="s">
        <v>20</v>
      </c>
      <c r="O40" s="28" t="s">
        <v>20</v>
      </c>
      <c r="P40" s="28" t="s">
        <v>20</v>
      </c>
      <c r="Q40" s="28" t="s">
        <v>20</v>
      </c>
      <c r="R40" s="28" t="s">
        <v>20</v>
      </c>
    </row>
    <row r="41" spans="2:18" ht="39" x14ac:dyDescent="0.25">
      <c r="B41" s="26">
        <v>35</v>
      </c>
      <c r="C41" s="26" t="s">
        <v>5357</v>
      </c>
      <c r="D41" s="28" t="s">
        <v>5475</v>
      </c>
      <c r="E41" s="110">
        <v>45456</v>
      </c>
      <c r="F41" s="109">
        <v>0.85486111111111107</v>
      </c>
      <c r="G41" s="122" t="s">
        <v>6026</v>
      </c>
      <c r="H41" s="28" t="s">
        <v>20</v>
      </c>
      <c r="I41" s="122"/>
      <c r="J41" s="28" t="s">
        <v>6001</v>
      </c>
      <c r="K41" s="162"/>
      <c r="L41" s="28">
        <v>5000000</v>
      </c>
      <c r="M41" s="28" t="s">
        <v>20</v>
      </c>
      <c r="N41" s="28" t="s">
        <v>20</v>
      </c>
      <c r="O41" s="28" t="s">
        <v>20</v>
      </c>
      <c r="P41" s="28" t="s">
        <v>20</v>
      </c>
      <c r="Q41" s="28" t="s">
        <v>20</v>
      </c>
      <c r="R41" s="28" t="s">
        <v>20</v>
      </c>
    </row>
    <row r="42" spans="2:18" ht="39" x14ac:dyDescent="0.25">
      <c r="B42" s="26">
        <v>36</v>
      </c>
      <c r="C42" s="26" t="s">
        <v>5357</v>
      </c>
      <c r="D42" s="28" t="s">
        <v>5475</v>
      </c>
      <c r="E42" s="110">
        <v>45456</v>
      </c>
      <c r="F42" s="109">
        <v>0.85763888888888884</v>
      </c>
      <c r="G42" s="122" t="s">
        <v>6027</v>
      </c>
      <c r="H42" s="28" t="s">
        <v>20</v>
      </c>
      <c r="I42" s="122"/>
      <c r="J42" s="28" t="s">
        <v>6001</v>
      </c>
      <c r="K42" s="28" t="s">
        <v>20</v>
      </c>
      <c r="L42" s="28" t="s">
        <v>20</v>
      </c>
      <c r="M42" s="28" t="s">
        <v>20</v>
      </c>
      <c r="N42" s="28" t="s">
        <v>20</v>
      </c>
      <c r="O42" s="28" t="s">
        <v>20</v>
      </c>
      <c r="P42" s="28" t="s">
        <v>20</v>
      </c>
      <c r="Q42" s="28" t="s">
        <v>20</v>
      </c>
      <c r="R42" s="28" t="s">
        <v>20</v>
      </c>
    </row>
    <row r="43" spans="2:18" ht="39" x14ac:dyDescent="0.25">
      <c r="B43" s="26">
        <v>37</v>
      </c>
      <c r="C43" s="26" t="s">
        <v>5357</v>
      </c>
      <c r="D43" s="28" t="s">
        <v>5475</v>
      </c>
      <c r="E43" s="110">
        <v>45456</v>
      </c>
      <c r="F43" s="109">
        <v>0.89930555555555558</v>
      </c>
      <c r="G43" s="122" t="s">
        <v>6028</v>
      </c>
      <c r="H43" s="28" t="s">
        <v>20</v>
      </c>
      <c r="I43" s="122"/>
      <c r="J43" s="28" t="s">
        <v>6001</v>
      </c>
      <c r="K43" s="28">
        <v>500</v>
      </c>
      <c r="L43" s="28">
        <v>2999500</v>
      </c>
      <c r="M43" s="28" t="s">
        <v>20</v>
      </c>
      <c r="N43" s="28" t="s">
        <v>20</v>
      </c>
      <c r="O43" s="28" t="s">
        <v>20</v>
      </c>
      <c r="P43" s="28" t="s">
        <v>20</v>
      </c>
      <c r="Q43" s="28" t="s">
        <v>20</v>
      </c>
      <c r="R43" s="28" t="s">
        <v>20</v>
      </c>
    </row>
    <row r="44" spans="2:18" ht="39" x14ac:dyDescent="0.25">
      <c r="B44" s="26">
        <v>38</v>
      </c>
      <c r="C44" s="26" t="s">
        <v>5357</v>
      </c>
      <c r="D44" s="28" t="s">
        <v>5475</v>
      </c>
      <c r="E44" s="110">
        <v>45456</v>
      </c>
      <c r="F44" s="109">
        <v>0.96666666666666667</v>
      </c>
      <c r="G44" s="122" t="s">
        <v>6011</v>
      </c>
      <c r="H44" s="28" t="s">
        <v>20</v>
      </c>
      <c r="I44" s="122"/>
      <c r="J44" s="28" t="s">
        <v>6001</v>
      </c>
      <c r="K44" s="28" t="s">
        <v>20</v>
      </c>
      <c r="L44" s="28" t="s">
        <v>20</v>
      </c>
      <c r="M44" s="28" t="s">
        <v>20</v>
      </c>
      <c r="N44" s="28" t="s">
        <v>20</v>
      </c>
      <c r="O44" s="28" t="s">
        <v>20</v>
      </c>
      <c r="P44" s="28" t="s">
        <v>20</v>
      </c>
      <c r="Q44" s="28" t="s">
        <v>20</v>
      </c>
      <c r="R44" s="28" t="s">
        <v>20</v>
      </c>
    </row>
    <row r="45" spans="2:18" ht="39" x14ac:dyDescent="0.25">
      <c r="B45" s="26">
        <v>39</v>
      </c>
      <c r="C45" s="26" t="s">
        <v>5357</v>
      </c>
      <c r="D45" s="28" t="s">
        <v>5475</v>
      </c>
      <c r="E45" s="110">
        <v>45457</v>
      </c>
      <c r="F45" s="109">
        <v>0.05</v>
      </c>
      <c r="G45" s="122" t="s">
        <v>6028</v>
      </c>
      <c r="H45" s="28" t="s">
        <v>20</v>
      </c>
      <c r="I45" s="26"/>
      <c r="J45" s="28" t="s">
        <v>6001</v>
      </c>
      <c r="K45" s="28" t="s">
        <v>20</v>
      </c>
      <c r="L45" s="28" t="s">
        <v>20</v>
      </c>
      <c r="M45" s="26" t="s">
        <v>20</v>
      </c>
      <c r="N45" s="26" t="s">
        <v>20</v>
      </c>
      <c r="O45" s="26" t="s">
        <v>20</v>
      </c>
      <c r="P45" s="26" t="s">
        <v>20</v>
      </c>
      <c r="Q45" s="26" t="s">
        <v>20</v>
      </c>
      <c r="R45" s="28" t="s">
        <v>20</v>
      </c>
    </row>
    <row r="46" spans="2:18" ht="39" x14ac:dyDescent="0.25">
      <c r="B46" s="26">
        <v>40</v>
      </c>
      <c r="C46" s="26" t="s">
        <v>5357</v>
      </c>
      <c r="D46" s="28" t="s">
        <v>5475</v>
      </c>
      <c r="E46" s="110">
        <v>45457</v>
      </c>
      <c r="F46" s="109">
        <v>0.72638888888888886</v>
      </c>
      <c r="G46" s="122" t="s">
        <v>6029</v>
      </c>
      <c r="H46" s="28" t="s">
        <v>20</v>
      </c>
      <c r="I46" s="26"/>
      <c r="J46" s="28" t="s">
        <v>6001</v>
      </c>
      <c r="K46" s="28" t="s">
        <v>20</v>
      </c>
      <c r="L46" s="28" t="s">
        <v>20</v>
      </c>
      <c r="M46" s="26" t="s">
        <v>20</v>
      </c>
      <c r="N46" s="26" t="s">
        <v>20</v>
      </c>
      <c r="O46" s="26" t="s">
        <v>20</v>
      </c>
      <c r="P46" s="26" t="s">
        <v>20</v>
      </c>
      <c r="Q46" s="26" t="s">
        <v>20</v>
      </c>
      <c r="R46" s="28" t="s">
        <v>20</v>
      </c>
    </row>
    <row r="47" spans="2:18" ht="39" x14ac:dyDescent="0.25">
      <c r="B47" s="26">
        <v>41</v>
      </c>
      <c r="C47" s="26" t="s">
        <v>5357</v>
      </c>
      <c r="D47" s="28" t="s">
        <v>5475</v>
      </c>
      <c r="E47" s="110">
        <v>45457</v>
      </c>
      <c r="F47" s="109">
        <v>0.73611111111111116</v>
      </c>
      <c r="G47" s="122" t="s">
        <v>6030</v>
      </c>
      <c r="H47" s="28" t="s">
        <v>20</v>
      </c>
      <c r="I47" s="26"/>
      <c r="J47" s="28" t="s">
        <v>6001</v>
      </c>
      <c r="K47" s="28">
        <v>500</v>
      </c>
      <c r="L47" s="28">
        <v>999500</v>
      </c>
      <c r="M47" s="26" t="s">
        <v>20</v>
      </c>
      <c r="N47" s="26" t="s">
        <v>20</v>
      </c>
      <c r="O47" s="26" t="s">
        <v>20</v>
      </c>
      <c r="P47" s="26" t="s">
        <v>20</v>
      </c>
      <c r="Q47" s="26" t="s">
        <v>20</v>
      </c>
      <c r="R47" s="28" t="s">
        <v>20</v>
      </c>
    </row>
    <row r="48" spans="2:18" ht="39" x14ac:dyDescent="0.25">
      <c r="B48" s="26">
        <v>42</v>
      </c>
      <c r="C48" s="26" t="s">
        <v>5357</v>
      </c>
      <c r="D48" s="28" t="s">
        <v>5475</v>
      </c>
      <c r="E48" s="110">
        <v>45457</v>
      </c>
      <c r="F48" s="109">
        <v>0.86736111111111114</v>
      </c>
      <c r="G48" s="122" t="s">
        <v>6032</v>
      </c>
      <c r="H48" s="28" t="s">
        <v>20</v>
      </c>
      <c r="I48" s="26"/>
      <c r="J48" s="28" t="s">
        <v>6001</v>
      </c>
      <c r="K48" s="28" t="s">
        <v>20</v>
      </c>
      <c r="L48" s="28" t="s">
        <v>20</v>
      </c>
      <c r="M48" s="26" t="s">
        <v>20</v>
      </c>
      <c r="N48" s="26" t="s">
        <v>20</v>
      </c>
      <c r="O48" s="26" t="s">
        <v>20</v>
      </c>
      <c r="P48" s="26" t="s">
        <v>20</v>
      </c>
      <c r="Q48" s="26" t="s">
        <v>20</v>
      </c>
      <c r="R48" s="28" t="s">
        <v>20</v>
      </c>
    </row>
    <row r="49" spans="2:18" ht="39" x14ac:dyDescent="0.25">
      <c r="B49" s="26">
        <v>43</v>
      </c>
      <c r="C49" s="26" t="s">
        <v>5357</v>
      </c>
      <c r="D49" s="28" t="s">
        <v>5475</v>
      </c>
      <c r="E49" s="110">
        <v>45458</v>
      </c>
      <c r="F49" s="109">
        <v>0.46319444444444446</v>
      </c>
      <c r="G49" s="122" t="s">
        <v>6031</v>
      </c>
      <c r="H49" s="28" t="s">
        <v>20</v>
      </c>
      <c r="I49" s="26"/>
      <c r="J49" s="28" t="s">
        <v>6001</v>
      </c>
      <c r="K49" s="28">
        <v>500</v>
      </c>
      <c r="L49" s="28">
        <v>999000</v>
      </c>
      <c r="M49" s="28" t="s">
        <v>20</v>
      </c>
      <c r="N49" s="28" t="s">
        <v>20</v>
      </c>
      <c r="O49" s="28" t="s">
        <v>20</v>
      </c>
      <c r="P49" s="28" t="s">
        <v>20</v>
      </c>
      <c r="Q49" s="28" t="s">
        <v>20</v>
      </c>
      <c r="R49" s="28" t="s">
        <v>20</v>
      </c>
    </row>
    <row r="50" spans="2:18" ht="39" x14ac:dyDescent="0.25">
      <c r="B50" s="26">
        <v>44</v>
      </c>
      <c r="C50" s="26" t="s">
        <v>5357</v>
      </c>
      <c r="D50" s="28" t="s">
        <v>5475</v>
      </c>
      <c r="E50" s="110">
        <v>45458</v>
      </c>
      <c r="F50" s="109">
        <v>0.8041666666666667</v>
      </c>
      <c r="G50" s="122" t="s">
        <v>6026</v>
      </c>
      <c r="H50" s="28" t="s">
        <v>20</v>
      </c>
      <c r="I50" s="26"/>
      <c r="J50" s="28" t="s">
        <v>6001</v>
      </c>
      <c r="K50" s="28" t="s">
        <v>20</v>
      </c>
      <c r="L50" s="28">
        <v>500000</v>
      </c>
      <c r="M50" s="28" t="s">
        <v>20</v>
      </c>
      <c r="N50" s="28" t="s">
        <v>20</v>
      </c>
      <c r="O50" s="28" t="s">
        <v>20</v>
      </c>
      <c r="P50" s="28" t="s">
        <v>20</v>
      </c>
      <c r="Q50" s="28" t="s">
        <v>20</v>
      </c>
      <c r="R50" s="28" t="s">
        <v>20</v>
      </c>
    </row>
    <row r="51" spans="2:18" ht="39" x14ac:dyDescent="0.25">
      <c r="B51" s="26">
        <v>45</v>
      </c>
      <c r="C51" s="26" t="s">
        <v>5357</v>
      </c>
      <c r="D51" s="28" t="s">
        <v>5475</v>
      </c>
      <c r="E51" s="110">
        <v>45458</v>
      </c>
      <c r="F51" s="109">
        <v>0.88194444444444442</v>
      </c>
      <c r="G51" s="122" t="s">
        <v>6033</v>
      </c>
      <c r="H51" s="28" t="s">
        <v>20</v>
      </c>
      <c r="I51" s="26"/>
      <c r="J51" s="28" t="s">
        <v>6001</v>
      </c>
      <c r="K51" s="28">
        <v>500</v>
      </c>
      <c r="L51" s="28">
        <v>4999500</v>
      </c>
      <c r="M51" s="28" t="s">
        <v>20</v>
      </c>
      <c r="N51" s="28" t="s">
        <v>20</v>
      </c>
      <c r="O51" s="28" t="s">
        <v>20</v>
      </c>
      <c r="P51" s="28" t="s">
        <v>20</v>
      </c>
      <c r="Q51" s="28" t="s">
        <v>20</v>
      </c>
      <c r="R51" s="28" t="s">
        <v>20</v>
      </c>
    </row>
    <row r="52" spans="2:18" ht="39" x14ac:dyDescent="0.25">
      <c r="B52" s="26">
        <v>46</v>
      </c>
      <c r="C52" s="26" t="s">
        <v>5357</v>
      </c>
      <c r="D52" s="28" t="s">
        <v>5475</v>
      </c>
      <c r="E52" s="110">
        <v>45458</v>
      </c>
      <c r="F52" s="109">
        <v>0.97916666666666663</v>
      </c>
      <c r="G52" s="122" t="s">
        <v>6034</v>
      </c>
      <c r="H52" s="28" t="s">
        <v>20</v>
      </c>
      <c r="I52" s="26"/>
      <c r="J52" s="28" t="s">
        <v>6001</v>
      </c>
      <c r="K52" s="28" t="s">
        <v>20</v>
      </c>
      <c r="L52" s="28" t="s">
        <v>20</v>
      </c>
      <c r="M52" s="28" t="s">
        <v>20</v>
      </c>
      <c r="N52" s="28" t="s">
        <v>20</v>
      </c>
      <c r="O52" s="28" t="s">
        <v>20</v>
      </c>
      <c r="P52" s="28" t="s">
        <v>20</v>
      </c>
      <c r="Q52" s="28" t="s">
        <v>20</v>
      </c>
      <c r="R52" s="28" t="s">
        <v>20</v>
      </c>
    </row>
    <row r="53" spans="2:18" ht="39" x14ac:dyDescent="0.25">
      <c r="B53" s="26">
        <v>47</v>
      </c>
      <c r="C53" s="26" t="s">
        <v>5357</v>
      </c>
      <c r="D53" s="28" t="s">
        <v>5475</v>
      </c>
      <c r="E53" s="110">
        <v>45459</v>
      </c>
      <c r="F53" s="109">
        <v>0.44722222222222224</v>
      </c>
      <c r="G53" s="122" t="s">
        <v>6035</v>
      </c>
      <c r="H53" s="28" t="s">
        <v>20</v>
      </c>
      <c r="I53" s="26"/>
      <c r="J53" s="28" t="s">
        <v>6001</v>
      </c>
      <c r="K53" s="28">
        <v>500</v>
      </c>
      <c r="L53" s="28">
        <v>999500</v>
      </c>
      <c r="M53" s="28" t="s">
        <v>20</v>
      </c>
      <c r="N53" s="28" t="s">
        <v>20</v>
      </c>
      <c r="O53" s="28" t="s">
        <v>20</v>
      </c>
      <c r="P53" s="28" t="s">
        <v>20</v>
      </c>
      <c r="Q53" s="28" t="s">
        <v>20</v>
      </c>
      <c r="R53" s="28" t="s">
        <v>20</v>
      </c>
    </row>
    <row r="54" spans="2:18" ht="39" x14ac:dyDescent="0.25">
      <c r="B54" s="26">
        <v>48</v>
      </c>
      <c r="C54" s="26" t="s">
        <v>5357</v>
      </c>
      <c r="D54" s="28" t="s">
        <v>5475</v>
      </c>
      <c r="E54" s="110">
        <v>45459</v>
      </c>
      <c r="F54" s="109">
        <v>0.71180555555555558</v>
      </c>
      <c r="G54" s="122" t="s">
        <v>6036</v>
      </c>
      <c r="H54" s="28" t="s">
        <v>20</v>
      </c>
      <c r="I54" s="26"/>
      <c r="J54" s="28" t="s">
        <v>6001</v>
      </c>
      <c r="K54" s="28" t="s">
        <v>20</v>
      </c>
      <c r="L54" s="28" t="s">
        <v>20</v>
      </c>
      <c r="M54" s="28" t="s">
        <v>20</v>
      </c>
      <c r="N54" s="28" t="s">
        <v>20</v>
      </c>
      <c r="O54" s="28" t="s">
        <v>20</v>
      </c>
      <c r="P54" s="28" t="s">
        <v>20</v>
      </c>
      <c r="Q54" s="28" t="s">
        <v>20</v>
      </c>
      <c r="R54" s="28" t="s">
        <v>20</v>
      </c>
    </row>
    <row r="55" spans="2:18" ht="39" x14ac:dyDescent="0.25">
      <c r="B55" s="26">
        <v>49</v>
      </c>
      <c r="C55" s="26" t="s">
        <v>5357</v>
      </c>
      <c r="D55" s="28" t="s">
        <v>5475</v>
      </c>
      <c r="E55" s="110">
        <v>45459</v>
      </c>
      <c r="F55" s="109">
        <v>0.82986111111111116</v>
      </c>
      <c r="G55" s="122" t="s">
        <v>6038</v>
      </c>
      <c r="H55" s="28" t="s">
        <v>20</v>
      </c>
      <c r="I55" s="26"/>
      <c r="J55" s="28" t="s">
        <v>6001</v>
      </c>
      <c r="K55" s="28" t="s">
        <v>20</v>
      </c>
      <c r="L55" s="28" t="s">
        <v>20</v>
      </c>
      <c r="M55" s="28" t="s">
        <v>20</v>
      </c>
      <c r="N55" s="28" t="s">
        <v>20</v>
      </c>
      <c r="O55" s="28" t="s">
        <v>20</v>
      </c>
      <c r="P55" s="28" t="s">
        <v>20</v>
      </c>
      <c r="Q55" s="28" t="s">
        <v>20</v>
      </c>
      <c r="R55" s="28" t="s">
        <v>20</v>
      </c>
    </row>
    <row r="56" spans="2:18" ht="39" x14ac:dyDescent="0.25">
      <c r="B56" s="26">
        <v>50</v>
      </c>
      <c r="C56" s="26" t="s">
        <v>5357</v>
      </c>
      <c r="D56" s="28" t="s">
        <v>5475</v>
      </c>
      <c r="E56" s="110">
        <v>45459</v>
      </c>
      <c r="F56" s="109">
        <v>0.88194444444444442</v>
      </c>
      <c r="G56" s="122" t="s">
        <v>6022</v>
      </c>
      <c r="H56" s="28" t="s">
        <v>20</v>
      </c>
      <c r="I56" s="26"/>
      <c r="J56" s="28" t="s">
        <v>6001</v>
      </c>
      <c r="K56" s="28" t="s">
        <v>20</v>
      </c>
      <c r="L56" s="28" t="s">
        <v>20</v>
      </c>
      <c r="M56" s="28" t="s">
        <v>20</v>
      </c>
      <c r="N56" s="28" t="s">
        <v>20</v>
      </c>
      <c r="O56" s="28" t="s">
        <v>20</v>
      </c>
      <c r="P56" s="28" t="s">
        <v>20</v>
      </c>
      <c r="Q56" s="28" t="s">
        <v>20</v>
      </c>
      <c r="R56" s="28" t="s">
        <v>20</v>
      </c>
    </row>
    <row r="57" spans="2:18" ht="39" x14ac:dyDescent="0.25">
      <c r="B57" s="26">
        <v>51</v>
      </c>
      <c r="C57" s="26" t="s">
        <v>5357</v>
      </c>
      <c r="D57" s="28" t="s">
        <v>5475</v>
      </c>
      <c r="E57" s="110">
        <v>45460</v>
      </c>
      <c r="F57" s="109">
        <v>0.51875000000000004</v>
      </c>
      <c r="G57" s="122" t="s">
        <v>6037</v>
      </c>
      <c r="H57" s="28" t="s">
        <v>20</v>
      </c>
      <c r="I57" s="26"/>
      <c r="J57" s="28" t="s">
        <v>6001</v>
      </c>
      <c r="K57" s="28" t="s">
        <v>20</v>
      </c>
      <c r="L57" s="28">
        <v>5000000</v>
      </c>
      <c r="M57" s="28" t="s">
        <v>20</v>
      </c>
      <c r="N57" s="28" t="s">
        <v>20</v>
      </c>
      <c r="O57" s="28" t="s">
        <v>20</v>
      </c>
      <c r="P57" s="28" t="s">
        <v>20</v>
      </c>
      <c r="Q57" s="28" t="s">
        <v>20</v>
      </c>
      <c r="R57" s="28" t="s">
        <v>20</v>
      </c>
    </row>
    <row r="58" spans="2:18" ht="39" x14ac:dyDescent="0.25">
      <c r="B58" s="26">
        <v>52</v>
      </c>
      <c r="C58" s="26" t="s">
        <v>5357</v>
      </c>
      <c r="D58" s="28" t="s">
        <v>5475</v>
      </c>
      <c r="E58" s="110">
        <v>45460</v>
      </c>
      <c r="F58" s="109">
        <v>0.73958333333333337</v>
      </c>
      <c r="G58" s="122" t="s">
        <v>6039</v>
      </c>
      <c r="H58" s="28" t="s">
        <v>20</v>
      </c>
      <c r="I58" s="26"/>
      <c r="J58" s="28" t="s">
        <v>6001</v>
      </c>
      <c r="K58" s="28">
        <v>500</v>
      </c>
      <c r="L58" s="28">
        <v>3999500</v>
      </c>
      <c r="M58" s="28" t="s">
        <v>20</v>
      </c>
      <c r="N58" s="28" t="s">
        <v>20</v>
      </c>
      <c r="O58" s="28" t="s">
        <v>20</v>
      </c>
      <c r="P58" s="28" t="s">
        <v>20</v>
      </c>
      <c r="Q58" s="28" t="s">
        <v>20</v>
      </c>
      <c r="R58" s="28" t="s">
        <v>20</v>
      </c>
    </row>
    <row r="59" spans="2:18" ht="39" x14ac:dyDescent="0.25">
      <c r="B59" s="26">
        <v>53</v>
      </c>
      <c r="C59" s="26" t="s">
        <v>5357</v>
      </c>
      <c r="D59" s="28" t="s">
        <v>5475</v>
      </c>
      <c r="E59" s="110">
        <v>45460</v>
      </c>
      <c r="F59" s="109">
        <v>0.87013888888888891</v>
      </c>
      <c r="G59" s="122" t="s">
        <v>6040</v>
      </c>
      <c r="H59" s="28" t="s">
        <v>20</v>
      </c>
      <c r="I59" s="26"/>
      <c r="J59" s="28" t="s">
        <v>6001</v>
      </c>
      <c r="K59" s="28">
        <v>500</v>
      </c>
      <c r="L59" s="28">
        <v>4999500</v>
      </c>
      <c r="M59" s="28" t="s">
        <v>20</v>
      </c>
      <c r="N59" s="28" t="s">
        <v>20</v>
      </c>
      <c r="O59" s="28" t="s">
        <v>20</v>
      </c>
      <c r="P59" s="28" t="s">
        <v>20</v>
      </c>
      <c r="Q59" s="28" t="s">
        <v>20</v>
      </c>
      <c r="R59" s="28" t="s">
        <v>20</v>
      </c>
    </row>
    <row r="60" spans="2:18" ht="39" x14ac:dyDescent="0.25">
      <c r="B60" s="256">
        <v>54</v>
      </c>
      <c r="C60" s="26" t="s">
        <v>5357</v>
      </c>
      <c r="D60" s="28" t="s">
        <v>5475</v>
      </c>
      <c r="E60" s="110">
        <v>45461</v>
      </c>
      <c r="F60" s="109">
        <v>0.48680555555555555</v>
      </c>
      <c r="G60" s="122" t="s">
        <v>6041</v>
      </c>
      <c r="H60" s="28" t="s">
        <v>20</v>
      </c>
      <c r="I60" s="26"/>
      <c r="J60" s="28" t="s">
        <v>6001</v>
      </c>
      <c r="K60" s="28" t="s">
        <v>20</v>
      </c>
      <c r="L60" s="28" t="s">
        <v>20</v>
      </c>
      <c r="M60" s="28" t="s">
        <v>20</v>
      </c>
      <c r="N60" s="28" t="s">
        <v>20</v>
      </c>
      <c r="O60" s="28" t="s">
        <v>20</v>
      </c>
      <c r="P60" s="28" t="s">
        <v>20</v>
      </c>
      <c r="Q60" s="28" t="s">
        <v>20</v>
      </c>
      <c r="R60" s="28" t="s">
        <v>20</v>
      </c>
    </row>
    <row r="61" spans="2:18" ht="58.5" x14ac:dyDescent="0.25">
      <c r="B61" s="26">
        <v>55</v>
      </c>
      <c r="C61" s="26" t="s">
        <v>5357</v>
      </c>
      <c r="D61" s="28" t="s">
        <v>5474</v>
      </c>
      <c r="E61" s="108">
        <v>45444</v>
      </c>
      <c r="F61" s="109">
        <v>0.96666666666666667</v>
      </c>
      <c r="G61" s="122" t="s">
        <v>6057</v>
      </c>
      <c r="H61" s="28" t="s">
        <v>20</v>
      </c>
      <c r="I61" s="26"/>
      <c r="J61" s="28" t="s">
        <v>6001</v>
      </c>
      <c r="K61" s="28">
        <v>2000</v>
      </c>
      <c r="L61" s="28">
        <v>3998000</v>
      </c>
      <c r="M61" s="28" t="s">
        <v>20</v>
      </c>
      <c r="N61" s="28" t="s">
        <v>20</v>
      </c>
      <c r="O61" s="28" t="s">
        <v>20</v>
      </c>
      <c r="P61" s="28" t="s">
        <v>20</v>
      </c>
      <c r="Q61" s="28" t="s">
        <v>20</v>
      </c>
      <c r="R61" s="28" t="s">
        <v>20</v>
      </c>
    </row>
    <row r="62" spans="2:18" ht="39" x14ac:dyDescent="0.25">
      <c r="B62" s="26">
        <v>56</v>
      </c>
      <c r="C62" s="26" t="s">
        <v>5357</v>
      </c>
      <c r="D62" s="28" t="s">
        <v>5474</v>
      </c>
      <c r="E62" s="108">
        <v>45444</v>
      </c>
      <c r="F62" s="109">
        <v>0.6645833333333333</v>
      </c>
      <c r="G62" s="122" t="s">
        <v>6042</v>
      </c>
      <c r="H62" s="28" t="s">
        <v>20</v>
      </c>
      <c r="I62" s="26"/>
      <c r="J62" s="28" t="s">
        <v>6001</v>
      </c>
      <c r="K62" s="28">
        <v>1000</v>
      </c>
      <c r="L62" s="28">
        <v>499000</v>
      </c>
      <c r="M62" s="28" t="s">
        <v>20</v>
      </c>
      <c r="N62" s="28" t="s">
        <v>20</v>
      </c>
      <c r="O62" s="28" t="s">
        <v>20</v>
      </c>
      <c r="P62" s="28" t="s">
        <v>20</v>
      </c>
      <c r="Q62" s="28" t="s">
        <v>20</v>
      </c>
      <c r="R62" s="28" t="s">
        <v>20</v>
      </c>
    </row>
    <row r="63" spans="2:18" ht="39" x14ac:dyDescent="0.25">
      <c r="B63" s="26">
        <v>57</v>
      </c>
      <c r="C63" s="26" t="s">
        <v>5357</v>
      </c>
      <c r="D63" s="28" t="s">
        <v>5474</v>
      </c>
      <c r="E63" s="108">
        <v>45448</v>
      </c>
      <c r="F63" s="109">
        <v>0.84027777777777779</v>
      </c>
      <c r="G63" s="122" t="s">
        <v>6043</v>
      </c>
      <c r="H63" s="28" t="s">
        <v>20</v>
      </c>
      <c r="I63" s="26"/>
      <c r="J63" s="28" t="s">
        <v>6001</v>
      </c>
      <c r="K63" s="28">
        <v>1000</v>
      </c>
      <c r="L63" s="28">
        <v>999000</v>
      </c>
      <c r="M63" s="28" t="s">
        <v>20</v>
      </c>
      <c r="N63" s="28" t="s">
        <v>20</v>
      </c>
      <c r="O63" s="28" t="s">
        <v>20</v>
      </c>
      <c r="P63" s="28" t="s">
        <v>20</v>
      </c>
      <c r="Q63" s="28" t="s">
        <v>20</v>
      </c>
      <c r="R63" s="28" t="s">
        <v>20</v>
      </c>
    </row>
    <row r="64" spans="2:18" ht="39" x14ac:dyDescent="0.25">
      <c r="B64" s="26">
        <v>58</v>
      </c>
      <c r="C64" s="26" t="s">
        <v>5357</v>
      </c>
      <c r="D64" s="28" t="s">
        <v>5986</v>
      </c>
      <c r="E64" s="108">
        <v>45453</v>
      </c>
      <c r="F64" s="109">
        <v>0.97361111111111109</v>
      </c>
      <c r="G64" s="122" t="s">
        <v>6044</v>
      </c>
      <c r="H64" s="28" t="s">
        <v>20</v>
      </c>
      <c r="I64" s="26"/>
      <c r="J64" s="28" t="s">
        <v>6001</v>
      </c>
      <c r="K64" s="28" t="s">
        <v>20</v>
      </c>
      <c r="L64" s="28">
        <v>50000</v>
      </c>
      <c r="M64" s="28" t="s">
        <v>20</v>
      </c>
      <c r="N64" s="28" t="s">
        <v>20</v>
      </c>
      <c r="O64" s="28" t="s">
        <v>20</v>
      </c>
      <c r="P64" s="28" t="s">
        <v>20</v>
      </c>
      <c r="Q64" s="28" t="s">
        <v>20</v>
      </c>
      <c r="R64" s="28" t="s">
        <v>20</v>
      </c>
    </row>
    <row r="65" spans="2:18" ht="39" x14ac:dyDescent="0.25">
      <c r="B65" s="26">
        <v>59</v>
      </c>
      <c r="C65" s="26" t="s">
        <v>5357</v>
      </c>
      <c r="D65" s="28" t="s">
        <v>5474</v>
      </c>
      <c r="E65" s="108">
        <v>45456</v>
      </c>
      <c r="F65" s="109">
        <v>0.46458333333333335</v>
      </c>
      <c r="G65" s="122" t="s">
        <v>6045</v>
      </c>
      <c r="H65" s="28" t="s">
        <v>20</v>
      </c>
      <c r="I65" s="26"/>
      <c r="J65" s="28" t="s">
        <v>6001</v>
      </c>
      <c r="K65" s="28">
        <v>1000</v>
      </c>
      <c r="L65" s="28">
        <v>99000</v>
      </c>
      <c r="M65" s="28" t="s">
        <v>20</v>
      </c>
      <c r="N65" s="28" t="s">
        <v>20</v>
      </c>
      <c r="O65" s="28" t="s">
        <v>20</v>
      </c>
      <c r="P65" s="28" t="s">
        <v>20</v>
      </c>
      <c r="Q65" s="28" t="s">
        <v>20</v>
      </c>
      <c r="R65" s="28" t="s">
        <v>20</v>
      </c>
    </row>
    <row r="66" spans="2:18" ht="39" x14ac:dyDescent="0.25">
      <c r="B66" s="26">
        <v>60</v>
      </c>
      <c r="C66" s="26" t="s">
        <v>5357</v>
      </c>
      <c r="D66" s="28" t="s">
        <v>5474</v>
      </c>
      <c r="E66" s="108">
        <v>45456</v>
      </c>
      <c r="F66" s="109">
        <v>0.6166666666666667</v>
      </c>
      <c r="G66" s="122" t="s">
        <v>6046</v>
      </c>
      <c r="H66" s="28" t="s">
        <v>20</v>
      </c>
      <c r="I66" s="26"/>
      <c r="J66" s="28" t="s">
        <v>6001</v>
      </c>
      <c r="K66" s="28">
        <v>1000</v>
      </c>
      <c r="L66" s="28">
        <v>9000</v>
      </c>
      <c r="M66" s="28" t="s">
        <v>20</v>
      </c>
      <c r="N66" s="28" t="s">
        <v>20</v>
      </c>
      <c r="O66" s="28" t="s">
        <v>20</v>
      </c>
      <c r="P66" s="28" t="s">
        <v>20</v>
      </c>
      <c r="Q66" s="28" t="s">
        <v>20</v>
      </c>
      <c r="R66" s="28" t="s">
        <v>20</v>
      </c>
    </row>
    <row r="67" spans="2:18" ht="39" x14ac:dyDescent="0.25">
      <c r="B67" s="26">
        <v>61</v>
      </c>
      <c r="C67" s="26" t="s">
        <v>5357</v>
      </c>
      <c r="D67" s="28" t="s">
        <v>5474</v>
      </c>
      <c r="E67" s="108">
        <v>45457</v>
      </c>
      <c r="F67" s="109">
        <v>0.75</v>
      </c>
      <c r="G67" s="122" t="s">
        <v>6047</v>
      </c>
      <c r="H67" s="28" t="s">
        <v>20</v>
      </c>
      <c r="I67" s="26"/>
      <c r="J67" s="28" t="s">
        <v>6001</v>
      </c>
      <c r="K67" s="28">
        <v>500</v>
      </c>
      <c r="L67" s="28">
        <v>1500</v>
      </c>
      <c r="M67" s="28" t="s">
        <v>20</v>
      </c>
      <c r="N67" s="28" t="s">
        <v>20</v>
      </c>
      <c r="O67" s="28" t="s">
        <v>20</v>
      </c>
      <c r="P67" s="28" t="s">
        <v>20</v>
      </c>
      <c r="Q67" s="28" t="s">
        <v>20</v>
      </c>
      <c r="R67" s="28" t="s">
        <v>20</v>
      </c>
    </row>
    <row r="68" spans="2:18" ht="39" x14ac:dyDescent="0.25">
      <c r="B68" s="26">
        <v>62</v>
      </c>
      <c r="C68" s="26" t="s">
        <v>5357</v>
      </c>
      <c r="D68" s="28" t="s">
        <v>5474</v>
      </c>
      <c r="E68" s="108">
        <v>45458</v>
      </c>
      <c r="F68" s="109">
        <v>0.49375000000000002</v>
      </c>
      <c r="G68" s="122" t="s">
        <v>6049</v>
      </c>
      <c r="H68" s="28" t="s">
        <v>20</v>
      </c>
      <c r="I68" s="26"/>
      <c r="J68" s="28" t="s">
        <v>6001</v>
      </c>
      <c r="K68" s="28" t="s">
        <v>20</v>
      </c>
      <c r="L68" s="28">
        <v>1500</v>
      </c>
      <c r="M68" s="26" t="s">
        <v>20</v>
      </c>
      <c r="N68" s="26" t="s">
        <v>20</v>
      </c>
      <c r="O68" s="26" t="s">
        <v>20</v>
      </c>
      <c r="P68" s="26" t="s">
        <v>20</v>
      </c>
      <c r="Q68" s="26" t="s">
        <v>20</v>
      </c>
      <c r="R68" s="26" t="s">
        <v>20</v>
      </c>
    </row>
    <row r="69" spans="2:18" ht="39" x14ac:dyDescent="0.25">
      <c r="B69" s="26">
        <v>63</v>
      </c>
      <c r="C69" s="26" t="s">
        <v>5357</v>
      </c>
      <c r="D69" s="28" t="s">
        <v>5474</v>
      </c>
      <c r="E69" s="108">
        <v>45458</v>
      </c>
      <c r="F69" s="109">
        <v>0.83958333333333335</v>
      </c>
      <c r="G69" s="122" t="s">
        <v>6048</v>
      </c>
      <c r="H69" s="28" t="s">
        <v>20</v>
      </c>
      <c r="I69" s="26"/>
      <c r="J69" s="28" t="s">
        <v>6001</v>
      </c>
      <c r="K69" s="28">
        <v>1000</v>
      </c>
      <c r="L69" s="28">
        <v>149000</v>
      </c>
      <c r="M69" s="26" t="s">
        <v>20</v>
      </c>
      <c r="N69" s="26" t="s">
        <v>20</v>
      </c>
      <c r="O69" s="26" t="s">
        <v>20</v>
      </c>
      <c r="P69" s="26" t="s">
        <v>20</v>
      </c>
      <c r="Q69" s="26" t="s">
        <v>20</v>
      </c>
      <c r="R69" s="26" t="s">
        <v>20</v>
      </c>
    </row>
    <row r="70" spans="2:18" ht="39" x14ac:dyDescent="0.25">
      <c r="B70" s="26">
        <v>64</v>
      </c>
      <c r="C70" s="26" t="s">
        <v>5357</v>
      </c>
      <c r="D70" s="28" t="s">
        <v>5474</v>
      </c>
      <c r="E70" s="108">
        <v>45460</v>
      </c>
      <c r="F70" s="109">
        <v>0.56388888888888888</v>
      </c>
      <c r="G70" s="122" t="s">
        <v>6050</v>
      </c>
      <c r="H70" s="28" t="s">
        <v>20</v>
      </c>
      <c r="I70" s="26"/>
      <c r="J70" s="28" t="s">
        <v>6001</v>
      </c>
      <c r="K70" s="28" t="s">
        <v>20</v>
      </c>
      <c r="L70" s="28">
        <v>20000</v>
      </c>
      <c r="M70" s="28" t="s">
        <v>20</v>
      </c>
      <c r="N70" s="28" t="s">
        <v>20</v>
      </c>
      <c r="O70" s="28" t="s">
        <v>20</v>
      </c>
      <c r="P70" s="28" t="s">
        <v>20</v>
      </c>
      <c r="Q70" s="28" t="s">
        <v>20</v>
      </c>
      <c r="R70" s="28" t="s">
        <v>20</v>
      </c>
    </row>
    <row r="71" spans="2:18" ht="39" x14ac:dyDescent="0.25">
      <c r="B71" s="26">
        <v>65</v>
      </c>
      <c r="C71" s="26" t="s">
        <v>5357</v>
      </c>
      <c r="D71" s="26" t="s">
        <v>5986</v>
      </c>
      <c r="E71" s="108">
        <v>45461</v>
      </c>
      <c r="F71" s="109">
        <v>0.78402777777777777</v>
      </c>
      <c r="G71" s="122" t="s">
        <v>6051</v>
      </c>
      <c r="H71" s="28" t="s">
        <v>20</v>
      </c>
      <c r="I71" s="26"/>
      <c r="J71" s="28" t="s">
        <v>6001</v>
      </c>
      <c r="K71" s="28" t="s">
        <v>20</v>
      </c>
      <c r="L71" s="28">
        <v>1000</v>
      </c>
      <c r="M71" s="28" t="s">
        <v>20</v>
      </c>
      <c r="N71" s="28" t="s">
        <v>20</v>
      </c>
      <c r="O71" s="28" t="s">
        <v>20</v>
      </c>
      <c r="P71" s="28" t="s">
        <v>20</v>
      </c>
      <c r="Q71" s="28" t="s">
        <v>20</v>
      </c>
      <c r="R71" s="28" t="s">
        <v>20</v>
      </c>
    </row>
    <row r="72" spans="2:18" ht="39" x14ac:dyDescent="0.25">
      <c r="B72" s="26">
        <v>66</v>
      </c>
      <c r="C72" s="26" t="s">
        <v>5357</v>
      </c>
      <c r="D72" s="26" t="s">
        <v>5986</v>
      </c>
      <c r="E72" s="108">
        <v>45461</v>
      </c>
      <c r="F72" s="109">
        <v>0.93680555555555556</v>
      </c>
      <c r="G72" s="122" t="s">
        <v>6051</v>
      </c>
      <c r="H72" s="28" t="s">
        <v>20</v>
      </c>
      <c r="I72" s="26"/>
      <c r="J72" s="28" t="s">
        <v>6001</v>
      </c>
      <c r="K72" s="28" t="s">
        <v>20</v>
      </c>
      <c r="L72" s="28">
        <v>20000</v>
      </c>
      <c r="M72" s="28" t="s">
        <v>20</v>
      </c>
      <c r="N72" s="28" t="s">
        <v>20</v>
      </c>
      <c r="O72" s="28" t="s">
        <v>20</v>
      </c>
      <c r="P72" s="28" t="s">
        <v>20</v>
      </c>
      <c r="Q72" s="28" t="s">
        <v>20</v>
      </c>
      <c r="R72" s="28" t="s">
        <v>20</v>
      </c>
    </row>
    <row r="73" spans="2:18" ht="39" x14ac:dyDescent="0.25">
      <c r="B73" s="26">
        <v>67</v>
      </c>
      <c r="C73" s="26" t="s">
        <v>5357</v>
      </c>
      <c r="D73" s="28" t="s">
        <v>5469</v>
      </c>
      <c r="E73" s="108">
        <v>45453</v>
      </c>
      <c r="F73" s="109">
        <v>0.50763888888888886</v>
      </c>
      <c r="G73" s="122" t="s">
        <v>6052</v>
      </c>
      <c r="H73" s="28" t="s">
        <v>20</v>
      </c>
      <c r="I73" s="26"/>
      <c r="J73" s="28" t="s">
        <v>6001</v>
      </c>
      <c r="K73" s="28" t="s">
        <v>20</v>
      </c>
      <c r="L73" s="28" t="s">
        <v>20</v>
      </c>
      <c r="M73" s="28" t="s">
        <v>20</v>
      </c>
      <c r="N73" s="28" t="s">
        <v>20</v>
      </c>
      <c r="O73" s="28" t="s">
        <v>20</v>
      </c>
      <c r="P73" s="28" t="s">
        <v>20</v>
      </c>
      <c r="Q73" s="28" t="s">
        <v>20</v>
      </c>
      <c r="R73" s="28" t="s">
        <v>20</v>
      </c>
    </row>
    <row r="74" spans="2:18" ht="39" x14ac:dyDescent="0.25">
      <c r="B74" s="26">
        <v>68</v>
      </c>
      <c r="C74" s="26" t="s">
        <v>5357</v>
      </c>
      <c r="D74" s="28" t="s">
        <v>5469</v>
      </c>
      <c r="E74" s="108">
        <v>45454</v>
      </c>
      <c r="F74" s="109">
        <v>0.16666666666666666</v>
      </c>
      <c r="G74" s="122" t="s">
        <v>6053</v>
      </c>
      <c r="H74" s="28" t="s">
        <v>20</v>
      </c>
      <c r="I74" s="26"/>
      <c r="J74" s="28" t="s">
        <v>6001</v>
      </c>
      <c r="K74" s="28" t="s">
        <v>20</v>
      </c>
      <c r="L74" s="28">
        <v>500000</v>
      </c>
      <c r="M74" s="28" t="s">
        <v>20</v>
      </c>
      <c r="N74" s="28" t="s">
        <v>20</v>
      </c>
      <c r="O74" s="28" t="s">
        <v>20</v>
      </c>
      <c r="P74" s="28" t="s">
        <v>20</v>
      </c>
      <c r="Q74" s="28" t="s">
        <v>20</v>
      </c>
      <c r="R74" s="28" t="s">
        <v>20</v>
      </c>
    </row>
    <row r="75" spans="2:18" ht="39" x14ac:dyDescent="0.25">
      <c r="B75" s="26">
        <v>69</v>
      </c>
      <c r="C75" s="26" t="s">
        <v>5357</v>
      </c>
      <c r="D75" s="28" t="s">
        <v>5469</v>
      </c>
      <c r="E75" s="108">
        <v>45455</v>
      </c>
      <c r="F75" s="109">
        <v>0.53472222222222221</v>
      </c>
      <c r="G75" s="122" t="s">
        <v>6054</v>
      </c>
      <c r="H75" s="28" t="s">
        <v>20</v>
      </c>
      <c r="I75" s="26"/>
      <c r="J75" s="28" t="s">
        <v>6001</v>
      </c>
      <c r="K75" s="28" t="s">
        <v>20</v>
      </c>
      <c r="L75" s="28">
        <v>1000000</v>
      </c>
      <c r="M75" s="28" t="s">
        <v>20</v>
      </c>
      <c r="N75" s="28" t="s">
        <v>20</v>
      </c>
      <c r="O75" s="28" t="s">
        <v>20</v>
      </c>
      <c r="P75" s="28" t="s">
        <v>20</v>
      </c>
      <c r="Q75" s="28" t="s">
        <v>20</v>
      </c>
      <c r="R75" s="28" t="s">
        <v>20</v>
      </c>
    </row>
    <row r="76" spans="2:18" ht="39" x14ac:dyDescent="0.25">
      <c r="B76" s="26">
        <v>70</v>
      </c>
      <c r="C76" s="26" t="s">
        <v>5357</v>
      </c>
      <c r="D76" s="28" t="s">
        <v>5469</v>
      </c>
      <c r="E76" s="108">
        <v>45457</v>
      </c>
      <c r="F76" s="109">
        <v>0.79236111111111107</v>
      </c>
      <c r="G76" s="122" t="s">
        <v>6053</v>
      </c>
      <c r="H76" s="28" t="s">
        <v>20</v>
      </c>
      <c r="I76" s="26"/>
      <c r="J76" s="28" t="s">
        <v>6001</v>
      </c>
      <c r="K76" s="28" t="s">
        <v>20</v>
      </c>
      <c r="L76" s="28">
        <v>1500000</v>
      </c>
      <c r="M76" s="28" t="s">
        <v>20</v>
      </c>
      <c r="N76" s="28" t="s">
        <v>20</v>
      </c>
      <c r="O76" s="28" t="s">
        <v>20</v>
      </c>
      <c r="P76" s="28" t="s">
        <v>20</v>
      </c>
      <c r="Q76" s="28" t="s">
        <v>20</v>
      </c>
      <c r="R76" s="28" t="s">
        <v>20</v>
      </c>
    </row>
    <row r="77" spans="2:18" ht="39" x14ac:dyDescent="0.25">
      <c r="B77" s="26">
        <v>71</v>
      </c>
      <c r="C77" s="26" t="s">
        <v>5357</v>
      </c>
      <c r="D77" s="28" t="s">
        <v>5469</v>
      </c>
      <c r="E77" s="108">
        <v>45460</v>
      </c>
      <c r="F77" s="109">
        <v>0.83680555555555558</v>
      </c>
      <c r="G77" s="122" t="s">
        <v>6053</v>
      </c>
      <c r="H77" s="28" t="s">
        <v>20</v>
      </c>
      <c r="I77" s="26"/>
      <c r="J77" s="28" t="s">
        <v>6001</v>
      </c>
      <c r="K77" s="28" t="s">
        <v>20</v>
      </c>
      <c r="L77" s="28">
        <v>1000000</v>
      </c>
      <c r="M77" s="28" t="s">
        <v>20</v>
      </c>
      <c r="N77" s="28" t="s">
        <v>20</v>
      </c>
      <c r="O77" s="28" t="s">
        <v>20</v>
      </c>
      <c r="P77" s="28" t="s">
        <v>20</v>
      </c>
      <c r="Q77" s="28" t="s">
        <v>20</v>
      </c>
      <c r="R77" s="28" t="s">
        <v>20</v>
      </c>
    </row>
    <row r="78" spans="2:18" ht="39" x14ac:dyDescent="0.25">
      <c r="B78" s="26">
        <v>72</v>
      </c>
      <c r="C78" s="26" t="s">
        <v>5357</v>
      </c>
      <c r="D78" s="28" t="s">
        <v>5469</v>
      </c>
      <c r="E78" s="108">
        <v>45465</v>
      </c>
      <c r="F78" s="109">
        <v>0.82499999999999996</v>
      </c>
      <c r="G78" s="122" t="s">
        <v>6055</v>
      </c>
      <c r="H78" s="28" t="s">
        <v>20</v>
      </c>
      <c r="I78" s="26"/>
      <c r="J78" s="28" t="s">
        <v>6001</v>
      </c>
      <c r="K78" s="28" t="s">
        <v>20</v>
      </c>
      <c r="L78" s="28" t="s">
        <v>20</v>
      </c>
      <c r="M78" s="28" t="s">
        <v>20</v>
      </c>
      <c r="N78" s="28" t="s">
        <v>20</v>
      </c>
      <c r="O78" s="28" t="s">
        <v>20</v>
      </c>
      <c r="P78" s="28" t="s">
        <v>20</v>
      </c>
      <c r="Q78" s="28" t="s">
        <v>20</v>
      </c>
      <c r="R78" s="28" t="s">
        <v>20</v>
      </c>
    </row>
    <row r="79" spans="2:18" ht="39" x14ac:dyDescent="0.25">
      <c r="B79" s="26">
        <v>73</v>
      </c>
      <c r="C79" s="26" t="s">
        <v>5357</v>
      </c>
      <c r="D79" s="28" t="s">
        <v>5470</v>
      </c>
      <c r="E79" s="108">
        <v>45455</v>
      </c>
      <c r="F79" s="109">
        <v>0.54166666666666663</v>
      </c>
      <c r="G79" s="122" t="s">
        <v>6056</v>
      </c>
      <c r="H79" s="28" t="s">
        <v>20</v>
      </c>
      <c r="I79" s="26"/>
      <c r="J79" s="28" t="s">
        <v>6001</v>
      </c>
      <c r="K79" s="28" t="s">
        <v>20</v>
      </c>
      <c r="L79" s="28" t="s">
        <v>20</v>
      </c>
      <c r="M79" s="28" t="s">
        <v>20</v>
      </c>
      <c r="N79" s="28" t="s">
        <v>20</v>
      </c>
      <c r="O79" s="28" t="s">
        <v>20</v>
      </c>
      <c r="P79" s="28" t="s">
        <v>20</v>
      </c>
      <c r="Q79" s="28" t="s">
        <v>20</v>
      </c>
      <c r="R79" s="28" t="s">
        <v>20</v>
      </c>
    </row>
    <row r="80" spans="2:18" ht="19.5" x14ac:dyDescent="0.25">
      <c r="B80" s="26"/>
      <c r="C80" s="26"/>
      <c r="D80" s="28"/>
      <c r="E80" s="110"/>
      <c r="F80" s="163"/>
      <c r="G80" s="26"/>
      <c r="H80" s="28"/>
      <c r="I80" s="26"/>
      <c r="J80" s="26"/>
      <c r="K80" s="28"/>
      <c r="L80" s="28"/>
      <c r="M80" s="26"/>
      <c r="N80" s="26"/>
      <c r="O80" s="26"/>
      <c r="P80" s="26"/>
      <c r="Q80" s="28"/>
      <c r="R80" s="28"/>
    </row>
    <row r="81" spans="2:18" ht="19.5" x14ac:dyDescent="0.25">
      <c r="B81" s="26"/>
      <c r="C81" s="26"/>
      <c r="D81" s="28"/>
      <c r="E81" s="110"/>
      <c r="F81" s="163"/>
      <c r="G81" s="26"/>
      <c r="H81" s="26"/>
      <c r="I81" s="26"/>
      <c r="J81" s="26"/>
      <c r="K81" s="26"/>
      <c r="L81" s="26"/>
      <c r="M81" s="26"/>
      <c r="N81" s="26"/>
      <c r="O81" s="26"/>
      <c r="P81" s="26"/>
      <c r="Q81" s="28"/>
      <c r="R81" s="28"/>
    </row>
    <row r="82" spans="2:18" ht="19.5" x14ac:dyDescent="0.25">
      <c r="B82" s="26"/>
      <c r="C82" s="26"/>
      <c r="D82" s="28"/>
      <c r="E82" s="110"/>
      <c r="F82" s="109"/>
      <c r="G82" s="122"/>
      <c r="H82" s="26"/>
      <c r="I82" s="26"/>
      <c r="J82" s="26"/>
      <c r="K82" s="28"/>
      <c r="L82" s="28"/>
      <c r="M82" s="28"/>
      <c r="N82" s="28"/>
      <c r="O82" s="28"/>
      <c r="P82" s="28"/>
      <c r="Q82" s="28"/>
      <c r="R82" s="28"/>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13B79-3104-4BEA-866F-044318FDBC06}">
  <dimension ref="B2:Q75"/>
  <sheetViews>
    <sheetView topLeftCell="A2" workbookViewId="0">
      <selection activeCell="J3" sqref="J3:Q7"/>
    </sheetView>
  </sheetViews>
  <sheetFormatPr defaultRowHeight="15" x14ac:dyDescent="0.25"/>
  <cols>
    <col min="5" max="5" width="10.5703125" customWidth="1"/>
    <col min="7" max="7" width="37.7109375" customWidth="1"/>
    <col min="8" max="8" width="24" customWidth="1"/>
    <col min="9" max="9" width="16.28515625" customWidth="1"/>
    <col min="17" max="17" width="13.28515625" customWidth="1"/>
  </cols>
  <sheetData>
    <row r="2" spans="2:17" ht="168" x14ac:dyDescent="0.25">
      <c r="B2" s="27" t="s">
        <v>76</v>
      </c>
      <c r="C2" s="105" t="s">
        <v>77</v>
      </c>
      <c r="D2" s="27" t="s">
        <v>78</v>
      </c>
      <c r="E2" s="187" t="s">
        <v>79</v>
      </c>
      <c r="F2" s="27" t="s">
        <v>80</v>
      </c>
      <c r="G2" s="27" t="s">
        <v>81</v>
      </c>
      <c r="H2" s="183" t="s">
        <v>82</v>
      </c>
      <c r="I2" s="27" t="s">
        <v>83</v>
      </c>
      <c r="J2" s="27" t="s">
        <v>84</v>
      </c>
      <c r="K2" s="27" t="s">
        <v>85</v>
      </c>
      <c r="L2" s="27" t="s">
        <v>86</v>
      </c>
      <c r="M2" s="27" t="s">
        <v>91</v>
      </c>
      <c r="N2" s="27" t="s">
        <v>87</v>
      </c>
      <c r="O2" s="27" t="s">
        <v>90</v>
      </c>
      <c r="P2" s="27" t="s">
        <v>88</v>
      </c>
      <c r="Q2" s="27" t="s">
        <v>89</v>
      </c>
    </row>
    <row r="3" spans="2:17" ht="19.5" x14ac:dyDescent="0.35">
      <c r="B3" s="114">
        <v>1</v>
      </c>
      <c r="C3" s="131" t="s">
        <v>5955</v>
      </c>
      <c r="D3" s="131" t="s">
        <v>5955</v>
      </c>
      <c r="E3" s="131" t="s">
        <v>4802</v>
      </c>
      <c r="F3" s="131" t="s">
        <v>5956</v>
      </c>
      <c r="G3" s="131" t="s">
        <v>5962</v>
      </c>
      <c r="H3" s="211" t="s">
        <v>4108</v>
      </c>
      <c r="I3" s="131" t="s">
        <v>5961</v>
      </c>
      <c r="J3" s="131"/>
      <c r="K3" s="131">
        <f>-L3</f>
        <v>0</v>
      </c>
      <c r="L3" s="131"/>
      <c r="M3" s="131"/>
      <c r="N3" s="131"/>
      <c r="O3" s="131"/>
      <c r="P3" s="131"/>
      <c r="Q3" s="131"/>
    </row>
    <row r="4" spans="2:17" ht="19.5" x14ac:dyDescent="0.35">
      <c r="B4" s="114">
        <v>2</v>
      </c>
      <c r="C4" s="131" t="s">
        <v>5955</v>
      </c>
      <c r="D4" s="131" t="s">
        <v>5955</v>
      </c>
      <c r="E4" s="131" t="s">
        <v>5957</v>
      </c>
      <c r="F4" s="131">
        <v>18.53</v>
      </c>
      <c r="G4" s="131" t="s">
        <v>5963</v>
      </c>
      <c r="H4" s="131"/>
      <c r="I4" s="131" t="s">
        <v>1912</v>
      </c>
      <c r="J4" s="131"/>
      <c r="K4" s="131"/>
      <c r="L4" s="131"/>
      <c r="M4" s="131"/>
      <c r="N4" s="131"/>
      <c r="O4" s="131"/>
      <c r="P4" s="131"/>
      <c r="Q4" s="131"/>
    </row>
    <row r="5" spans="2:17" ht="19.5" x14ac:dyDescent="0.35">
      <c r="B5" s="114">
        <v>3</v>
      </c>
      <c r="C5" s="131" t="s">
        <v>5955</v>
      </c>
      <c r="D5" s="131" t="s">
        <v>5955</v>
      </c>
      <c r="E5" s="131" t="s">
        <v>5958</v>
      </c>
      <c r="F5" s="131">
        <v>6.11</v>
      </c>
      <c r="G5" s="131" t="s">
        <v>5964</v>
      </c>
      <c r="H5" s="131"/>
      <c r="I5" s="131" t="s">
        <v>1912</v>
      </c>
      <c r="J5" s="131"/>
      <c r="K5" s="131"/>
      <c r="L5" s="131"/>
      <c r="M5" s="131"/>
      <c r="N5" s="131"/>
      <c r="O5" s="131"/>
      <c r="P5" s="131"/>
      <c r="Q5" s="131"/>
    </row>
    <row r="6" spans="2:17" ht="19.5" x14ac:dyDescent="0.35">
      <c r="B6" s="114">
        <v>4</v>
      </c>
      <c r="C6" s="131" t="s">
        <v>5955</v>
      </c>
      <c r="D6" s="131" t="s">
        <v>5955</v>
      </c>
      <c r="E6" s="131" t="s">
        <v>5959</v>
      </c>
      <c r="F6" s="131">
        <v>19.350000000000001</v>
      </c>
      <c r="G6" s="131" t="s">
        <v>5965</v>
      </c>
      <c r="H6" s="131"/>
      <c r="I6" s="131" t="s">
        <v>1912</v>
      </c>
      <c r="J6" s="131"/>
      <c r="K6" s="131"/>
      <c r="L6" s="131"/>
      <c r="M6" s="131"/>
      <c r="N6" s="131"/>
      <c r="O6" s="131"/>
      <c r="P6" s="131"/>
      <c r="Q6" s="131"/>
    </row>
    <row r="7" spans="2:17" ht="19.5" x14ac:dyDescent="0.35">
      <c r="B7" s="114">
        <v>5</v>
      </c>
      <c r="C7" s="131" t="s">
        <v>5955</v>
      </c>
      <c r="D7" s="131" t="s">
        <v>5955</v>
      </c>
      <c r="E7" s="131" t="s">
        <v>5960</v>
      </c>
      <c r="F7" s="131">
        <v>12.38</v>
      </c>
      <c r="G7" s="131" t="s">
        <v>5966</v>
      </c>
      <c r="H7" s="131"/>
      <c r="I7" s="131" t="s">
        <v>1912</v>
      </c>
      <c r="J7" s="131"/>
      <c r="K7" s="131"/>
      <c r="L7" s="131"/>
      <c r="M7" s="131"/>
      <c r="N7" s="131"/>
      <c r="O7" s="131"/>
      <c r="P7" s="131"/>
      <c r="Q7" s="131"/>
    </row>
    <row r="8" spans="2:17" ht="19.5" x14ac:dyDescent="0.35">
      <c r="B8" s="114">
        <v>6</v>
      </c>
      <c r="C8" s="131"/>
      <c r="D8" s="131"/>
      <c r="E8" s="131"/>
      <c r="F8" s="131"/>
      <c r="G8" s="131"/>
      <c r="H8" s="131"/>
      <c r="I8" s="131"/>
      <c r="J8" s="131"/>
      <c r="K8" s="131"/>
      <c r="L8" s="131"/>
      <c r="M8" s="131"/>
      <c r="N8" s="131"/>
      <c r="O8" s="131"/>
      <c r="P8" s="131"/>
      <c r="Q8" s="131"/>
    </row>
    <row r="9" spans="2:17" ht="19.5" x14ac:dyDescent="0.35">
      <c r="B9" s="114">
        <v>7</v>
      </c>
      <c r="C9" s="131"/>
      <c r="D9" s="131"/>
      <c r="E9" s="131"/>
      <c r="F9" s="131"/>
      <c r="G9" s="131"/>
      <c r="H9" s="131"/>
      <c r="I9" s="131"/>
      <c r="J9" s="131"/>
      <c r="K9" s="131"/>
      <c r="L9" s="131"/>
      <c r="M9" s="131"/>
      <c r="N9" s="131"/>
      <c r="O9" s="131"/>
      <c r="P9" s="131"/>
      <c r="Q9" s="131"/>
    </row>
    <row r="10" spans="2:17" ht="19.5" x14ac:dyDescent="0.35">
      <c r="B10" s="114">
        <v>8</v>
      </c>
      <c r="C10" s="131"/>
      <c r="D10" s="131"/>
      <c r="E10" s="131"/>
      <c r="F10" s="131"/>
      <c r="G10" s="131"/>
      <c r="H10" s="131"/>
      <c r="I10" s="131"/>
      <c r="J10" s="131"/>
      <c r="K10" s="131"/>
      <c r="L10" s="131"/>
      <c r="M10" s="131"/>
      <c r="N10" s="131"/>
      <c r="O10" s="131"/>
      <c r="P10" s="131"/>
      <c r="Q10" s="131"/>
    </row>
    <row r="11" spans="2:17" ht="19.5" x14ac:dyDescent="0.35">
      <c r="B11" s="114">
        <v>9</v>
      </c>
      <c r="C11" s="131"/>
      <c r="D11" s="131"/>
      <c r="E11" s="131"/>
      <c r="F11" s="131"/>
      <c r="G11" s="131"/>
      <c r="H11" s="131"/>
      <c r="I11" s="131"/>
      <c r="J11" s="131"/>
      <c r="K11" s="131"/>
      <c r="L11" s="131"/>
      <c r="M11" s="131"/>
      <c r="N11" s="131"/>
      <c r="O11" s="131"/>
      <c r="P11" s="131"/>
      <c r="Q11" s="131"/>
    </row>
    <row r="12" spans="2:17" ht="19.5" x14ac:dyDescent="0.35">
      <c r="B12" s="114">
        <v>10</v>
      </c>
      <c r="C12" s="131"/>
      <c r="D12" s="131"/>
      <c r="E12" s="131"/>
      <c r="F12" s="131"/>
      <c r="G12" s="131"/>
      <c r="H12" s="131"/>
      <c r="I12" s="131"/>
      <c r="J12" s="131"/>
      <c r="K12" s="131"/>
      <c r="L12" s="131"/>
      <c r="M12" s="131"/>
      <c r="N12" s="131"/>
      <c r="O12" s="131"/>
      <c r="P12" s="131"/>
      <c r="Q12" s="131"/>
    </row>
    <row r="13" spans="2:17" ht="19.5" x14ac:dyDescent="0.35">
      <c r="B13" s="114">
        <v>11</v>
      </c>
      <c r="C13" s="131"/>
      <c r="D13" s="131"/>
      <c r="E13" s="131"/>
      <c r="F13" s="131"/>
      <c r="G13" s="131"/>
      <c r="H13" s="131"/>
      <c r="I13" s="131"/>
      <c r="J13" s="131"/>
      <c r="K13" s="131"/>
      <c r="L13" s="131"/>
      <c r="M13" s="131"/>
      <c r="N13" s="131"/>
      <c r="O13" s="131"/>
      <c r="P13" s="131"/>
      <c r="Q13" s="131"/>
    </row>
    <row r="14" spans="2:17" ht="19.5" x14ac:dyDescent="0.35">
      <c r="B14" s="114">
        <v>12</v>
      </c>
      <c r="C14" s="131"/>
      <c r="D14" s="131"/>
      <c r="E14" s="131"/>
      <c r="F14" s="131"/>
      <c r="G14" s="131"/>
      <c r="H14" s="131"/>
      <c r="I14" s="131"/>
      <c r="J14" s="131"/>
      <c r="K14" s="131"/>
      <c r="L14" s="131"/>
      <c r="M14" s="131"/>
      <c r="N14" s="131"/>
      <c r="O14" s="131"/>
      <c r="P14" s="131"/>
      <c r="Q14" s="131"/>
    </row>
    <row r="15" spans="2:17" ht="19.5" x14ac:dyDescent="0.35">
      <c r="B15" s="114">
        <v>13</v>
      </c>
      <c r="C15" s="131"/>
      <c r="D15" s="131"/>
      <c r="E15" s="131"/>
      <c r="F15" s="131"/>
      <c r="G15" s="131"/>
      <c r="H15" s="131"/>
      <c r="I15" s="131"/>
      <c r="J15" s="131"/>
      <c r="K15" s="131"/>
      <c r="L15" s="131"/>
      <c r="M15" s="131"/>
      <c r="N15" s="131"/>
      <c r="O15" s="131"/>
      <c r="P15" s="131"/>
      <c r="Q15" s="131"/>
    </row>
    <row r="16" spans="2:17" ht="19.5" x14ac:dyDescent="0.35">
      <c r="B16" s="114">
        <v>14</v>
      </c>
      <c r="C16" s="131"/>
      <c r="D16" s="131"/>
      <c r="E16" s="131"/>
      <c r="F16" s="131"/>
      <c r="G16" s="131"/>
      <c r="H16" s="131"/>
      <c r="I16" s="131"/>
      <c r="J16" s="131"/>
      <c r="K16" s="131"/>
      <c r="L16" s="131"/>
      <c r="M16" s="131"/>
      <c r="N16" s="131"/>
      <c r="O16" s="131"/>
      <c r="P16" s="131"/>
      <c r="Q16" s="131"/>
    </row>
    <row r="17" spans="2:17" ht="19.5" x14ac:dyDescent="0.35">
      <c r="B17" s="114">
        <v>15</v>
      </c>
      <c r="C17" s="131"/>
      <c r="D17" s="131"/>
      <c r="E17" s="131"/>
      <c r="F17" s="131"/>
      <c r="G17" s="131"/>
      <c r="H17" s="131"/>
      <c r="I17" s="131"/>
      <c r="J17" s="131"/>
      <c r="K17" s="131"/>
      <c r="L17" s="131"/>
      <c r="M17" s="131"/>
      <c r="N17" s="131"/>
      <c r="O17" s="131"/>
      <c r="P17" s="131"/>
      <c r="Q17" s="131"/>
    </row>
    <row r="18" spans="2:17" ht="19.5" x14ac:dyDescent="0.35">
      <c r="B18" s="114">
        <v>16</v>
      </c>
      <c r="C18" s="131"/>
      <c r="D18" s="131"/>
      <c r="E18" s="131"/>
      <c r="F18" s="131"/>
      <c r="G18" s="131"/>
      <c r="H18" s="131"/>
      <c r="I18" s="131"/>
      <c r="J18" s="131"/>
      <c r="K18" s="131"/>
      <c r="L18" s="131"/>
      <c r="M18" s="131"/>
      <c r="N18" s="131"/>
      <c r="O18" s="131"/>
      <c r="P18" s="131"/>
      <c r="Q18" s="131"/>
    </row>
    <row r="19" spans="2:17" ht="19.5" x14ac:dyDescent="0.35">
      <c r="B19" s="114">
        <v>17</v>
      </c>
      <c r="C19" s="131"/>
      <c r="D19" s="131"/>
      <c r="E19" s="131"/>
      <c r="F19" s="131"/>
      <c r="G19" s="131"/>
      <c r="H19" s="131"/>
      <c r="I19" s="131"/>
      <c r="J19" s="131"/>
      <c r="K19" s="131"/>
      <c r="L19" s="131"/>
      <c r="M19" s="131"/>
      <c r="N19" s="131"/>
      <c r="O19" s="131"/>
      <c r="P19" s="131"/>
      <c r="Q19" s="131"/>
    </row>
    <row r="20" spans="2:17" ht="19.5" x14ac:dyDescent="0.35">
      <c r="B20" s="114">
        <v>18</v>
      </c>
      <c r="C20" s="131"/>
      <c r="D20" s="131"/>
      <c r="E20" s="131"/>
      <c r="F20" s="131"/>
      <c r="G20" s="131"/>
      <c r="H20" s="131"/>
      <c r="I20" s="131"/>
      <c r="J20" s="131"/>
      <c r="K20" s="131"/>
      <c r="L20" s="131"/>
      <c r="M20" s="131"/>
      <c r="N20" s="131"/>
      <c r="O20" s="131"/>
      <c r="P20" s="131"/>
      <c r="Q20" s="131"/>
    </row>
    <row r="21" spans="2:17" ht="19.5" x14ac:dyDescent="0.35">
      <c r="B21" s="114">
        <v>19</v>
      </c>
      <c r="C21" s="131"/>
      <c r="D21" s="131"/>
      <c r="E21" s="131"/>
      <c r="F21" s="131"/>
      <c r="G21" s="131"/>
      <c r="H21" s="131"/>
      <c r="I21" s="131"/>
      <c r="J21" s="131"/>
      <c r="K21" s="131"/>
      <c r="L21" s="131"/>
      <c r="M21" s="131"/>
      <c r="N21" s="131"/>
      <c r="O21" s="131"/>
      <c r="P21" s="131"/>
      <c r="Q21" s="131"/>
    </row>
    <row r="22" spans="2:17" ht="19.5" x14ac:dyDescent="0.35">
      <c r="B22" s="114">
        <v>20</v>
      </c>
      <c r="C22" s="131"/>
      <c r="D22" s="131"/>
      <c r="E22" s="131"/>
      <c r="F22" s="131"/>
      <c r="G22" s="131"/>
      <c r="H22" s="131"/>
      <c r="I22" s="131"/>
      <c r="J22" s="131"/>
      <c r="K22" s="131"/>
      <c r="L22" s="131"/>
      <c r="M22" s="131"/>
      <c r="N22" s="131"/>
      <c r="O22" s="131"/>
      <c r="P22" s="131"/>
      <c r="Q22" s="131"/>
    </row>
    <row r="23" spans="2:17" ht="19.5" x14ac:dyDescent="0.35">
      <c r="B23" s="114">
        <v>21</v>
      </c>
      <c r="C23" s="131"/>
      <c r="D23" s="131"/>
      <c r="E23" s="131"/>
      <c r="F23" s="131"/>
      <c r="G23" s="131"/>
      <c r="H23" s="131"/>
      <c r="I23" s="131"/>
      <c r="J23" s="131"/>
      <c r="K23" s="131"/>
      <c r="L23" s="131"/>
      <c r="M23" s="131"/>
      <c r="N23" s="131"/>
      <c r="O23" s="131"/>
      <c r="P23" s="131"/>
      <c r="Q23" s="131"/>
    </row>
    <row r="24" spans="2:17" ht="19.5" x14ac:dyDescent="0.35">
      <c r="B24" s="114">
        <v>22</v>
      </c>
      <c r="C24" s="131"/>
      <c r="D24" s="131"/>
      <c r="E24" s="131"/>
      <c r="F24" s="131"/>
      <c r="G24" s="131"/>
      <c r="H24" s="131"/>
      <c r="I24" s="131"/>
      <c r="J24" s="131"/>
      <c r="K24" s="131"/>
      <c r="L24" s="131"/>
      <c r="M24" s="131"/>
      <c r="N24" s="131"/>
      <c r="O24" s="131"/>
      <c r="P24" s="131"/>
      <c r="Q24" s="131"/>
    </row>
    <row r="25" spans="2:17" ht="19.5" x14ac:dyDescent="0.35">
      <c r="B25" s="114">
        <v>23</v>
      </c>
      <c r="C25" s="131"/>
      <c r="D25" s="131"/>
      <c r="E25" s="131"/>
      <c r="F25" s="131"/>
      <c r="G25" s="131"/>
      <c r="H25" s="131"/>
      <c r="I25" s="131"/>
      <c r="J25" s="131"/>
      <c r="K25" s="131"/>
      <c r="L25" s="131"/>
      <c r="M25" s="131"/>
      <c r="N25" s="131"/>
      <c r="O25" s="131"/>
      <c r="P25" s="131"/>
      <c r="Q25" s="131"/>
    </row>
    <row r="26" spans="2:17" ht="19.5" x14ac:dyDescent="0.35">
      <c r="B26" s="114">
        <v>24</v>
      </c>
      <c r="C26" s="131"/>
      <c r="D26" s="131"/>
      <c r="E26" s="131"/>
      <c r="F26" s="131"/>
      <c r="G26" s="131"/>
      <c r="H26" s="131"/>
      <c r="I26" s="131"/>
      <c r="J26" s="131"/>
      <c r="K26" s="131"/>
      <c r="L26" s="131"/>
      <c r="M26" s="131"/>
      <c r="N26" s="131"/>
      <c r="O26" s="131"/>
      <c r="P26" s="131"/>
      <c r="Q26" s="131"/>
    </row>
    <row r="27" spans="2:17" ht="19.5" x14ac:dyDescent="0.35">
      <c r="B27" s="114">
        <v>25</v>
      </c>
      <c r="C27" s="131"/>
      <c r="D27" s="131"/>
      <c r="E27" s="131"/>
      <c r="F27" s="131"/>
      <c r="G27" s="131"/>
      <c r="H27" s="131"/>
      <c r="I27" s="131"/>
      <c r="J27" s="131"/>
      <c r="K27" s="131"/>
      <c r="L27" s="131"/>
      <c r="M27" s="131"/>
      <c r="N27" s="131"/>
      <c r="O27" s="131"/>
      <c r="P27" s="131"/>
      <c r="Q27" s="131"/>
    </row>
    <row r="28" spans="2:17" ht="19.5" x14ac:dyDescent="0.35">
      <c r="B28" s="114">
        <v>26</v>
      </c>
      <c r="C28" s="131"/>
      <c r="D28" s="131"/>
      <c r="E28" s="131"/>
      <c r="F28" s="131"/>
      <c r="G28" s="131"/>
      <c r="H28" s="131"/>
      <c r="I28" s="131"/>
      <c r="J28" s="131"/>
      <c r="K28" s="131"/>
      <c r="L28" s="131"/>
      <c r="M28" s="131"/>
      <c r="N28" s="131"/>
      <c r="O28" s="131"/>
      <c r="P28" s="131"/>
      <c r="Q28" s="131"/>
    </row>
    <row r="29" spans="2:17" ht="19.5" x14ac:dyDescent="0.35">
      <c r="B29" s="114">
        <v>27</v>
      </c>
      <c r="C29" s="131"/>
      <c r="D29" s="131"/>
      <c r="E29" s="131"/>
      <c r="F29" s="131"/>
      <c r="G29" s="131"/>
      <c r="H29" s="131"/>
      <c r="I29" s="131"/>
      <c r="J29" s="131"/>
      <c r="K29" s="131"/>
      <c r="L29" s="131"/>
      <c r="M29" s="131"/>
      <c r="N29" s="131"/>
      <c r="O29" s="131"/>
      <c r="P29" s="131"/>
      <c r="Q29" s="131"/>
    </row>
    <row r="30" spans="2:17" ht="19.5" x14ac:dyDescent="0.35">
      <c r="B30" s="114">
        <v>28</v>
      </c>
      <c r="C30" s="131"/>
      <c r="D30" s="131"/>
      <c r="E30" s="131"/>
      <c r="F30" s="131"/>
      <c r="G30" s="131"/>
      <c r="H30" s="131"/>
      <c r="I30" s="131"/>
      <c r="J30" s="131"/>
      <c r="K30" s="131"/>
      <c r="L30" s="131"/>
      <c r="M30" s="131"/>
      <c r="N30" s="131"/>
      <c r="O30" s="131"/>
      <c r="P30" s="131"/>
      <c r="Q30" s="131"/>
    </row>
    <row r="31" spans="2:17" ht="19.5" x14ac:dyDescent="0.35">
      <c r="B31" s="114">
        <v>29</v>
      </c>
      <c r="C31" s="131"/>
      <c r="D31" s="131"/>
      <c r="E31" s="131"/>
      <c r="F31" s="131"/>
      <c r="G31" s="131"/>
      <c r="H31" s="131"/>
      <c r="I31" s="131"/>
      <c r="J31" s="131"/>
      <c r="K31" s="131"/>
      <c r="L31" s="131"/>
      <c r="M31" s="131"/>
      <c r="N31" s="131"/>
      <c r="O31" s="131"/>
      <c r="P31" s="131"/>
      <c r="Q31" s="131"/>
    </row>
    <row r="32" spans="2:17" ht="19.5" x14ac:dyDescent="0.35">
      <c r="B32" s="114">
        <v>30</v>
      </c>
      <c r="C32" s="131"/>
      <c r="D32" s="131"/>
      <c r="E32" s="131"/>
      <c r="F32" s="131"/>
      <c r="G32" s="131"/>
      <c r="H32" s="131"/>
      <c r="I32" s="131"/>
      <c r="J32" s="131"/>
      <c r="K32" s="131"/>
      <c r="L32" s="131"/>
      <c r="M32" s="131"/>
      <c r="N32" s="131"/>
      <c r="O32" s="131"/>
      <c r="P32" s="131"/>
      <c r="Q32" s="131"/>
    </row>
    <row r="33" spans="2:17" ht="19.5" x14ac:dyDescent="0.35">
      <c r="B33" s="114">
        <v>31</v>
      </c>
      <c r="C33" s="131"/>
      <c r="D33" s="131"/>
      <c r="E33" s="131"/>
      <c r="F33" s="131"/>
      <c r="G33" s="131"/>
      <c r="H33" s="131"/>
      <c r="I33" s="131"/>
      <c r="J33" s="131"/>
      <c r="K33" s="131"/>
      <c r="L33" s="131"/>
      <c r="M33" s="131"/>
      <c r="N33" s="131"/>
      <c r="O33" s="131"/>
      <c r="P33" s="131"/>
      <c r="Q33" s="131"/>
    </row>
    <row r="34" spans="2:17" ht="19.5" x14ac:dyDescent="0.35">
      <c r="B34" s="114">
        <v>32</v>
      </c>
      <c r="C34" s="131"/>
      <c r="D34" s="131"/>
      <c r="E34" s="131"/>
      <c r="F34" s="131"/>
      <c r="G34" s="131"/>
      <c r="H34" s="131"/>
      <c r="I34" s="131"/>
      <c r="J34" s="131"/>
      <c r="K34" s="131"/>
      <c r="L34" s="131"/>
      <c r="M34" s="131"/>
      <c r="N34" s="131"/>
      <c r="O34" s="131"/>
      <c r="P34" s="131"/>
      <c r="Q34" s="131"/>
    </row>
    <row r="35" spans="2:17" ht="19.5" x14ac:dyDescent="0.35">
      <c r="B35" s="114">
        <v>33</v>
      </c>
      <c r="C35" s="131"/>
      <c r="D35" s="131"/>
      <c r="E35" s="131"/>
      <c r="F35" s="131"/>
      <c r="G35" s="131"/>
      <c r="H35" s="131"/>
      <c r="I35" s="131"/>
      <c r="J35" s="131"/>
      <c r="K35" s="131"/>
      <c r="L35" s="131"/>
      <c r="M35" s="131"/>
      <c r="N35" s="131"/>
      <c r="O35" s="131"/>
      <c r="P35" s="131"/>
      <c r="Q35" s="131"/>
    </row>
    <row r="36" spans="2:17" ht="19.5" x14ac:dyDescent="0.35">
      <c r="B36" s="114">
        <v>34</v>
      </c>
      <c r="C36" s="131"/>
      <c r="D36" s="131"/>
      <c r="E36" s="131"/>
      <c r="F36" s="131"/>
      <c r="G36" s="131"/>
      <c r="H36" s="131"/>
      <c r="I36" s="131"/>
      <c r="J36" s="131"/>
      <c r="K36" s="131"/>
      <c r="L36" s="131"/>
      <c r="M36" s="131"/>
      <c r="N36" s="131"/>
      <c r="O36" s="131"/>
      <c r="P36" s="131"/>
      <c r="Q36" s="131"/>
    </row>
    <row r="37" spans="2:17" ht="19.5" x14ac:dyDescent="0.35">
      <c r="B37" s="114">
        <v>35</v>
      </c>
      <c r="C37" s="131"/>
      <c r="D37" s="131"/>
      <c r="E37" s="131"/>
      <c r="F37" s="131"/>
      <c r="G37" s="131"/>
      <c r="H37" s="131"/>
      <c r="I37" s="131"/>
      <c r="J37" s="131"/>
      <c r="K37" s="131"/>
      <c r="L37" s="131"/>
      <c r="M37" s="131"/>
      <c r="N37" s="131"/>
      <c r="O37" s="131"/>
      <c r="P37" s="131"/>
      <c r="Q37" s="131"/>
    </row>
    <row r="38" spans="2:17" ht="19.5" x14ac:dyDescent="0.35">
      <c r="B38" s="114">
        <v>36</v>
      </c>
      <c r="C38" s="131"/>
      <c r="D38" s="131"/>
      <c r="E38" s="131"/>
      <c r="F38" s="131"/>
      <c r="G38" s="131"/>
      <c r="H38" s="131"/>
      <c r="I38" s="131"/>
      <c r="J38" s="131"/>
      <c r="K38" s="131"/>
      <c r="L38" s="131"/>
      <c r="M38" s="131"/>
      <c r="N38" s="131"/>
      <c r="O38" s="131"/>
      <c r="P38" s="131"/>
      <c r="Q38" s="131"/>
    </row>
    <row r="39" spans="2:17" ht="19.5" x14ac:dyDescent="0.35">
      <c r="B39" s="114">
        <v>37</v>
      </c>
      <c r="C39" s="131"/>
      <c r="D39" s="131"/>
      <c r="E39" s="131"/>
      <c r="F39" s="131"/>
      <c r="G39" s="131"/>
      <c r="H39" s="131"/>
      <c r="I39" s="131"/>
      <c r="J39" s="131"/>
      <c r="K39" s="131"/>
      <c r="L39" s="131"/>
      <c r="M39" s="131"/>
      <c r="N39" s="131"/>
      <c r="O39" s="131"/>
      <c r="P39" s="131"/>
      <c r="Q39" s="131"/>
    </row>
    <row r="40" spans="2:17" ht="19.5" x14ac:dyDescent="0.35">
      <c r="B40" s="114">
        <v>38</v>
      </c>
      <c r="C40" s="131"/>
      <c r="D40" s="131"/>
      <c r="E40" s="131"/>
      <c r="F40" s="131"/>
      <c r="G40" s="131"/>
      <c r="H40" s="131"/>
      <c r="I40" s="131"/>
      <c r="J40" s="131"/>
      <c r="K40" s="131"/>
      <c r="L40" s="131"/>
      <c r="M40" s="131"/>
      <c r="N40" s="131"/>
      <c r="O40" s="131"/>
      <c r="P40" s="131"/>
      <c r="Q40" s="131"/>
    </row>
    <row r="41" spans="2:17" ht="19.5" x14ac:dyDescent="0.35">
      <c r="B41" s="114">
        <v>39</v>
      </c>
      <c r="C41" s="131"/>
      <c r="D41" s="131"/>
      <c r="E41" s="131"/>
      <c r="F41" s="131"/>
      <c r="G41" s="131"/>
      <c r="H41" s="131"/>
      <c r="I41" s="131"/>
      <c r="J41" s="131"/>
      <c r="K41" s="131"/>
      <c r="L41" s="131"/>
      <c r="M41" s="131"/>
      <c r="N41" s="131"/>
      <c r="O41" s="131"/>
      <c r="P41" s="131"/>
      <c r="Q41" s="131"/>
    </row>
    <row r="42" spans="2:17" ht="19.5" x14ac:dyDescent="0.35">
      <c r="B42" s="114">
        <v>40</v>
      </c>
      <c r="C42" s="131"/>
      <c r="D42" s="131"/>
      <c r="E42" s="131"/>
      <c r="F42" s="131"/>
      <c r="G42" s="131"/>
      <c r="H42" s="131"/>
      <c r="I42" s="131"/>
      <c r="J42" s="131"/>
      <c r="K42" s="131"/>
      <c r="L42" s="131"/>
      <c r="M42" s="131"/>
      <c r="N42" s="131"/>
      <c r="O42" s="131"/>
      <c r="P42" s="131"/>
      <c r="Q42" s="131"/>
    </row>
    <row r="43" spans="2:17" ht="19.5" x14ac:dyDescent="0.35">
      <c r="B43" s="114">
        <v>41</v>
      </c>
      <c r="C43" s="131"/>
      <c r="D43" s="131"/>
      <c r="E43" s="131"/>
      <c r="F43" s="131"/>
      <c r="G43" s="131"/>
      <c r="H43" s="131"/>
      <c r="I43" s="131"/>
      <c r="J43" s="131"/>
      <c r="K43" s="131"/>
      <c r="L43" s="131"/>
      <c r="M43" s="131"/>
      <c r="N43" s="131"/>
      <c r="O43" s="131"/>
      <c r="P43" s="131"/>
      <c r="Q43" s="131"/>
    </row>
    <row r="44" spans="2:17" ht="19.5" x14ac:dyDescent="0.35">
      <c r="B44" s="114">
        <v>42</v>
      </c>
      <c r="C44" s="131"/>
      <c r="D44" s="131"/>
      <c r="E44" s="131"/>
      <c r="F44" s="131"/>
      <c r="G44" s="131"/>
      <c r="H44" s="131"/>
      <c r="I44" s="131"/>
      <c r="J44" s="131"/>
      <c r="K44" s="131"/>
      <c r="L44" s="131"/>
      <c r="M44" s="131"/>
      <c r="N44" s="131"/>
      <c r="O44" s="131"/>
      <c r="P44" s="131"/>
      <c r="Q44" s="131"/>
    </row>
    <row r="45" spans="2:17" ht="19.5" x14ac:dyDescent="0.35">
      <c r="B45" s="114">
        <v>43</v>
      </c>
      <c r="C45" s="131"/>
      <c r="D45" s="131"/>
      <c r="E45" s="131"/>
      <c r="F45" s="131"/>
      <c r="G45" s="131"/>
      <c r="H45" s="131"/>
      <c r="I45" s="131"/>
      <c r="J45" s="131"/>
      <c r="K45" s="131"/>
      <c r="L45" s="131"/>
      <c r="M45" s="131"/>
      <c r="N45" s="131"/>
      <c r="O45" s="131"/>
      <c r="P45" s="131"/>
      <c r="Q45" s="131"/>
    </row>
    <row r="46" spans="2:17" ht="19.5" x14ac:dyDescent="0.35">
      <c r="B46" s="114">
        <v>44</v>
      </c>
      <c r="C46" s="131"/>
      <c r="D46" s="131"/>
      <c r="E46" s="131"/>
      <c r="F46" s="131"/>
      <c r="G46" s="131"/>
      <c r="H46" s="131"/>
      <c r="I46" s="131"/>
      <c r="J46" s="131"/>
      <c r="K46" s="131"/>
      <c r="L46" s="131"/>
      <c r="M46" s="131"/>
      <c r="N46" s="131"/>
      <c r="O46" s="131"/>
      <c r="P46" s="131"/>
      <c r="Q46" s="131"/>
    </row>
    <row r="47" spans="2:17" ht="19.5" x14ac:dyDescent="0.35">
      <c r="B47" s="114">
        <v>45</v>
      </c>
      <c r="C47" s="131"/>
      <c r="D47" s="131"/>
      <c r="E47" s="131"/>
      <c r="F47" s="131"/>
      <c r="G47" s="131"/>
      <c r="H47" s="131"/>
      <c r="I47" s="131"/>
      <c r="J47" s="131"/>
      <c r="K47" s="131"/>
      <c r="L47" s="131"/>
      <c r="M47" s="131"/>
      <c r="N47" s="131"/>
      <c r="O47" s="131"/>
      <c r="P47" s="131"/>
      <c r="Q47" s="131"/>
    </row>
    <row r="48" spans="2:17" ht="19.5" x14ac:dyDescent="0.35">
      <c r="B48" s="114">
        <v>46</v>
      </c>
      <c r="C48" s="131"/>
      <c r="D48" s="131"/>
      <c r="E48" s="131"/>
      <c r="F48" s="131"/>
      <c r="G48" s="131"/>
      <c r="H48" s="131"/>
      <c r="I48" s="131"/>
      <c r="J48" s="131"/>
      <c r="K48" s="131"/>
      <c r="L48" s="131"/>
      <c r="M48" s="131"/>
      <c r="N48" s="131"/>
      <c r="O48" s="131"/>
      <c r="P48" s="131"/>
      <c r="Q48" s="131"/>
    </row>
    <row r="49" spans="2:17" ht="19.5" x14ac:dyDescent="0.35">
      <c r="B49" s="114">
        <v>47</v>
      </c>
      <c r="C49" s="131"/>
      <c r="D49" s="131"/>
      <c r="E49" s="131"/>
      <c r="F49" s="131"/>
      <c r="G49" s="131"/>
      <c r="H49" s="131"/>
      <c r="I49" s="131"/>
      <c r="J49" s="131"/>
      <c r="K49" s="131"/>
      <c r="L49" s="131"/>
      <c r="M49" s="131"/>
      <c r="N49" s="131"/>
      <c r="O49" s="131"/>
      <c r="P49" s="131"/>
      <c r="Q49" s="131"/>
    </row>
    <row r="50" spans="2:17" ht="19.5" x14ac:dyDescent="0.35">
      <c r="B50" s="114">
        <v>48</v>
      </c>
      <c r="C50" s="131"/>
      <c r="D50" s="131"/>
      <c r="E50" s="131"/>
      <c r="F50" s="131"/>
      <c r="G50" s="131"/>
      <c r="H50" s="131"/>
      <c r="I50" s="131"/>
      <c r="J50" s="131"/>
      <c r="K50" s="131"/>
      <c r="L50" s="131"/>
      <c r="M50" s="131"/>
      <c r="N50" s="131"/>
      <c r="O50" s="131"/>
      <c r="P50" s="131"/>
      <c r="Q50" s="131"/>
    </row>
    <row r="51" spans="2:17" ht="19.5" x14ac:dyDescent="0.35">
      <c r="B51" s="114">
        <v>49</v>
      </c>
      <c r="C51" s="131"/>
      <c r="D51" s="131"/>
      <c r="E51" s="131"/>
      <c r="F51" s="131"/>
      <c r="G51" s="131"/>
      <c r="H51" s="131"/>
      <c r="I51" s="131"/>
      <c r="J51" s="131"/>
      <c r="K51" s="131"/>
      <c r="L51" s="131"/>
      <c r="M51" s="131"/>
      <c r="N51" s="131"/>
      <c r="O51" s="131"/>
      <c r="P51" s="131"/>
      <c r="Q51" s="131"/>
    </row>
    <row r="52" spans="2:17" ht="19.5" x14ac:dyDescent="0.35">
      <c r="B52" s="114">
        <v>50</v>
      </c>
      <c r="C52" s="131"/>
      <c r="D52" s="131"/>
      <c r="E52" s="131"/>
      <c r="F52" s="131"/>
      <c r="G52" s="131"/>
      <c r="H52" s="131"/>
      <c r="I52" s="131"/>
      <c r="J52" s="131"/>
      <c r="K52" s="131"/>
      <c r="L52" s="131"/>
      <c r="M52" s="131"/>
      <c r="N52" s="131"/>
      <c r="O52" s="131"/>
      <c r="P52" s="131"/>
      <c r="Q52" s="131"/>
    </row>
    <row r="53" spans="2:17" ht="19.5" x14ac:dyDescent="0.35">
      <c r="B53" s="114">
        <v>51</v>
      </c>
      <c r="C53" s="131"/>
      <c r="D53" s="131"/>
      <c r="E53" s="131"/>
      <c r="F53" s="131"/>
      <c r="G53" s="131"/>
      <c r="H53" s="131"/>
      <c r="I53" s="131"/>
      <c r="J53" s="131"/>
      <c r="K53" s="131"/>
      <c r="L53" s="131"/>
      <c r="M53" s="131"/>
      <c r="N53" s="131"/>
      <c r="O53" s="131"/>
      <c r="P53" s="131"/>
      <c r="Q53" s="131"/>
    </row>
    <row r="54" spans="2:17" ht="19.5" x14ac:dyDescent="0.35">
      <c r="B54" s="114">
        <v>52</v>
      </c>
      <c r="C54" s="131"/>
      <c r="D54" s="131"/>
      <c r="E54" s="131"/>
      <c r="F54" s="131"/>
      <c r="G54" s="131"/>
      <c r="H54" s="131"/>
      <c r="I54" s="131"/>
      <c r="J54" s="131"/>
      <c r="K54" s="131"/>
      <c r="L54" s="131"/>
      <c r="M54" s="131"/>
      <c r="N54" s="131"/>
      <c r="O54" s="131"/>
      <c r="P54" s="131"/>
      <c r="Q54" s="131"/>
    </row>
    <row r="55" spans="2:17" ht="19.5" x14ac:dyDescent="0.35">
      <c r="B55" s="114">
        <v>53</v>
      </c>
      <c r="C55" s="131"/>
      <c r="D55" s="131"/>
      <c r="E55" s="131"/>
      <c r="F55" s="131"/>
      <c r="G55" s="131"/>
      <c r="H55" s="131"/>
      <c r="I55" s="131"/>
      <c r="J55" s="131"/>
      <c r="K55" s="131"/>
      <c r="L55" s="131"/>
      <c r="M55" s="131"/>
      <c r="N55" s="131"/>
      <c r="O55" s="131"/>
      <c r="P55" s="131"/>
      <c r="Q55" s="131"/>
    </row>
    <row r="56" spans="2:17" ht="19.5" x14ac:dyDescent="0.35">
      <c r="B56" s="114">
        <v>54</v>
      </c>
      <c r="C56" s="131"/>
      <c r="D56" s="131"/>
      <c r="E56" s="131"/>
      <c r="F56" s="131"/>
      <c r="G56" s="131"/>
      <c r="H56" s="131"/>
      <c r="I56" s="131"/>
      <c r="J56" s="131"/>
      <c r="K56" s="131"/>
      <c r="L56" s="131"/>
      <c r="M56" s="131"/>
      <c r="N56" s="131"/>
      <c r="O56" s="131"/>
      <c r="P56" s="131"/>
      <c r="Q56" s="131"/>
    </row>
    <row r="57" spans="2:17" ht="19.5" x14ac:dyDescent="0.35">
      <c r="B57" s="114">
        <v>55</v>
      </c>
      <c r="C57" s="131"/>
      <c r="D57" s="131"/>
      <c r="E57" s="131"/>
      <c r="F57" s="131"/>
      <c r="G57" s="131"/>
      <c r="H57" s="131"/>
      <c r="I57" s="131"/>
      <c r="J57" s="131"/>
      <c r="K57" s="131"/>
      <c r="L57" s="131"/>
      <c r="M57" s="131"/>
      <c r="N57" s="131"/>
      <c r="O57" s="131"/>
      <c r="P57" s="131"/>
      <c r="Q57" s="131"/>
    </row>
    <row r="58" spans="2:17" ht="19.5" x14ac:dyDescent="0.35">
      <c r="B58" s="114">
        <v>56</v>
      </c>
      <c r="C58" s="131"/>
      <c r="D58" s="131"/>
      <c r="E58" s="131"/>
      <c r="F58" s="131"/>
      <c r="G58" s="131"/>
      <c r="H58" s="131"/>
      <c r="I58" s="131"/>
      <c r="J58" s="131"/>
      <c r="K58" s="131"/>
      <c r="L58" s="131"/>
      <c r="M58" s="131"/>
      <c r="N58" s="131"/>
      <c r="O58" s="131"/>
      <c r="P58" s="131"/>
      <c r="Q58" s="131"/>
    </row>
    <row r="59" spans="2:17" ht="19.5" x14ac:dyDescent="0.35">
      <c r="B59" s="114">
        <v>57</v>
      </c>
      <c r="C59" s="131"/>
      <c r="D59" s="131"/>
      <c r="E59" s="131"/>
      <c r="F59" s="131"/>
      <c r="G59" s="131"/>
      <c r="H59" s="131"/>
      <c r="I59" s="131"/>
      <c r="J59" s="131"/>
      <c r="K59" s="131"/>
      <c r="L59" s="131"/>
      <c r="M59" s="131"/>
      <c r="N59" s="131"/>
      <c r="O59" s="131"/>
      <c r="P59" s="131"/>
      <c r="Q59" s="131"/>
    </row>
    <row r="60" spans="2:17" ht="19.5" x14ac:dyDescent="0.35">
      <c r="B60" s="114">
        <v>58</v>
      </c>
      <c r="C60" s="131"/>
      <c r="D60" s="131"/>
      <c r="E60" s="131"/>
      <c r="F60" s="131"/>
      <c r="G60" s="131"/>
      <c r="H60" s="131"/>
      <c r="I60" s="131"/>
      <c r="J60" s="131"/>
      <c r="K60" s="131"/>
      <c r="L60" s="131"/>
      <c r="M60" s="131"/>
      <c r="N60" s="131"/>
      <c r="O60" s="131"/>
      <c r="P60" s="131"/>
      <c r="Q60" s="131"/>
    </row>
    <row r="61" spans="2:17" ht="19.5" x14ac:dyDescent="0.35">
      <c r="B61" s="114">
        <v>59</v>
      </c>
      <c r="C61" s="131"/>
      <c r="D61" s="131"/>
      <c r="E61" s="131"/>
      <c r="F61" s="131"/>
      <c r="G61" s="131"/>
      <c r="H61" s="131"/>
      <c r="I61" s="131"/>
      <c r="J61" s="131"/>
      <c r="K61" s="131"/>
      <c r="L61" s="131"/>
      <c r="M61" s="131"/>
      <c r="N61" s="131"/>
      <c r="O61" s="131"/>
      <c r="P61" s="131"/>
      <c r="Q61" s="131"/>
    </row>
    <row r="62" spans="2:17" ht="19.5" x14ac:dyDescent="0.35">
      <c r="B62" s="114">
        <v>60</v>
      </c>
      <c r="C62" s="131"/>
      <c r="D62" s="131"/>
      <c r="E62" s="131"/>
      <c r="F62" s="131"/>
      <c r="G62" s="131"/>
      <c r="H62" s="131"/>
      <c r="I62" s="131"/>
      <c r="J62" s="131"/>
      <c r="K62" s="131"/>
      <c r="L62" s="131"/>
      <c r="M62" s="131"/>
      <c r="N62" s="131"/>
      <c r="O62" s="131"/>
      <c r="P62" s="131"/>
      <c r="Q62" s="131"/>
    </row>
    <row r="63" spans="2:17" ht="19.5" x14ac:dyDescent="0.35">
      <c r="B63" s="114">
        <v>61</v>
      </c>
      <c r="C63" s="131"/>
      <c r="D63" s="131"/>
      <c r="E63" s="131"/>
      <c r="F63" s="131"/>
      <c r="G63" s="131"/>
      <c r="H63" s="131"/>
      <c r="I63" s="131"/>
      <c r="J63" s="131"/>
      <c r="K63" s="131"/>
      <c r="L63" s="131"/>
      <c r="M63" s="131"/>
      <c r="N63" s="131"/>
      <c r="O63" s="131"/>
      <c r="P63" s="131"/>
      <c r="Q63" s="131"/>
    </row>
    <row r="64" spans="2:17" ht="19.5" x14ac:dyDescent="0.35">
      <c r="B64" s="114">
        <v>62</v>
      </c>
      <c r="C64" s="131"/>
      <c r="D64" s="131"/>
      <c r="E64" s="131"/>
      <c r="F64" s="131"/>
      <c r="G64" s="131"/>
      <c r="H64" s="131"/>
      <c r="I64" s="131"/>
      <c r="J64" s="131"/>
      <c r="K64" s="131"/>
      <c r="L64" s="131"/>
      <c r="M64" s="131"/>
      <c r="N64" s="131"/>
      <c r="O64" s="131"/>
      <c r="P64" s="131"/>
      <c r="Q64" s="131"/>
    </row>
    <row r="65" spans="2:17" ht="19.5" x14ac:dyDescent="0.35">
      <c r="B65" s="114">
        <v>63</v>
      </c>
      <c r="C65" s="131"/>
      <c r="D65" s="131"/>
      <c r="E65" s="131"/>
      <c r="F65" s="131"/>
      <c r="G65" s="131"/>
      <c r="H65" s="131"/>
      <c r="I65" s="131"/>
      <c r="J65" s="131"/>
      <c r="K65" s="131"/>
      <c r="L65" s="131"/>
      <c r="M65" s="131"/>
      <c r="N65" s="131"/>
      <c r="O65" s="131"/>
      <c r="P65" s="131"/>
      <c r="Q65" s="131"/>
    </row>
    <row r="66" spans="2:17" ht="19.5" x14ac:dyDescent="0.35">
      <c r="B66" s="114">
        <v>64</v>
      </c>
      <c r="C66" s="131"/>
      <c r="D66" s="131"/>
      <c r="E66" s="131"/>
      <c r="F66" s="131"/>
      <c r="G66" s="131"/>
      <c r="H66" s="131"/>
      <c r="I66" s="131"/>
      <c r="J66" s="131"/>
      <c r="K66" s="131"/>
      <c r="L66" s="131"/>
      <c r="M66" s="131"/>
      <c r="N66" s="131"/>
      <c r="O66" s="131"/>
      <c r="P66" s="131"/>
      <c r="Q66" s="131"/>
    </row>
    <row r="67" spans="2:17" ht="19.5" x14ac:dyDescent="0.35">
      <c r="B67" s="114">
        <v>65</v>
      </c>
      <c r="C67" s="131"/>
      <c r="D67" s="131"/>
      <c r="E67" s="131"/>
      <c r="F67" s="131"/>
      <c r="G67" s="131"/>
      <c r="H67" s="131"/>
      <c r="I67" s="131"/>
      <c r="J67" s="131"/>
      <c r="K67" s="131"/>
      <c r="L67" s="131"/>
      <c r="M67" s="131"/>
      <c r="N67" s="131"/>
      <c r="O67" s="131"/>
      <c r="P67" s="131"/>
      <c r="Q67" s="131"/>
    </row>
    <row r="68" spans="2:17" ht="19.5" x14ac:dyDescent="0.35">
      <c r="B68" s="114">
        <v>66</v>
      </c>
      <c r="C68" s="131"/>
      <c r="D68" s="131"/>
      <c r="E68" s="131"/>
      <c r="F68" s="131"/>
      <c r="G68" s="131"/>
      <c r="H68" s="131"/>
      <c r="I68" s="131"/>
      <c r="J68" s="131"/>
      <c r="K68" s="131"/>
      <c r="L68" s="131"/>
      <c r="M68" s="131"/>
      <c r="N68" s="131"/>
      <c r="O68" s="131"/>
      <c r="P68" s="131"/>
      <c r="Q68" s="131"/>
    </row>
    <row r="69" spans="2:17" ht="19.5" x14ac:dyDescent="0.35">
      <c r="B69" s="114">
        <v>67</v>
      </c>
      <c r="C69" s="131"/>
      <c r="D69" s="131"/>
      <c r="E69" s="131"/>
      <c r="F69" s="131"/>
      <c r="G69" s="131"/>
      <c r="H69" s="131"/>
      <c r="I69" s="131"/>
      <c r="J69" s="131"/>
      <c r="K69" s="131"/>
      <c r="L69" s="131"/>
      <c r="M69" s="131"/>
      <c r="N69" s="131"/>
      <c r="O69" s="131"/>
      <c r="P69" s="131"/>
      <c r="Q69" s="131"/>
    </row>
    <row r="70" spans="2:17" ht="19.5" x14ac:dyDescent="0.35">
      <c r="B70" s="114">
        <v>68</v>
      </c>
      <c r="C70" s="131"/>
      <c r="D70" s="131"/>
      <c r="E70" s="131"/>
      <c r="F70" s="131"/>
      <c r="G70" s="131"/>
      <c r="H70" s="131"/>
      <c r="I70" s="131"/>
      <c r="J70" s="131"/>
      <c r="K70" s="131"/>
      <c r="L70" s="131"/>
      <c r="M70" s="131"/>
      <c r="N70" s="131"/>
      <c r="O70" s="131"/>
      <c r="P70" s="131"/>
      <c r="Q70" s="131"/>
    </row>
    <row r="71" spans="2:17" ht="19.5" x14ac:dyDescent="0.35">
      <c r="B71" s="114">
        <v>69</v>
      </c>
      <c r="C71" s="131"/>
      <c r="D71" s="131"/>
      <c r="E71" s="131"/>
      <c r="F71" s="131"/>
      <c r="G71" s="131"/>
      <c r="H71" s="131"/>
      <c r="I71" s="131"/>
      <c r="J71" s="131"/>
      <c r="K71" s="131"/>
      <c r="L71" s="131"/>
      <c r="M71" s="131"/>
      <c r="N71" s="131"/>
      <c r="O71" s="131"/>
      <c r="P71" s="131"/>
      <c r="Q71" s="131"/>
    </row>
    <row r="72" spans="2:17" ht="19.5" x14ac:dyDescent="0.35">
      <c r="B72" s="114">
        <v>70</v>
      </c>
      <c r="C72" s="131"/>
      <c r="D72" s="131"/>
      <c r="E72" s="131"/>
      <c r="F72" s="131"/>
      <c r="G72" s="131"/>
      <c r="H72" s="131"/>
      <c r="I72" s="131"/>
      <c r="J72" s="131"/>
      <c r="K72" s="131"/>
      <c r="L72" s="131"/>
      <c r="M72" s="131"/>
      <c r="N72" s="131"/>
      <c r="O72" s="131"/>
      <c r="P72" s="131"/>
      <c r="Q72" s="131"/>
    </row>
    <row r="73" spans="2:17" ht="19.5" x14ac:dyDescent="0.35">
      <c r="B73" s="114">
        <v>71</v>
      </c>
      <c r="C73" s="131"/>
      <c r="D73" s="131"/>
      <c r="E73" s="131"/>
      <c r="F73" s="131"/>
      <c r="G73" s="131"/>
      <c r="H73" s="131"/>
      <c r="I73" s="131"/>
      <c r="J73" s="131"/>
      <c r="K73" s="131"/>
      <c r="L73" s="131"/>
      <c r="M73" s="131"/>
      <c r="N73" s="131"/>
      <c r="O73" s="131"/>
      <c r="P73" s="131"/>
      <c r="Q73" s="131"/>
    </row>
    <row r="74" spans="2:17" ht="19.5" x14ac:dyDescent="0.35">
      <c r="B74" s="114">
        <v>72</v>
      </c>
      <c r="C74" s="131"/>
      <c r="D74" s="131"/>
      <c r="E74" s="131"/>
      <c r="F74" s="131"/>
      <c r="G74" s="131"/>
      <c r="H74" s="131"/>
      <c r="I74" s="131"/>
      <c r="J74" s="131"/>
      <c r="K74" s="131"/>
      <c r="L74" s="131"/>
      <c r="M74" s="131"/>
      <c r="N74" s="131"/>
      <c r="O74" s="131"/>
      <c r="P74" s="131"/>
      <c r="Q74" s="131"/>
    </row>
    <row r="75" spans="2:17" ht="19.5" x14ac:dyDescent="0.35">
      <c r="B75" s="114">
        <v>73</v>
      </c>
      <c r="C75" s="131"/>
      <c r="D75" s="131"/>
      <c r="E75" s="131"/>
      <c r="F75" s="131"/>
      <c r="G75" s="131"/>
      <c r="H75" s="131"/>
      <c r="I75" s="131"/>
      <c r="J75" s="131"/>
      <c r="K75" s="131"/>
      <c r="L75" s="131"/>
      <c r="M75" s="131"/>
      <c r="N75" s="131"/>
      <c r="O75" s="131"/>
      <c r="P75" s="131"/>
      <c r="Q75" s="13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9BEEA-CB42-4F5B-AEDB-1DBF2EFD5475}">
  <dimension ref="A1:R37"/>
  <sheetViews>
    <sheetView topLeftCell="A26" zoomScale="70" zoomScaleNormal="70" workbookViewId="0">
      <selection activeCell="C32" sqref="C32:R34"/>
    </sheetView>
  </sheetViews>
  <sheetFormatPr defaultRowHeight="15" x14ac:dyDescent="0.25"/>
  <cols>
    <col min="4" max="4" width="13.5703125" customWidth="1"/>
    <col min="5" max="5" width="12.7109375" style="235" customWidth="1"/>
    <col min="7" max="7" width="31.5703125" customWidth="1"/>
    <col min="8" max="8" width="10" customWidth="1"/>
    <col min="9" max="9" width="14.85546875" customWidth="1"/>
    <col min="10" max="11" width="23.5703125" customWidth="1"/>
    <col min="12" max="17" width="8.42578125" customWidth="1"/>
  </cols>
  <sheetData>
    <row r="1" spans="1:18" ht="19.5" x14ac:dyDescent="0.35">
      <c r="A1" s="131" t="s">
        <v>4965</v>
      </c>
      <c r="B1" s="131"/>
      <c r="C1" s="131"/>
      <c r="D1" s="131"/>
      <c r="E1" s="233"/>
      <c r="F1" s="131"/>
      <c r="G1" s="131"/>
      <c r="H1" s="131"/>
      <c r="I1" s="131"/>
      <c r="J1" s="131"/>
      <c r="K1" s="131"/>
      <c r="L1" s="131"/>
      <c r="M1" s="131"/>
      <c r="N1" s="131"/>
      <c r="O1" s="131"/>
      <c r="P1" s="131"/>
      <c r="Q1" s="131"/>
    </row>
    <row r="2" spans="1:18" ht="105" x14ac:dyDescent="0.35">
      <c r="A2" s="131"/>
      <c r="B2" s="215" t="s">
        <v>76</v>
      </c>
      <c r="C2" s="216" t="s">
        <v>77</v>
      </c>
      <c r="D2" s="217" t="s">
        <v>78</v>
      </c>
      <c r="E2" s="218" t="s">
        <v>79</v>
      </c>
      <c r="F2" s="217" t="s">
        <v>80</v>
      </c>
      <c r="G2" s="217" t="s">
        <v>81</v>
      </c>
      <c r="H2" s="219" t="s">
        <v>82</v>
      </c>
      <c r="I2" s="219" t="s">
        <v>5887</v>
      </c>
      <c r="J2" s="217" t="s">
        <v>83</v>
      </c>
      <c r="K2" s="217" t="s">
        <v>84</v>
      </c>
      <c r="L2" s="217" t="s">
        <v>85</v>
      </c>
      <c r="M2" s="217" t="s">
        <v>86</v>
      </c>
      <c r="N2" s="217" t="s">
        <v>91</v>
      </c>
      <c r="O2" s="217" t="s">
        <v>87</v>
      </c>
      <c r="P2" s="217" t="s">
        <v>90</v>
      </c>
      <c r="Q2" s="217" t="s">
        <v>88</v>
      </c>
      <c r="R2" s="220" t="s">
        <v>89</v>
      </c>
    </row>
    <row r="3" spans="1:18" ht="72" x14ac:dyDescent="0.25">
      <c r="B3" s="221">
        <v>1</v>
      </c>
      <c r="C3" s="222" t="s">
        <v>5725</v>
      </c>
      <c r="D3" s="222" t="s">
        <v>5725</v>
      </c>
      <c r="E3" s="223">
        <v>45385</v>
      </c>
      <c r="F3" s="225" t="s">
        <v>5833</v>
      </c>
      <c r="G3" s="225" t="s">
        <v>5865</v>
      </c>
      <c r="H3" s="225"/>
      <c r="I3" s="225"/>
      <c r="J3" s="225"/>
      <c r="K3" s="225" t="s">
        <v>20</v>
      </c>
      <c r="L3" s="225" t="s">
        <v>20</v>
      </c>
      <c r="M3" s="225" t="s">
        <v>341</v>
      </c>
      <c r="N3" s="225" t="s">
        <v>341</v>
      </c>
      <c r="O3" s="225" t="s">
        <v>341</v>
      </c>
      <c r="P3" s="225" t="s">
        <v>341</v>
      </c>
      <c r="Q3" s="225" t="s">
        <v>341</v>
      </c>
      <c r="R3" s="227" t="s">
        <v>341</v>
      </c>
    </row>
    <row r="4" spans="1:18" ht="54" x14ac:dyDescent="0.25">
      <c r="B4" s="221">
        <v>2</v>
      </c>
      <c r="C4" s="222" t="s">
        <v>5725</v>
      </c>
      <c r="D4" s="222" t="s">
        <v>5725</v>
      </c>
      <c r="E4" s="223">
        <v>45386</v>
      </c>
      <c r="F4" s="225" t="s">
        <v>5800</v>
      </c>
      <c r="G4" s="225" t="s">
        <v>5853</v>
      </c>
      <c r="H4" s="225"/>
      <c r="I4" s="225"/>
      <c r="J4" s="225"/>
      <c r="K4" s="225" t="s">
        <v>20</v>
      </c>
      <c r="L4" s="225" t="s">
        <v>20</v>
      </c>
      <c r="M4" s="225" t="s">
        <v>341</v>
      </c>
      <c r="N4" s="225" t="s">
        <v>341</v>
      </c>
      <c r="O4" s="225" t="s">
        <v>341</v>
      </c>
      <c r="P4" s="225" t="s">
        <v>341</v>
      </c>
      <c r="Q4" s="225" t="s">
        <v>341</v>
      </c>
      <c r="R4" s="227" t="s">
        <v>341</v>
      </c>
    </row>
    <row r="5" spans="1:18" ht="75" customHeight="1" x14ac:dyDescent="0.25">
      <c r="B5" s="221">
        <v>3</v>
      </c>
      <c r="C5" s="222" t="s">
        <v>5725</v>
      </c>
      <c r="D5" s="222" t="s">
        <v>5725</v>
      </c>
      <c r="E5" s="223">
        <v>45389</v>
      </c>
      <c r="F5" s="225" t="s">
        <v>5459</v>
      </c>
      <c r="G5" s="225" t="s">
        <v>5854</v>
      </c>
      <c r="H5" s="225"/>
      <c r="I5" s="225"/>
      <c r="J5" s="225"/>
      <c r="K5" s="225" t="s">
        <v>20</v>
      </c>
      <c r="L5" s="225" t="s">
        <v>20</v>
      </c>
      <c r="M5" s="225" t="s">
        <v>341</v>
      </c>
      <c r="N5" s="225" t="s">
        <v>341</v>
      </c>
      <c r="O5" s="225" t="s">
        <v>341</v>
      </c>
      <c r="P5" s="225" t="s">
        <v>341</v>
      </c>
      <c r="Q5" s="225" t="s">
        <v>341</v>
      </c>
      <c r="R5" s="227" t="s">
        <v>341</v>
      </c>
    </row>
    <row r="6" spans="1:18" ht="54" x14ac:dyDescent="0.25">
      <c r="B6" s="221">
        <v>4</v>
      </c>
      <c r="C6" s="222" t="s">
        <v>5725</v>
      </c>
      <c r="D6" s="222" t="s">
        <v>5725</v>
      </c>
      <c r="E6" s="223">
        <v>45390</v>
      </c>
      <c r="F6" s="224">
        <v>0.52013888888888893</v>
      </c>
      <c r="G6" s="225" t="s">
        <v>5818</v>
      </c>
      <c r="H6" s="225" t="s">
        <v>406</v>
      </c>
      <c r="I6" s="225"/>
      <c r="J6" s="225" t="s">
        <v>5819</v>
      </c>
      <c r="K6" s="225" t="s">
        <v>225</v>
      </c>
      <c r="L6" s="226">
        <v>300000</v>
      </c>
      <c r="M6" s="225" t="s">
        <v>341</v>
      </c>
      <c r="N6" s="225" t="s">
        <v>341</v>
      </c>
      <c r="O6" s="225" t="s">
        <v>341</v>
      </c>
      <c r="P6" s="225" t="s">
        <v>341</v>
      </c>
      <c r="Q6" s="225" t="s">
        <v>341</v>
      </c>
      <c r="R6" s="227" t="s">
        <v>341</v>
      </c>
    </row>
    <row r="7" spans="1:18" ht="54" x14ac:dyDescent="0.25">
      <c r="B7" s="221">
        <v>5</v>
      </c>
      <c r="C7" s="222" t="s">
        <v>5725</v>
      </c>
      <c r="D7" s="222" t="s">
        <v>5725</v>
      </c>
      <c r="E7" s="223">
        <v>45390</v>
      </c>
      <c r="F7" s="225" t="s">
        <v>5801</v>
      </c>
      <c r="G7" s="225" t="s">
        <v>5855</v>
      </c>
      <c r="H7" s="225"/>
      <c r="I7" s="225"/>
      <c r="J7" s="225"/>
      <c r="K7" s="225" t="s">
        <v>20</v>
      </c>
      <c r="L7" s="225" t="s">
        <v>20</v>
      </c>
      <c r="M7" s="225" t="s">
        <v>341</v>
      </c>
      <c r="N7" s="225" t="s">
        <v>341</v>
      </c>
      <c r="O7" s="225" t="s">
        <v>341</v>
      </c>
      <c r="P7" s="225" t="s">
        <v>341</v>
      </c>
      <c r="Q7" s="225" t="s">
        <v>341</v>
      </c>
      <c r="R7" s="227" t="s">
        <v>341</v>
      </c>
    </row>
    <row r="8" spans="1:18" ht="54" x14ac:dyDescent="0.25">
      <c r="B8" s="221">
        <v>6</v>
      </c>
      <c r="C8" s="222" t="s">
        <v>5725</v>
      </c>
      <c r="D8" s="222" t="s">
        <v>5725</v>
      </c>
      <c r="E8" s="223">
        <v>45390</v>
      </c>
      <c r="F8" s="225" t="s">
        <v>5802</v>
      </c>
      <c r="G8" s="225" t="s">
        <v>5856</v>
      </c>
      <c r="H8" s="225"/>
      <c r="I8" s="225"/>
      <c r="J8" s="225"/>
      <c r="K8" s="225" t="s">
        <v>20</v>
      </c>
      <c r="L8" s="225" t="s">
        <v>20</v>
      </c>
      <c r="M8" s="225" t="s">
        <v>341</v>
      </c>
      <c r="N8" s="225" t="s">
        <v>341</v>
      </c>
      <c r="O8" s="225" t="s">
        <v>341</v>
      </c>
      <c r="P8" s="225" t="s">
        <v>341</v>
      </c>
      <c r="Q8" s="225" t="s">
        <v>341</v>
      </c>
      <c r="R8" s="227" t="s">
        <v>341</v>
      </c>
    </row>
    <row r="9" spans="1:18" ht="72" x14ac:dyDescent="0.25">
      <c r="B9" s="221">
        <v>7</v>
      </c>
      <c r="C9" s="222" t="s">
        <v>5725</v>
      </c>
      <c r="D9" s="222" t="s">
        <v>5725</v>
      </c>
      <c r="E9" s="223">
        <v>45391</v>
      </c>
      <c r="F9" s="225" t="s">
        <v>5803</v>
      </c>
      <c r="G9" s="225" t="s">
        <v>5857</v>
      </c>
      <c r="H9" s="225"/>
      <c r="I9" s="225"/>
      <c r="J9" s="225"/>
      <c r="K9" s="225" t="s">
        <v>20</v>
      </c>
      <c r="L9" s="225" t="s">
        <v>20</v>
      </c>
      <c r="M9" s="225" t="s">
        <v>341</v>
      </c>
      <c r="N9" s="225" t="s">
        <v>341</v>
      </c>
      <c r="O9" s="225" t="s">
        <v>341</v>
      </c>
      <c r="P9" s="225" t="s">
        <v>341</v>
      </c>
      <c r="Q9" s="225" t="s">
        <v>341</v>
      </c>
      <c r="R9" s="227" t="s">
        <v>341</v>
      </c>
    </row>
    <row r="10" spans="1:18" ht="54" x14ac:dyDescent="0.25">
      <c r="B10" s="221">
        <v>8</v>
      </c>
      <c r="C10" s="222" t="s">
        <v>5725</v>
      </c>
      <c r="D10" s="222" t="s">
        <v>5725</v>
      </c>
      <c r="E10" s="223">
        <v>45392</v>
      </c>
      <c r="F10" s="225" t="s">
        <v>5804</v>
      </c>
      <c r="G10" s="225" t="s">
        <v>5858</v>
      </c>
      <c r="H10" s="225"/>
      <c r="I10" s="225"/>
      <c r="J10" s="225"/>
      <c r="K10" s="225" t="s">
        <v>20</v>
      </c>
      <c r="L10" s="225" t="s">
        <v>20</v>
      </c>
      <c r="M10" s="225" t="s">
        <v>341</v>
      </c>
      <c r="N10" s="225" t="s">
        <v>341</v>
      </c>
      <c r="O10" s="225" t="s">
        <v>341</v>
      </c>
      <c r="P10" s="225" t="s">
        <v>341</v>
      </c>
      <c r="Q10" s="225" t="s">
        <v>341</v>
      </c>
      <c r="R10" s="227" t="s">
        <v>341</v>
      </c>
    </row>
    <row r="11" spans="1:18" ht="54" x14ac:dyDescent="0.25">
      <c r="B11" s="221">
        <v>9</v>
      </c>
      <c r="C11" s="222" t="s">
        <v>5725</v>
      </c>
      <c r="D11" s="222" t="s">
        <v>5725</v>
      </c>
      <c r="E11" s="223">
        <v>45400</v>
      </c>
      <c r="F11" s="225" t="s">
        <v>5805</v>
      </c>
      <c r="G11" s="225" t="s">
        <v>5859</v>
      </c>
      <c r="H11" s="225"/>
      <c r="I11" s="225"/>
      <c r="J11" s="225"/>
      <c r="K11" s="225" t="s">
        <v>20</v>
      </c>
      <c r="L11" s="225" t="s">
        <v>20</v>
      </c>
      <c r="M11" s="225" t="s">
        <v>341</v>
      </c>
      <c r="N11" s="225" t="s">
        <v>341</v>
      </c>
      <c r="O11" s="225" t="s">
        <v>341</v>
      </c>
      <c r="P11" s="225" t="s">
        <v>341</v>
      </c>
      <c r="Q11" s="225" t="s">
        <v>341</v>
      </c>
      <c r="R11" s="227" t="s">
        <v>5827</v>
      </c>
    </row>
    <row r="12" spans="1:18" ht="72" x14ac:dyDescent="0.25">
      <c r="B12" s="221">
        <v>10</v>
      </c>
      <c r="C12" s="222" t="s">
        <v>5725</v>
      </c>
      <c r="D12" s="222" t="s">
        <v>5725</v>
      </c>
      <c r="E12" s="223">
        <v>45405</v>
      </c>
      <c r="F12" s="224">
        <v>0.70208333333333328</v>
      </c>
      <c r="G12" s="225" t="s">
        <v>5820</v>
      </c>
      <c r="H12" s="225" t="s">
        <v>406</v>
      </c>
      <c r="I12" s="225"/>
      <c r="J12" s="225" t="s">
        <v>5821</v>
      </c>
      <c r="K12" s="225"/>
      <c r="L12" s="225"/>
      <c r="M12" s="225" t="s">
        <v>341</v>
      </c>
      <c r="N12" s="225" t="s">
        <v>341</v>
      </c>
      <c r="O12" s="225" t="s">
        <v>341</v>
      </c>
      <c r="P12" s="225" t="s">
        <v>341</v>
      </c>
      <c r="Q12" s="225" t="s">
        <v>341</v>
      </c>
      <c r="R12" s="227" t="s">
        <v>341</v>
      </c>
    </row>
    <row r="13" spans="1:18" ht="54" x14ac:dyDescent="0.25">
      <c r="B13" s="221">
        <v>11</v>
      </c>
      <c r="C13" s="222" t="s">
        <v>5725</v>
      </c>
      <c r="D13" s="222" t="s">
        <v>5725</v>
      </c>
      <c r="E13" s="223">
        <v>45406</v>
      </c>
      <c r="F13" s="225" t="s">
        <v>5806</v>
      </c>
      <c r="G13" s="225" t="s">
        <v>5860</v>
      </c>
      <c r="H13" s="225"/>
      <c r="I13" s="225"/>
      <c r="J13" s="225"/>
      <c r="K13" s="225" t="s">
        <v>20</v>
      </c>
      <c r="L13" s="225" t="s">
        <v>20</v>
      </c>
      <c r="M13" s="225" t="s">
        <v>341</v>
      </c>
      <c r="N13" s="225" t="s">
        <v>341</v>
      </c>
      <c r="O13" s="225" t="s">
        <v>341</v>
      </c>
      <c r="P13" s="225" t="s">
        <v>341</v>
      </c>
      <c r="Q13" s="225" t="s">
        <v>341</v>
      </c>
      <c r="R13" s="227" t="s">
        <v>341</v>
      </c>
    </row>
    <row r="14" spans="1:18" ht="54" x14ac:dyDescent="0.25">
      <c r="B14" s="221">
        <v>12</v>
      </c>
      <c r="C14" s="222" t="s">
        <v>5725</v>
      </c>
      <c r="D14" s="222" t="s">
        <v>5725</v>
      </c>
      <c r="E14" s="223">
        <v>45407</v>
      </c>
      <c r="F14" s="224">
        <v>0.54166666666666663</v>
      </c>
      <c r="G14" s="225" t="s">
        <v>5822</v>
      </c>
      <c r="H14" s="225" t="s">
        <v>406</v>
      </c>
      <c r="I14" s="225"/>
      <c r="J14" s="225" t="s">
        <v>5823</v>
      </c>
      <c r="K14" s="225" t="s">
        <v>20</v>
      </c>
      <c r="L14" s="225" t="s">
        <v>20</v>
      </c>
      <c r="M14" s="225" t="s">
        <v>341</v>
      </c>
      <c r="N14" s="225" t="s">
        <v>341</v>
      </c>
      <c r="O14" s="225" t="s">
        <v>341</v>
      </c>
      <c r="P14" s="225" t="s">
        <v>341</v>
      </c>
      <c r="Q14" s="225" t="s">
        <v>341</v>
      </c>
      <c r="R14" s="227" t="s">
        <v>341</v>
      </c>
    </row>
    <row r="15" spans="1:18" ht="72" x14ac:dyDescent="0.25">
      <c r="B15" s="221">
        <v>13</v>
      </c>
      <c r="C15" s="222" t="s">
        <v>5725</v>
      </c>
      <c r="D15" s="222" t="s">
        <v>5725</v>
      </c>
      <c r="E15" s="223">
        <v>45407</v>
      </c>
      <c r="F15" s="224">
        <v>0.60972222222222228</v>
      </c>
      <c r="G15" s="225" t="s">
        <v>5824</v>
      </c>
      <c r="H15" s="225" t="s">
        <v>406</v>
      </c>
      <c r="I15" s="225"/>
      <c r="J15" s="225" t="s">
        <v>5825</v>
      </c>
      <c r="K15" s="226">
        <v>50000</v>
      </c>
      <c r="L15" s="225" t="s">
        <v>5826</v>
      </c>
      <c r="M15" s="225" t="s">
        <v>341</v>
      </c>
      <c r="N15" s="225" t="s">
        <v>341</v>
      </c>
      <c r="O15" s="225" t="s">
        <v>341</v>
      </c>
      <c r="P15" s="225" t="s">
        <v>341</v>
      </c>
      <c r="Q15" s="225" t="s">
        <v>341</v>
      </c>
      <c r="R15" s="227" t="s">
        <v>341</v>
      </c>
    </row>
    <row r="16" spans="1:18" ht="72" x14ac:dyDescent="0.25">
      <c r="B16" s="221">
        <v>14</v>
      </c>
      <c r="C16" s="222" t="s">
        <v>5725</v>
      </c>
      <c r="D16" s="222" t="s">
        <v>5725</v>
      </c>
      <c r="E16" s="223">
        <v>45407</v>
      </c>
      <c r="F16" s="225" t="s">
        <v>5807</v>
      </c>
      <c r="G16" s="225" t="s">
        <v>5861</v>
      </c>
      <c r="H16" s="225"/>
      <c r="I16" s="225"/>
      <c r="J16" s="225"/>
      <c r="K16" s="225" t="s">
        <v>20</v>
      </c>
      <c r="L16" s="225" t="s">
        <v>20</v>
      </c>
      <c r="M16" s="225" t="s">
        <v>341</v>
      </c>
      <c r="N16" s="225" t="s">
        <v>341</v>
      </c>
      <c r="O16" s="225" t="s">
        <v>341</v>
      </c>
      <c r="P16" s="225" t="s">
        <v>341</v>
      </c>
      <c r="Q16" s="225" t="s">
        <v>341</v>
      </c>
      <c r="R16" s="227" t="s">
        <v>341</v>
      </c>
    </row>
    <row r="17" spans="2:18" ht="90" x14ac:dyDescent="0.25">
      <c r="B17" s="221">
        <v>15</v>
      </c>
      <c r="C17" s="222" t="s">
        <v>5725</v>
      </c>
      <c r="D17" s="222" t="s">
        <v>5725</v>
      </c>
      <c r="E17" s="223">
        <v>45408</v>
      </c>
      <c r="F17" s="225" t="s">
        <v>5802</v>
      </c>
      <c r="G17" s="225" t="s">
        <v>5862</v>
      </c>
      <c r="H17" s="225"/>
      <c r="I17" s="225"/>
      <c r="J17" s="225"/>
      <c r="K17" s="225" t="s">
        <v>5270</v>
      </c>
      <c r="L17" s="226">
        <v>499000</v>
      </c>
      <c r="M17" s="225" t="s">
        <v>341</v>
      </c>
      <c r="N17" s="225" t="s">
        <v>341</v>
      </c>
      <c r="O17" s="225" t="s">
        <v>341</v>
      </c>
      <c r="P17" s="225" t="s">
        <v>341</v>
      </c>
      <c r="Q17" s="225" t="s">
        <v>341</v>
      </c>
      <c r="R17" s="227" t="s">
        <v>341</v>
      </c>
    </row>
    <row r="18" spans="2:18" ht="72" x14ac:dyDescent="0.25">
      <c r="B18" s="221">
        <v>16</v>
      </c>
      <c r="C18" s="222" t="s">
        <v>5725</v>
      </c>
      <c r="D18" s="222" t="s">
        <v>5725</v>
      </c>
      <c r="E18" s="223">
        <v>45409</v>
      </c>
      <c r="F18" s="225" t="s">
        <v>5828</v>
      </c>
      <c r="G18" s="225" t="s">
        <v>5829</v>
      </c>
      <c r="H18" s="225"/>
      <c r="I18" s="225"/>
      <c r="J18" s="225"/>
      <c r="K18" s="225" t="s">
        <v>20</v>
      </c>
      <c r="L18" s="225" t="s">
        <v>20</v>
      </c>
      <c r="M18" s="225" t="s">
        <v>341</v>
      </c>
      <c r="N18" s="225" t="s">
        <v>341</v>
      </c>
      <c r="O18" s="225" t="s">
        <v>341</v>
      </c>
      <c r="P18" s="225" t="s">
        <v>341</v>
      </c>
      <c r="Q18" s="225" t="s">
        <v>341</v>
      </c>
      <c r="R18" s="227" t="s">
        <v>341</v>
      </c>
    </row>
    <row r="19" spans="2:18" ht="72" x14ac:dyDescent="0.25">
      <c r="B19" s="221">
        <v>17</v>
      </c>
      <c r="C19" s="222" t="s">
        <v>5725</v>
      </c>
      <c r="D19" s="222" t="s">
        <v>5725</v>
      </c>
      <c r="E19" s="223">
        <v>45409</v>
      </c>
      <c r="F19" s="225" t="s">
        <v>5808</v>
      </c>
      <c r="G19" s="225" t="s">
        <v>5863</v>
      </c>
      <c r="H19" s="225"/>
      <c r="I19" s="225"/>
      <c r="J19" s="225"/>
      <c r="K19" s="225" t="s">
        <v>155</v>
      </c>
      <c r="L19" s="225" t="s">
        <v>5809</v>
      </c>
      <c r="M19" s="225" t="s">
        <v>341</v>
      </c>
      <c r="N19" s="225" t="s">
        <v>341</v>
      </c>
      <c r="O19" s="225" t="s">
        <v>341</v>
      </c>
      <c r="P19" s="225" t="s">
        <v>341</v>
      </c>
      <c r="Q19" s="225" t="s">
        <v>341</v>
      </c>
      <c r="R19" s="227" t="s">
        <v>341</v>
      </c>
    </row>
    <row r="20" spans="2:18" ht="54" x14ac:dyDescent="0.25">
      <c r="B20" s="221">
        <v>18</v>
      </c>
      <c r="C20" s="222" t="s">
        <v>5725</v>
      </c>
      <c r="D20" s="222" t="s">
        <v>5725</v>
      </c>
      <c r="E20" s="223">
        <v>45413</v>
      </c>
      <c r="F20" s="225" t="s">
        <v>5830</v>
      </c>
      <c r="G20" s="225" t="s">
        <v>5864</v>
      </c>
      <c r="H20" s="225"/>
      <c r="I20" s="225"/>
      <c r="J20" s="225"/>
      <c r="K20" s="225" t="s">
        <v>20</v>
      </c>
      <c r="L20" s="225" t="s">
        <v>20</v>
      </c>
      <c r="M20" s="225" t="s">
        <v>341</v>
      </c>
      <c r="N20" s="225" t="s">
        <v>341</v>
      </c>
      <c r="O20" s="225" t="s">
        <v>341</v>
      </c>
      <c r="P20" s="225" t="s">
        <v>341</v>
      </c>
      <c r="Q20" s="225" t="s">
        <v>341</v>
      </c>
      <c r="R20" s="227" t="s">
        <v>341</v>
      </c>
    </row>
    <row r="21" spans="2:18" ht="54" x14ac:dyDescent="0.25">
      <c r="B21" s="221">
        <v>19</v>
      </c>
      <c r="C21" s="222" t="s">
        <v>5725</v>
      </c>
      <c r="D21" s="222" t="s">
        <v>5725</v>
      </c>
      <c r="E21" s="223">
        <v>45413</v>
      </c>
      <c r="F21" s="225" t="s">
        <v>5830</v>
      </c>
      <c r="G21" s="225" t="s">
        <v>5831</v>
      </c>
      <c r="H21" s="225"/>
      <c r="I21" s="225"/>
      <c r="J21" s="225"/>
      <c r="K21" s="225" t="s">
        <v>20</v>
      </c>
      <c r="L21" s="225" t="s">
        <v>20</v>
      </c>
      <c r="M21" s="225" t="s">
        <v>341</v>
      </c>
      <c r="N21" s="225" t="s">
        <v>341</v>
      </c>
      <c r="O21" s="225" t="s">
        <v>341</v>
      </c>
      <c r="P21" s="225" t="s">
        <v>341</v>
      </c>
      <c r="Q21" s="225" t="s">
        <v>341</v>
      </c>
      <c r="R21" s="227" t="s">
        <v>341</v>
      </c>
    </row>
    <row r="22" spans="2:18" ht="54" x14ac:dyDescent="0.25">
      <c r="B22" s="221">
        <v>20</v>
      </c>
      <c r="C22" s="222" t="s">
        <v>5725</v>
      </c>
      <c r="D22" s="222" t="s">
        <v>5725</v>
      </c>
      <c r="E22" s="223">
        <v>45414</v>
      </c>
      <c r="F22" s="225" t="s">
        <v>5801</v>
      </c>
      <c r="G22" s="225" t="s">
        <v>5832</v>
      </c>
      <c r="H22" s="225"/>
      <c r="I22" s="225"/>
      <c r="J22" s="225"/>
      <c r="K22" s="225" t="s">
        <v>20</v>
      </c>
      <c r="L22" s="225" t="s">
        <v>20</v>
      </c>
      <c r="M22" s="225" t="s">
        <v>341</v>
      </c>
      <c r="N22" s="225" t="s">
        <v>341</v>
      </c>
      <c r="O22" s="225" t="s">
        <v>341</v>
      </c>
      <c r="P22" s="225" t="s">
        <v>341</v>
      </c>
      <c r="Q22" s="225" t="s">
        <v>341</v>
      </c>
      <c r="R22" s="227" t="s">
        <v>341</v>
      </c>
    </row>
    <row r="23" spans="2:18" ht="72" x14ac:dyDescent="0.25">
      <c r="B23" s="221">
        <v>21</v>
      </c>
      <c r="C23" s="222" t="s">
        <v>5725</v>
      </c>
      <c r="D23" s="222" t="s">
        <v>5725</v>
      </c>
      <c r="E23" s="223">
        <v>45414</v>
      </c>
      <c r="F23" s="225" t="s">
        <v>5801</v>
      </c>
      <c r="G23" s="225" t="s">
        <v>5865</v>
      </c>
      <c r="H23" s="225"/>
      <c r="I23" s="225"/>
      <c r="J23" s="225"/>
      <c r="K23" s="225" t="s">
        <v>20</v>
      </c>
      <c r="L23" s="225" t="s">
        <v>20</v>
      </c>
      <c r="M23" s="225" t="s">
        <v>341</v>
      </c>
      <c r="N23" s="225" t="s">
        <v>341</v>
      </c>
      <c r="O23" s="225" t="s">
        <v>341</v>
      </c>
      <c r="P23" s="225" t="s">
        <v>341</v>
      </c>
      <c r="Q23" s="225" t="s">
        <v>341</v>
      </c>
      <c r="R23" s="227" t="s">
        <v>341</v>
      </c>
    </row>
    <row r="24" spans="2:18" ht="72" x14ac:dyDescent="0.25">
      <c r="B24" s="221">
        <v>22</v>
      </c>
      <c r="C24" s="222" t="s">
        <v>5725</v>
      </c>
      <c r="D24" s="222" t="s">
        <v>5725</v>
      </c>
      <c r="E24" s="223">
        <v>45415</v>
      </c>
      <c r="F24" s="225" t="s">
        <v>5833</v>
      </c>
      <c r="G24" s="225" t="s">
        <v>5834</v>
      </c>
      <c r="H24" s="225"/>
      <c r="I24" s="225"/>
      <c r="J24" s="225"/>
      <c r="K24" s="225" t="s">
        <v>20</v>
      </c>
      <c r="L24" s="225" t="s">
        <v>20</v>
      </c>
      <c r="M24" s="225" t="s">
        <v>341</v>
      </c>
      <c r="N24" s="225" t="s">
        <v>341</v>
      </c>
      <c r="O24" s="225" t="s">
        <v>341</v>
      </c>
      <c r="P24" s="225" t="s">
        <v>341</v>
      </c>
      <c r="Q24" s="225" t="s">
        <v>341</v>
      </c>
      <c r="R24" s="227" t="s">
        <v>341</v>
      </c>
    </row>
    <row r="25" spans="2:18" ht="72" x14ac:dyDescent="0.25">
      <c r="B25" s="221">
        <v>23</v>
      </c>
      <c r="C25" s="222" t="s">
        <v>5725</v>
      </c>
      <c r="D25" s="222" t="s">
        <v>5725</v>
      </c>
      <c r="E25" s="223">
        <v>45416</v>
      </c>
      <c r="F25" s="225" t="s">
        <v>5866</v>
      </c>
      <c r="G25" s="225" t="s">
        <v>5867</v>
      </c>
      <c r="H25" s="225"/>
      <c r="I25" s="225"/>
      <c r="J25" s="225"/>
      <c r="K25" s="225" t="s">
        <v>127</v>
      </c>
      <c r="L25" s="225" t="s">
        <v>5868</v>
      </c>
      <c r="M25" s="225" t="s">
        <v>341</v>
      </c>
      <c r="N25" s="225" t="s">
        <v>341</v>
      </c>
      <c r="O25" s="225" t="s">
        <v>341</v>
      </c>
      <c r="P25" s="225" t="s">
        <v>341</v>
      </c>
      <c r="Q25" s="225" t="s">
        <v>341</v>
      </c>
      <c r="R25" s="227" t="s">
        <v>341</v>
      </c>
    </row>
    <row r="26" spans="2:18" ht="72" x14ac:dyDescent="0.25">
      <c r="B26" s="221">
        <v>24</v>
      </c>
      <c r="C26" s="222" t="s">
        <v>5725</v>
      </c>
      <c r="D26" s="222" t="s">
        <v>5725</v>
      </c>
      <c r="E26" s="223">
        <v>45417</v>
      </c>
      <c r="F26" s="225" t="s">
        <v>5869</v>
      </c>
      <c r="G26" s="225" t="s">
        <v>5870</v>
      </c>
      <c r="H26" s="225"/>
      <c r="I26" s="225"/>
      <c r="J26" s="225"/>
      <c r="K26" s="225" t="s">
        <v>204</v>
      </c>
      <c r="L26" s="225" t="s">
        <v>5118</v>
      </c>
      <c r="M26" s="225" t="s">
        <v>341</v>
      </c>
      <c r="N26" s="225" t="s">
        <v>341</v>
      </c>
      <c r="O26" s="225" t="s">
        <v>341</v>
      </c>
      <c r="P26" s="225" t="s">
        <v>341</v>
      </c>
      <c r="Q26" s="225" t="s">
        <v>341</v>
      </c>
      <c r="R26" s="227" t="s">
        <v>341</v>
      </c>
    </row>
    <row r="27" spans="2:18" ht="54" x14ac:dyDescent="0.25">
      <c r="B27" s="221">
        <v>25</v>
      </c>
      <c r="C27" s="222" t="s">
        <v>5725</v>
      </c>
      <c r="D27" s="222" t="s">
        <v>5725</v>
      </c>
      <c r="E27" s="223">
        <v>45419</v>
      </c>
      <c r="F27" s="225" t="s">
        <v>5871</v>
      </c>
      <c r="G27" s="225" t="s">
        <v>5872</v>
      </c>
      <c r="H27" s="225"/>
      <c r="I27" s="225"/>
      <c r="J27" s="225"/>
      <c r="K27" s="225" t="s">
        <v>155</v>
      </c>
      <c r="L27" s="225" t="s">
        <v>5873</v>
      </c>
      <c r="M27" s="225" t="s">
        <v>341</v>
      </c>
      <c r="N27" s="225" t="s">
        <v>341</v>
      </c>
      <c r="O27" s="225" t="s">
        <v>341</v>
      </c>
      <c r="P27" s="225" t="s">
        <v>341</v>
      </c>
      <c r="Q27" s="225" t="s">
        <v>341</v>
      </c>
      <c r="R27" s="227" t="s">
        <v>341</v>
      </c>
    </row>
    <row r="28" spans="2:18" ht="72" x14ac:dyDescent="0.25">
      <c r="B28" s="221">
        <v>26</v>
      </c>
      <c r="C28" s="222" t="s">
        <v>5725</v>
      </c>
      <c r="D28" s="222" t="s">
        <v>5725</v>
      </c>
      <c r="E28" s="223">
        <v>45420</v>
      </c>
      <c r="F28" s="225" t="s">
        <v>5874</v>
      </c>
      <c r="G28" s="225" t="s">
        <v>5875</v>
      </c>
      <c r="H28" s="225"/>
      <c r="I28" s="225"/>
      <c r="J28" s="225"/>
      <c r="K28" s="225" t="s">
        <v>34</v>
      </c>
      <c r="L28" s="225" t="s">
        <v>5876</v>
      </c>
      <c r="M28" s="225" t="s">
        <v>341</v>
      </c>
      <c r="N28" s="225" t="s">
        <v>341</v>
      </c>
      <c r="O28" s="225" t="s">
        <v>341</v>
      </c>
      <c r="P28" s="225" t="s">
        <v>341</v>
      </c>
      <c r="Q28" s="225" t="s">
        <v>341</v>
      </c>
      <c r="R28" s="227" t="s">
        <v>354</v>
      </c>
    </row>
    <row r="29" spans="2:18" ht="72" x14ac:dyDescent="0.25">
      <c r="B29" s="221">
        <v>27</v>
      </c>
      <c r="C29" s="222" t="s">
        <v>5725</v>
      </c>
      <c r="D29" s="222" t="s">
        <v>5725</v>
      </c>
      <c r="E29" s="223">
        <v>45420</v>
      </c>
      <c r="F29" s="225" t="s">
        <v>5877</v>
      </c>
      <c r="G29" s="225" t="s">
        <v>5878</v>
      </c>
      <c r="H29" s="225"/>
      <c r="I29" s="225"/>
      <c r="J29" s="225"/>
      <c r="K29" s="225" t="s">
        <v>5270</v>
      </c>
      <c r="L29" s="225" t="s">
        <v>5879</v>
      </c>
      <c r="M29" s="225" t="s">
        <v>341</v>
      </c>
      <c r="N29" s="225" t="s">
        <v>341</v>
      </c>
      <c r="O29" s="225" t="s">
        <v>341</v>
      </c>
      <c r="P29" s="225" t="s">
        <v>341</v>
      </c>
      <c r="Q29" s="225" t="s">
        <v>341</v>
      </c>
      <c r="R29" s="227" t="s">
        <v>341</v>
      </c>
    </row>
    <row r="30" spans="2:18" ht="90" x14ac:dyDescent="0.25">
      <c r="B30" s="221">
        <v>28</v>
      </c>
      <c r="C30" s="222" t="s">
        <v>5725</v>
      </c>
      <c r="D30" s="222" t="s">
        <v>5725</v>
      </c>
      <c r="E30" s="223">
        <v>45420</v>
      </c>
      <c r="F30" s="225" t="s">
        <v>5456</v>
      </c>
      <c r="G30" s="225" t="s">
        <v>5880</v>
      </c>
      <c r="H30" s="225"/>
      <c r="I30" s="225"/>
      <c r="J30" s="225"/>
      <c r="K30" s="225" t="s">
        <v>20</v>
      </c>
      <c r="L30" s="225" t="s">
        <v>20</v>
      </c>
      <c r="M30" s="225" t="s">
        <v>341</v>
      </c>
      <c r="N30" s="225" t="s">
        <v>341</v>
      </c>
      <c r="O30" s="225" t="s">
        <v>341</v>
      </c>
      <c r="P30" s="225" t="s">
        <v>341</v>
      </c>
      <c r="Q30" s="225" t="s">
        <v>341</v>
      </c>
      <c r="R30" s="227" t="s">
        <v>341</v>
      </c>
    </row>
    <row r="31" spans="2:18" ht="90" x14ac:dyDescent="0.25">
      <c r="B31" s="221">
        <v>29</v>
      </c>
      <c r="C31" s="222" t="s">
        <v>5725</v>
      </c>
      <c r="D31" s="222" t="s">
        <v>5725</v>
      </c>
      <c r="E31" s="223">
        <v>45429</v>
      </c>
      <c r="F31" s="225" t="s">
        <v>5835</v>
      </c>
      <c r="G31" s="225" t="s">
        <v>5836</v>
      </c>
      <c r="H31" s="225" t="s">
        <v>406</v>
      </c>
      <c r="I31" s="225"/>
      <c r="J31" s="225" t="s">
        <v>5837</v>
      </c>
      <c r="K31" s="225" t="s">
        <v>20</v>
      </c>
      <c r="L31" s="225" t="s">
        <v>174</v>
      </c>
      <c r="M31" s="225" t="s">
        <v>341</v>
      </c>
      <c r="N31" s="225" t="s">
        <v>341</v>
      </c>
      <c r="O31" s="225" t="s">
        <v>341</v>
      </c>
      <c r="P31" s="225" t="s">
        <v>341</v>
      </c>
      <c r="Q31" s="225" t="s">
        <v>341</v>
      </c>
      <c r="R31" s="227" t="s">
        <v>341</v>
      </c>
    </row>
    <row r="32" spans="2:18" ht="72" x14ac:dyDescent="0.25">
      <c r="B32" s="221">
        <v>30</v>
      </c>
      <c r="C32" s="222" t="s">
        <v>5725</v>
      </c>
      <c r="D32" s="222" t="s">
        <v>5725</v>
      </c>
      <c r="E32" s="223">
        <v>45455</v>
      </c>
      <c r="F32" s="225" t="s">
        <v>5844</v>
      </c>
      <c r="G32" s="225" t="s">
        <v>5845</v>
      </c>
      <c r="H32" s="225" t="s">
        <v>406</v>
      </c>
      <c r="I32" s="225"/>
      <c r="J32" s="225" t="s">
        <v>5846</v>
      </c>
      <c r="K32" s="225" t="s">
        <v>20</v>
      </c>
      <c r="L32" s="225" t="s">
        <v>20</v>
      </c>
      <c r="M32" s="225" t="s">
        <v>20</v>
      </c>
      <c r="N32" s="225" t="s">
        <v>20</v>
      </c>
      <c r="O32" s="225" t="s">
        <v>20</v>
      </c>
      <c r="P32" s="225" t="s">
        <v>20</v>
      </c>
      <c r="Q32" s="225" t="s">
        <v>20</v>
      </c>
      <c r="R32" s="227" t="s">
        <v>20</v>
      </c>
    </row>
    <row r="33" spans="2:18" ht="90" x14ac:dyDescent="0.25">
      <c r="B33" s="221">
        <v>31</v>
      </c>
      <c r="C33" s="222" t="s">
        <v>5725</v>
      </c>
      <c r="D33" s="222" t="s">
        <v>5725</v>
      </c>
      <c r="E33" s="223">
        <v>45455</v>
      </c>
      <c r="F33" s="225" t="s">
        <v>5838</v>
      </c>
      <c r="G33" s="225" t="s">
        <v>5839</v>
      </c>
      <c r="H33" s="225" t="s">
        <v>5840</v>
      </c>
      <c r="I33" s="225"/>
      <c r="J33" s="225" t="s">
        <v>5841</v>
      </c>
      <c r="K33" s="225" t="s">
        <v>5842</v>
      </c>
      <c r="L33" s="225" t="s">
        <v>5843</v>
      </c>
      <c r="M33" s="225" t="s">
        <v>341</v>
      </c>
      <c r="N33" s="225" t="s">
        <v>341</v>
      </c>
      <c r="O33" s="225" t="s">
        <v>341</v>
      </c>
      <c r="P33" s="225" t="s">
        <v>341</v>
      </c>
      <c r="Q33" s="225" t="s">
        <v>341</v>
      </c>
      <c r="R33" s="227" t="s">
        <v>341</v>
      </c>
    </row>
    <row r="34" spans="2:18" ht="54" x14ac:dyDescent="0.25">
      <c r="B34" s="221">
        <v>32</v>
      </c>
      <c r="C34" s="222" t="s">
        <v>5725</v>
      </c>
      <c r="D34" s="222" t="s">
        <v>5725</v>
      </c>
      <c r="E34" s="223">
        <v>45457</v>
      </c>
      <c r="F34" s="225" t="s">
        <v>5877</v>
      </c>
      <c r="G34" s="225" t="s">
        <v>5881</v>
      </c>
      <c r="H34" s="225"/>
      <c r="I34" s="225"/>
      <c r="J34" s="225"/>
      <c r="K34" s="225" t="s">
        <v>269</v>
      </c>
      <c r="L34" s="225" t="s">
        <v>211</v>
      </c>
      <c r="M34" s="225" t="s">
        <v>341</v>
      </c>
      <c r="N34" s="225" t="s">
        <v>341</v>
      </c>
      <c r="O34" s="225" t="s">
        <v>341</v>
      </c>
      <c r="P34" s="225" t="s">
        <v>341</v>
      </c>
      <c r="Q34" s="225" t="s">
        <v>341</v>
      </c>
      <c r="R34" s="227" t="s">
        <v>341</v>
      </c>
    </row>
    <row r="35" spans="2:18" ht="54" x14ac:dyDescent="0.25">
      <c r="B35" s="221">
        <v>33</v>
      </c>
      <c r="C35" s="222" t="s">
        <v>5725</v>
      </c>
      <c r="D35" s="222" t="s">
        <v>5725</v>
      </c>
      <c r="E35" s="223">
        <v>45570</v>
      </c>
      <c r="F35" s="224">
        <v>0.875</v>
      </c>
      <c r="G35" s="225" t="s">
        <v>5847</v>
      </c>
      <c r="H35" s="225" t="s">
        <v>406</v>
      </c>
      <c r="I35" s="225"/>
      <c r="J35" s="225" t="s">
        <v>5848</v>
      </c>
      <c r="K35" s="228" t="s">
        <v>20</v>
      </c>
      <c r="L35" s="225" t="s">
        <v>145</v>
      </c>
      <c r="M35" s="225" t="s">
        <v>341</v>
      </c>
      <c r="N35" s="225" t="s">
        <v>341</v>
      </c>
      <c r="O35" s="225" t="s">
        <v>341</v>
      </c>
      <c r="P35" s="225" t="s">
        <v>341</v>
      </c>
      <c r="Q35" s="225" t="s">
        <v>341</v>
      </c>
      <c r="R35" s="227" t="s">
        <v>341</v>
      </c>
    </row>
    <row r="36" spans="2:18" ht="54" x14ac:dyDescent="0.25">
      <c r="B36" s="221">
        <v>34</v>
      </c>
      <c r="C36" s="222" t="s">
        <v>5725</v>
      </c>
      <c r="D36" s="222" t="s">
        <v>5725</v>
      </c>
      <c r="E36" s="223">
        <v>45571</v>
      </c>
      <c r="F36" s="224">
        <v>0.24097222222222223</v>
      </c>
      <c r="G36" s="225" t="s">
        <v>5849</v>
      </c>
      <c r="H36" s="225" t="s">
        <v>406</v>
      </c>
      <c r="I36" s="225"/>
      <c r="J36" s="225" t="s">
        <v>5848</v>
      </c>
      <c r="K36" s="229" t="s">
        <v>20</v>
      </c>
      <c r="L36" s="225" t="s">
        <v>145</v>
      </c>
      <c r="M36" s="225" t="s">
        <v>341</v>
      </c>
      <c r="N36" s="225" t="s">
        <v>341</v>
      </c>
      <c r="O36" s="225" t="s">
        <v>341</v>
      </c>
      <c r="P36" s="225" t="s">
        <v>341</v>
      </c>
      <c r="Q36" s="225" t="s">
        <v>341</v>
      </c>
      <c r="R36" s="227" t="s">
        <v>341</v>
      </c>
    </row>
    <row r="37" spans="2:18" ht="72" x14ac:dyDescent="0.25">
      <c r="B37" s="221">
        <v>35</v>
      </c>
      <c r="C37" s="230" t="s">
        <v>5725</v>
      </c>
      <c r="D37" s="230" t="s">
        <v>5725</v>
      </c>
      <c r="E37" s="234">
        <v>45585</v>
      </c>
      <c r="F37" s="236">
        <v>0.44583333333333336</v>
      </c>
      <c r="G37" s="231" t="s">
        <v>5850</v>
      </c>
      <c r="H37" s="231" t="s">
        <v>406</v>
      </c>
      <c r="I37" s="231"/>
      <c r="J37" s="231" t="s">
        <v>5851</v>
      </c>
      <c r="K37" s="231" t="s">
        <v>142</v>
      </c>
      <c r="L37" s="231" t="s">
        <v>5852</v>
      </c>
      <c r="M37" s="231" t="s">
        <v>341</v>
      </c>
      <c r="N37" s="231" t="s">
        <v>341</v>
      </c>
      <c r="O37" s="231" t="s">
        <v>341</v>
      </c>
      <c r="P37" s="231" t="s">
        <v>341</v>
      </c>
      <c r="Q37" s="231" t="s">
        <v>341</v>
      </c>
      <c r="R37" s="232" t="s">
        <v>341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F581B-958F-4039-BF89-40516B7F0D45}">
  <dimension ref="B2:Q141"/>
  <sheetViews>
    <sheetView topLeftCell="G15" zoomScale="70" zoomScaleNormal="70" workbookViewId="0">
      <selection activeCell="J3" sqref="J3:Q26"/>
    </sheetView>
  </sheetViews>
  <sheetFormatPr defaultRowHeight="15" x14ac:dyDescent="0.25"/>
  <cols>
    <col min="2" max="2" width="9.140625" style="102"/>
    <col min="3" max="3" width="10.85546875" bestFit="1" customWidth="1"/>
    <col min="4" max="4" width="12.140625" customWidth="1"/>
    <col min="5" max="5" width="10.42578125" bestFit="1" customWidth="1"/>
    <col min="7" max="7" width="50.7109375" customWidth="1"/>
    <col min="8" max="8" width="29.85546875" customWidth="1"/>
    <col min="9" max="9" width="14.42578125" customWidth="1"/>
  </cols>
  <sheetData>
    <row r="2" spans="2:17" ht="147" x14ac:dyDescent="0.25">
      <c r="B2" s="27" t="s">
        <v>76</v>
      </c>
      <c r="C2" s="105" t="s">
        <v>77</v>
      </c>
      <c r="D2" s="27" t="s">
        <v>78</v>
      </c>
      <c r="E2" s="187" t="s">
        <v>79</v>
      </c>
      <c r="F2" s="27" t="s">
        <v>80</v>
      </c>
      <c r="G2" s="27" t="s">
        <v>81</v>
      </c>
      <c r="H2" s="183" t="s">
        <v>82</v>
      </c>
      <c r="I2" s="27" t="s">
        <v>83</v>
      </c>
      <c r="J2" s="27" t="s">
        <v>84</v>
      </c>
      <c r="K2" s="27" t="s">
        <v>85</v>
      </c>
      <c r="L2" s="27" t="s">
        <v>86</v>
      </c>
      <c r="M2" s="27" t="s">
        <v>91</v>
      </c>
      <c r="N2" s="27" t="s">
        <v>87</v>
      </c>
      <c r="O2" s="27" t="s">
        <v>90</v>
      </c>
      <c r="P2" s="27" t="s">
        <v>88</v>
      </c>
      <c r="Q2" s="27" t="s">
        <v>89</v>
      </c>
    </row>
    <row r="3" spans="2:17" ht="39" x14ac:dyDescent="0.35">
      <c r="B3" s="104">
        <v>1</v>
      </c>
      <c r="C3" s="248" t="s">
        <v>5611</v>
      </c>
      <c r="D3" s="248" t="s">
        <v>5613</v>
      </c>
      <c r="E3" s="249">
        <v>45451</v>
      </c>
      <c r="F3" s="248">
        <v>12.37</v>
      </c>
      <c r="G3" s="246" t="s">
        <v>5934</v>
      </c>
      <c r="H3" s="247" t="s">
        <v>5930</v>
      </c>
      <c r="I3" s="131" t="s">
        <v>320</v>
      </c>
      <c r="J3" s="131">
        <v>100000</v>
      </c>
      <c r="K3" s="131">
        <v>500000</v>
      </c>
      <c r="L3" s="131"/>
      <c r="M3" s="131"/>
      <c r="N3" s="131"/>
      <c r="O3" s="131"/>
      <c r="P3" s="131"/>
      <c r="Q3" s="131"/>
    </row>
    <row r="4" spans="2:17" ht="19.5" x14ac:dyDescent="0.35">
      <c r="B4" s="104">
        <v>2</v>
      </c>
      <c r="C4" s="131" t="s">
        <v>5611</v>
      </c>
      <c r="D4" s="131" t="s">
        <v>5613</v>
      </c>
      <c r="E4" s="188">
        <v>45453</v>
      </c>
      <c r="F4" s="131">
        <v>0.14000000000000001</v>
      </c>
      <c r="G4" s="131" t="s">
        <v>5932</v>
      </c>
      <c r="H4" s="131" t="s">
        <v>5931</v>
      </c>
      <c r="I4" s="131" t="s">
        <v>2325</v>
      </c>
      <c r="J4" s="131"/>
      <c r="K4" s="131"/>
      <c r="L4" s="131"/>
      <c r="M4" s="131"/>
      <c r="N4" s="131"/>
      <c r="O4" s="131"/>
      <c r="P4" s="131"/>
      <c r="Q4" s="131"/>
    </row>
    <row r="5" spans="2:17" ht="39" x14ac:dyDescent="0.35">
      <c r="B5" s="104"/>
      <c r="C5" s="248" t="s">
        <v>5611</v>
      </c>
      <c r="D5" s="248" t="s">
        <v>5612</v>
      </c>
      <c r="E5" s="249">
        <v>45444</v>
      </c>
      <c r="F5" s="248">
        <v>0.3</v>
      </c>
      <c r="G5" s="246" t="s">
        <v>5933</v>
      </c>
      <c r="H5" s="131"/>
      <c r="I5" s="131"/>
      <c r="J5" s="131"/>
      <c r="K5" s="131"/>
      <c r="L5" s="131"/>
      <c r="M5" s="131"/>
      <c r="N5" s="131"/>
      <c r="O5" s="131"/>
      <c r="P5" s="131"/>
      <c r="Q5" s="131"/>
    </row>
    <row r="6" spans="2:17" ht="39" x14ac:dyDescent="0.35">
      <c r="B6" s="104">
        <v>3</v>
      </c>
      <c r="C6" s="248" t="s">
        <v>5611</v>
      </c>
      <c r="D6" s="248" t="s">
        <v>5612</v>
      </c>
      <c r="E6" s="249">
        <v>45444</v>
      </c>
      <c r="F6" s="248">
        <v>10.52</v>
      </c>
      <c r="G6" s="246" t="s">
        <v>5935</v>
      </c>
      <c r="H6" s="131"/>
      <c r="I6" s="131" t="s">
        <v>2443</v>
      </c>
      <c r="J6" s="131">
        <v>25000</v>
      </c>
      <c r="K6" s="131">
        <v>475000</v>
      </c>
      <c r="L6" s="131"/>
      <c r="M6" s="131"/>
      <c r="N6" s="131"/>
      <c r="O6" s="131"/>
      <c r="P6" s="131"/>
      <c r="Q6" s="131"/>
    </row>
    <row r="7" spans="2:17" ht="39" x14ac:dyDescent="0.35">
      <c r="B7" s="104">
        <v>4</v>
      </c>
      <c r="C7" s="248" t="s">
        <v>5611</v>
      </c>
      <c r="D7" s="248" t="s">
        <v>5612</v>
      </c>
      <c r="E7" s="249">
        <v>45446</v>
      </c>
      <c r="F7" s="250">
        <v>0.45833333333333331</v>
      </c>
      <c r="G7" s="246" t="s">
        <v>5936</v>
      </c>
      <c r="H7" s="131"/>
      <c r="I7" s="131" t="s">
        <v>2443</v>
      </c>
      <c r="J7" s="131"/>
      <c r="K7" s="131"/>
      <c r="L7" s="131"/>
      <c r="M7" s="131"/>
      <c r="N7" s="131"/>
      <c r="O7" s="131"/>
      <c r="P7" s="131"/>
      <c r="Q7" s="131"/>
    </row>
    <row r="8" spans="2:17" ht="39" x14ac:dyDescent="0.35">
      <c r="B8" s="104">
        <v>5</v>
      </c>
      <c r="C8" s="248" t="s">
        <v>5611</v>
      </c>
      <c r="D8" s="248" t="s">
        <v>5612</v>
      </c>
      <c r="E8" s="249">
        <v>45447</v>
      </c>
      <c r="F8" s="251">
        <v>0.85277777777777775</v>
      </c>
      <c r="G8" s="246" t="s">
        <v>5937</v>
      </c>
      <c r="H8" s="131"/>
      <c r="I8" s="131" t="s">
        <v>2443</v>
      </c>
      <c r="J8" s="131"/>
      <c r="K8" s="131"/>
      <c r="L8" s="131"/>
      <c r="M8" s="131"/>
      <c r="N8" s="131"/>
      <c r="O8" s="131"/>
      <c r="P8" s="131"/>
      <c r="Q8" s="131"/>
    </row>
    <row r="9" spans="2:17" ht="39" x14ac:dyDescent="0.35">
      <c r="B9" s="104">
        <v>6</v>
      </c>
      <c r="C9" s="248" t="s">
        <v>5611</v>
      </c>
      <c r="D9" s="248" t="s">
        <v>5612</v>
      </c>
      <c r="E9" s="249">
        <v>45449</v>
      </c>
      <c r="F9" s="251">
        <v>0.9375</v>
      </c>
      <c r="G9" s="246" t="s">
        <v>5938</v>
      </c>
      <c r="H9" s="131"/>
      <c r="I9" s="131" t="s">
        <v>2443</v>
      </c>
      <c r="J9" s="131"/>
      <c r="K9" s="131">
        <v>100000</v>
      </c>
      <c r="L9" s="131"/>
      <c r="M9" s="131"/>
      <c r="N9" s="131"/>
      <c r="O9" s="131"/>
      <c r="P9" s="131"/>
      <c r="Q9" s="131"/>
    </row>
    <row r="10" spans="2:17" ht="39" x14ac:dyDescent="0.35">
      <c r="B10" s="104">
        <v>7</v>
      </c>
      <c r="C10" s="248" t="s">
        <v>5611</v>
      </c>
      <c r="D10" s="248" t="s">
        <v>5612</v>
      </c>
      <c r="E10" s="249">
        <v>45451</v>
      </c>
      <c r="F10" s="251">
        <v>0.62916666666666665</v>
      </c>
      <c r="G10" s="246" t="s">
        <v>5939</v>
      </c>
      <c r="H10" s="131"/>
      <c r="I10" s="131" t="s">
        <v>2443</v>
      </c>
      <c r="J10" s="131">
        <v>5000</v>
      </c>
      <c r="K10" s="131">
        <v>490000</v>
      </c>
      <c r="L10" s="131"/>
      <c r="M10" s="131"/>
      <c r="N10" s="131"/>
      <c r="O10" s="131"/>
      <c r="P10" s="131"/>
      <c r="Q10" s="131"/>
    </row>
    <row r="11" spans="2:17" ht="39" x14ac:dyDescent="0.35">
      <c r="B11" s="104">
        <v>8</v>
      </c>
      <c r="C11" s="248" t="s">
        <v>5611</v>
      </c>
      <c r="D11" s="248" t="s">
        <v>5612</v>
      </c>
      <c r="E11" s="249">
        <v>45452</v>
      </c>
      <c r="F11" s="251">
        <v>0.67708333333333337</v>
      </c>
      <c r="G11" s="246" t="s">
        <v>5940</v>
      </c>
      <c r="H11" s="131"/>
      <c r="I11" s="131" t="s">
        <v>2443</v>
      </c>
      <c r="J11" s="131">
        <v>5000</v>
      </c>
      <c r="K11" s="131">
        <v>445000</v>
      </c>
      <c r="L11" s="131"/>
      <c r="M11" s="131"/>
      <c r="N11" s="131"/>
      <c r="O11" s="131"/>
      <c r="P11" s="131"/>
      <c r="Q11" s="131"/>
    </row>
    <row r="12" spans="2:17" ht="39" x14ac:dyDescent="0.35">
      <c r="B12" s="104">
        <v>9</v>
      </c>
      <c r="C12" s="248" t="s">
        <v>5611</v>
      </c>
      <c r="D12" s="248" t="s">
        <v>5612</v>
      </c>
      <c r="E12" s="249">
        <v>45453</v>
      </c>
      <c r="F12" s="251">
        <v>0.87222222222222223</v>
      </c>
      <c r="G12" s="246" t="s">
        <v>5941</v>
      </c>
      <c r="H12" s="131"/>
      <c r="I12" s="131" t="s">
        <v>2443</v>
      </c>
      <c r="J12" s="131">
        <v>5000</v>
      </c>
      <c r="K12" s="131">
        <v>995000</v>
      </c>
      <c r="L12" s="131"/>
      <c r="M12" s="131"/>
      <c r="N12" s="131"/>
      <c r="O12" s="131"/>
      <c r="P12" s="131"/>
      <c r="Q12" s="131"/>
    </row>
    <row r="13" spans="2:17" ht="39" x14ac:dyDescent="0.35">
      <c r="B13" s="104">
        <v>10</v>
      </c>
      <c r="C13" s="248" t="s">
        <v>5611</v>
      </c>
      <c r="D13" s="248" t="s">
        <v>5612</v>
      </c>
      <c r="E13" s="249">
        <v>45453</v>
      </c>
      <c r="F13" s="251">
        <v>0.94791666666666663</v>
      </c>
      <c r="G13" s="246" t="s">
        <v>5942</v>
      </c>
      <c r="H13" s="131"/>
      <c r="I13" s="131" t="s">
        <v>2443</v>
      </c>
      <c r="J13" s="131">
        <v>5000</v>
      </c>
      <c r="K13" s="131">
        <v>995000</v>
      </c>
      <c r="L13" s="131"/>
      <c r="M13" s="131"/>
      <c r="N13" s="131"/>
      <c r="O13" s="131"/>
      <c r="P13" s="131"/>
      <c r="Q13" s="131"/>
    </row>
    <row r="14" spans="2:17" ht="39" x14ac:dyDescent="0.35">
      <c r="B14" s="104">
        <v>11</v>
      </c>
      <c r="C14" s="248" t="s">
        <v>5611</v>
      </c>
      <c r="D14" s="248" t="s">
        <v>5612</v>
      </c>
      <c r="E14" s="249">
        <v>45454</v>
      </c>
      <c r="F14" s="251">
        <v>0.60624999999999996</v>
      </c>
      <c r="G14" s="246" t="s">
        <v>5943</v>
      </c>
      <c r="H14" s="131"/>
      <c r="I14" s="131" t="s">
        <v>2443</v>
      </c>
      <c r="J14" s="131">
        <v>20000</v>
      </c>
      <c r="K14" s="131">
        <v>1480000</v>
      </c>
      <c r="L14" s="131"/>
      <c r="M14" s="131"/>
      <c r="N14" s="131"/>
      <c r="O14" s="131"/>
      <c r="P14" s="131"/>
      <c r="Q14" s="131"/>
    </row>
    <row r="15" spans="2:17" ht="39" x14ac:dyDescent="0.35">
      <c r="B15" s="104">
        <v>12</v>
      </c>
      <c r="C15" s="248" t="s">
        <v>5611</v>
      </c>
      <c r="D15" s="248" t="s">
        <v>5612</v>
      </c>
      <c r="E15" s="249">
        <v>45455</v>
      </c>
      <c r="F15" s="251">
        <v>0.39097222222222222</v>
      </c>
      <c r="G15" s="246" t="s">
        <v>5944</v>
      </c>
      <c r="H15" s="131"/>
      <c r="I15" s="131" t="s">
        <v>2443</v>
      </c>
      <c r="J15" s="131">
        <v>5000</v>
      </c>
      <c r="K15" s="131">
        <v>295000</v>
      </c>
      <c r="L15" s="131"/>
      <c r="M15" s="131"/>
      <c r="N15" s="131"/>
      <c r="O15" s="131"/>
      <c r="P15" s="131"/>
      <c r="Q15" s="131"/>
    </row>
    <row r="16" spans="2:17" ht="39" x14ac:dyDescent="0.35">
      <c r="B16" s="104">
        <v>13</v>
      </c>
      <c r="C16" s="248" t="s">
        <v>5611</v>
      </c>
      <c r="D16" s="248" t="s">
        <v>5612</v>
      </c>
      <c r="E16" s="249">
        <v>45455</v>
      </c>
      <c r="F16" s="251">
        <v>0.82986111111111116</v>
      </c>
      <c r="G16" s="246" t="s">
        <v>5945</v>
      </c>
      <c r="H16" s="131"/>
      <c r="I16" s="131" t="s">
        <v>2443</v>
      </c>
      <c r="J16" s="131"/>
      <c r="K16" s="131"/>
      <c r="L16" s="131"/>
      <c r="M16" s="131"/>
      <c r="N16" s="131"/>
      <c r="O16" s="131"/>
      <c r="P16" s="131"/>
      <c r="Q16" s="131"/>
    </row>
    <row r="17" spans="2:17" ht="39" x14ac:dyDescent="0.35">
      <c r="B17" s="104">
        <v>14</v>
      </c>
      <c r="C17" s="248" t="s">
        <v>5611</v>
      </c>
      <c r="D17" s="248" t="s">
        <v>5612</v>
      </c>
      <c r="E17" s="249">
        <v>45456</v>
      </c>
      <c r="F17" s="251">
        <v>0.53749999999999998</v>
      </c>
      <c r="G17" s="246" t="s">
        <v>5944</v>
      </c>
      <c r="H17" s="131"/>
      <c r="I17" s="131" t="s">
        <v>2443</v>
      </c>
      <c r="J17" s="131"/>
      <c r="K17" s="131"/>
      <c r="L17" s="131"/>
      <c r="M17" s="131"/>
      <c r="N17" s="131"/>
      <c r="O17" s="131"/>
      <c r="P17" s="131"/>
      <c r="Q17" s="131"/>
    </row>
    <row r="18" spans="2:17" ht="39" x14ac:dyDescent="0.35">
      <c r="B18" s="104">
        <v>15</v>
      </c>
      <c r="C18" s="248" t="s">
        <v>5611</v>
      </c>
      <c r="D18" s="248" t="s">
        <v>5612</v>
      </c>
      <c r="E18" s="249">
        <v>45456</v>
      </c>
      <c r="F18" s="251">
        <v>0.71180555555555558</v>
      </c>
      <c r="G18" s="246" t="s">
        <v>5946</v>
      </c>
      <c r="H18" s="131"/>
      <c r="I18" s="131" t="s">
        <v>2443</v>
      </c>
      <c r="J18" s="131"/>
      <c r="K18" s="131"/>
      <c r="L18" s="131"/>
      <c r="M18" s="131"/>
      <c r="N18" s="131"/>
      <c r="O18" s="131"/>
      <c r="P18" s="131"/>
      <c r="Q18" s="131"/>
    </row>
    <row r="19" spans="2:17" ht="39" x14ac:dyDescent="0.35">
      <c r="B19" s="104">
        <v>16</v>
      </c>
      <c r="C19" s="248" t="s">
        <v>5611</v>
      </c>
      <c r="D19" s="248" t="s">
        <v>5612</v>
      </c>
      <c r="E19" s="249">
        <v>45461</v>
      </c>
      <c r="F19" s="251">
        <v>0.89722222222222225</v>
      </c>
      <c r="G19" s="246" t="s">
        <v>5947</v>
      </c>
      <c r="H19" s="131"/>
      <c r="I19" s="131" t="s">
        <v>2443</v>
      </c>
      <c r="J19" s="131">
        <v>5000</v>
      </c>
      <c r="K19" s="131">
        <v>200000</v>
      </c>
      <c r="L19" s="131"/>
      <c r="M19" s="131"/>
      <c r="N19" s="131"/>
      <c r="O19" s="131"/>
      <c r="P19" s="131"/>
      <c r="Q19" s="131"/>
    </row>
    <row r="20" spans="2:17" ht="39" x14ac:dyDescent="0.35">
      <c r="B20" s="104">
        <v>17</v>
      </c>
      <c r="C20" s="248" t="s">
        <v>5611</v>
      </c>
      <c r="D20" s="248" t="s">
        <v>5612</v>
      </c>
      <c r="E20" s="249">
        <v>45462</v>
      </c>
      <c r="F20" s="251">
        <v>0.43819444444444444</v>
      </c>
      <c r="G20" s="246" t="s">
        <v>5948</v>
      </c>
      <c r="H20" s="131"/>
      <c r="I20" s="131" t="s">
        <v>2443</v>
      </c>
      <c r="J20" s="131"/>
      <c r="K20" s="131"/>
      <c r="L20" s="131"/>
      <c r="M20" s="131"/>
      <c r="N20" s="131"/>
      <c r="O20" s="131"/>
      <c r="P20" s="131"/>
      <c r="Q20" s="131"/>
    </row>
    <row r="21" spans="2:17" ht="39" x14ac:dyDescent="0.35">
      <c r="B21" s="104">
        <v>18</v>
      </c>
      <c r="C21" s="248" t="s">
        <v>5611</v>
      </c>
      <c r="D21" s="248" t="s">
        <v>5612</v>
      </c>
      <c r="E21" s="249">
        <v>45462</v>
      </c>
      <c r="F21" s="251">
        <v>0.55277777777777781</v>
      </c>
      <c r="G21" s="246" t="s">
        <v>5949</v>
      </c>
      <c r="H21" s="131"/>
      <c r="I21" s="131" t="s">
        <v>2443</v>
      </c>
      <c r="J21" s="131"/>
      <c r="K21" s="131"/>
      <c r="L21" s="131"/>
      <c r="M21" s="131"/>
      <c r="N21" s="131"/>
      <c r="O21" s="131"/>
      <c r="P21" s="131"/>
      <c r="Q21" s="131"/>
    </row>
    <row r="22" spans="2:17" ht="58.5" x14ac:dyDescent="0.35">
      <c r="B22" s="104">
        <v>19</v>
      </c>
      <c r="C22" s="248" t="s">
        <v>5611</v>
      </c>
      <c r="D22" s="248" t="s">
        <v>5613</v>
      </c>
      <c r="E22" s="249">
        <v>45446</v>
      </c>
      <c r="F22" s="251">
        <v>0.88194444444444442</v>
      </c>
      <c r="G22" s="252" t="s">
        <v>5950</v>
      </c>
      <c r="H22" s="131"/>
      <c r="I22" s="131" t="s">
        <v>2443</v>
      </c>
      <c r="J22" s="131"/>
      <c r="K22" s="131"/>
      <c r="L22" s="131"/>
      <c r="M22" s="131"/>
      <c r="N22" s="131"/>
      <c r="O22" s="131"/>
      <c r="P22" s="131"/>
      <c r="Q22" s="131"/>
    </row>
    <row r="23" spans="2:17" ht="39" x14ac:dyDescent="0.35">
      <c r="B23" s="104">
        <v>20</v>
      </c>
      <c r="C23" s="248" t="s">
        <v>5611</v>
      </c>
      <c r="D23" s="248" t="s">
        <v>5613</v>
      </c>
      <c r="E23" s="249">
        <v>45447</v>
      </c>
      <c r="F23" s="251">
        <v>6.6666666666666666E-2</v>
      </c>
      <c r="G23" s="246" t="s">
        <v>5951</v>
      </c>
      <c r="H23" s="131"/>
      <c r="I23" s="131" t="s">
        <v>2443</v>
      </c>
      <c r="J23" s="131">
        <v>5000</v>
      </c>
      <c r="K23" s="131">
        <v>4995000</v>
      </c>
      <c r="L23" s="131"/>
      <c r="M23" s="131"/>
      <c r="N23" s="131"/>
      <c r="O23" s="131"/>
      <c r="P23" s="131"/>
      <c r="Q23" s="131"/>
    </row>
    <row r="24" spans="2:17" ht="39" x14ac:dyDescent="0.35">
      <c r="B24" s="104">
        <v>21</v>
      </c>
      <c r="C24" s="248" t="s">
        <v>5611</v>
      </c>
      <c r="D24" s="248" t="s">
        <v>5613</v>
      </c>
      <c r="E24" s="249">
        <v>45452</v>
      </c>
      <c r="F24" s="251">
        <v>0.47361111111111109</v>
      </c>
      <c r="G24" s="246" t="s">
        <v>5952</v>
      </c>
      <c r="H24" s="131"/>
      <c r="I24" s="131" t="s">
        <v>2443</v>
      </c>
      <c r="J24" s="131">
        <v>2000</v>
      </c>
      <c r="K24" s="131">
        <v>98000</v>
      </c>
      <c r="L24" s="131"/>
      <c r="M24" s="131"/>
      <c r="N24" s="131"/>
      <c r="O24" s="131"/>
      <c r="P24" s="131"/>
      <c r="Q24" s="131"/>
    </row>
    <row r="25" spans="2:17" ht="58.5" x14ac:dyDescent="0.35">
      <c r="B25" s="104">
        <v>22</v>
      </c>
      <c r="C25" s="248" t="s">
        <v>5611</v>
      </c>
      <c r="D25" s="248" t="s">
        <v>5613</v>
      </c>
      <c r="E25" s="249">
        <v>45455</v>
      </c>
      <c r="F25" s="251">
        <v>0.60277777777777775</v>
      </c>
      <c r="G25" s="252" t="s">
        <v>5953</v>
      </c>
      <c r="H25" s="131"/>
      <c r="I25" s="131" t="s">
        <v>2443</v>
      </c>
      <c r="J25" s="131"/>
      <c r="K25" s="131"/>
      <c r="L25" s="131"/>
      <c r="M25" s="131"/>
      <c r="N25" s="131"/>
      <c r="O25" s="131"/>
      <c r="P25" s="131"/>
      <c r="Q25" s="131"/>
    </row>
    <row r="26" spans="2:17" ht="39" x14ac:dyDescent="0.35">
      <c r="B26" s="104">
        <v>23</v>
      </c>
      <c r="C26" s="248" t="s">
        <v>5611</v>
      </c>
      <c r="D26" s="248" t="s">
        <v>5613</v>
      </c>
      <c r="E26" s="249">
        <v>45455</v>
      </c>
      <c r="F26" s="251">
        <v>0.91874999999999996</v>
      </c>
      <c r="G26" s="246" t="s">
        <v>5954</v>
      </c>
      <c r="H26" s="131"/>
      <c r="I26" s="131" t="s">
        <v>2443</v>
      </c>
      <c r="J26" s="131"/>
      <c r="K26" s="131"/>
      <c r="L26" s="131"/>
      <c r="M26" s="131"/>
      <c r="N26" s="131"/>
      <c r="O26" s="131"/>
      <c r="P26" s="131"/>
      <c r="Q26" s="131"/>
    </row>
    <row r="27" spans="2:17" ht="19.5" x14ac:dyDescent="0.35">
      <c r="B27" s="104">
        <v>24</v>
      </c>
      <c r="C27" s="131"/>
      <c r="D27" s="131"/>
      <c r="E27" s="188"/>
      <c r="F27" s="131"/>
      <c r="G27" s="131"/>
      <c r="H27" s="131"/>
      <c r="I27" s="131"/>
      <c r="J27" s="131"/>
      <c r="K27" s="131"/>
      <c r="L27" s="131"/>
      <c r="M27" s="131"/>
      <c r="N27" s="131"/>
      <c r="O27" s="131"/>
      <c r="P27" s="131"/>
      <c r="Q27" s="131"/>
    </row>
    <row r="28" spans="2:17" ht="19.5" x14ac:dyDescent="0.35">
      <c r="B28" s="104">
        <v>25</v>
      </c>
      <c r="C28" s="131"/>
      <c r="D28" s="131"/>
      <c r="E28" s="188"/>
      <c r="F28" s="131"/>
      <c r="G28" s="131"/>
      <c r="H28" s="131"/>
      <c r="I28" s="131"/>
      <c r="J28" s="131"/>
      <c r="K28" s="131"/>
      <c r="L28" s="131"/>
      <c r="M28" s="131"/>
      <c r="N28" s="131"/>
      <c r="O28" s="131"/>
      <c r="P28" s="131"/>
      <c r="Q28" s="131"/>
    </row>
    <row r="29" spans="2:17" ht="19.5" x14ac:dyDescent="0.35">
      <c r="B29" s="104">
        <v>26</v>
      </c>
      <c r="C29" s="131"/>
      <c r="D29" s="131"/>
      <c r="E29" s="188"/>
      <c r="F29" s="131"/>
      <c r="G29" s="131"/>
      <c r="H29" s="131"/>
      <c r="I29" s="131"/>
      <c r="J29" s="131"/>
      <c r="K29" s="131"/>
      <c r="L29" s="131"/>
      <c r="M29" s="131"/>
      <c r="N29" s="131"/>
      <c r="O29" s="131"/>
      <c r="P29" s="131"/>
      <c r="Q29" s="131"/>
    </row>
    <row r="30" spans="2:17" ht="19.5" x14ac:dyDescent="0.35">
      <c r="B30" s="104">
        <v>27</v>
      </c>
      <c r="C30" s="131"/>
      <c r="D30" s="131"/>
      <c r="E30" s="188"/>
      <c r="F30" s="131"/>
      <c r="G30" s="131"/>
      <c r="H30" s="131"/>
      <c r="I30" s="131"/>
      <c r="J30" s="131"/>
      <c r="K30" s="131"/>
      <c r="L30" s="131"/>
      <c r="M30" s="131"/>
      <c r="N30" s="131"/>
      <c r="O30" s="131"/>
      <c r="P30" s="131"/>
      <c r="Q30" s="131"/>
    </row>
    <row r="31" spans="2:17" ht="19.5" x14ac:dyDescent="0.35">
      <c r="B31" s="104">
        <v>28</v>
      </c>
      <c r="C31" s="131"/>
      <c r="D31" s="131"/>
      <c r="E31" s="188"/>
      <c r="F31" s="131"/>
      <c r="G31" s="131"/>
      <c r="H31" s="131"/>
      <c r="I31" s="131"/>
      <c r="J31" s="131"/>
      <c r="K31" s="131"/>
      <c r="L31" s="131"/>
      <c r="M31" s="131"/>
      <c r="N31" s="131"/>
      <c r="O31" s="131"/>
      <c r="P31" s="131"/>
      <c r="Q31" s="131"/>
    </row>
    <row r="32" spans="2:17" ht="19.5" x14ac:dyDescent="0.35">
      <c r="B32" s="104">
        <v>29</v>
      </c>
      <c r="C32" s="131"/>
      <c r="D32" s="131"/>
      <c r="E32" s="188"/>
      <c r="F32" s="131"/>
      <c r="G32" s="131"/>
      <c r="H32" s="131"/>
      <c r="I32" s="131"/>
      <c r="J32" s="131"/>
      <c r="K32" s="131"/>
      <c r="L32" s="131"/>
      <c r="M32" s="131"/>
      <c r="N32" s="131"/>
      <c r="O32" s="131"/>
      <c r="P32" s="131"/>
      <c r="Q32" s="131"/>
    </row>
    <row r="33" spans="2:17" ht="19.5" x14ac:dyDescent="0.35">
      <c r="B33" s="104">
        <v>30</v>
      </c>
      <c r="C33" s="131"/>
      <c r="D33" s="131"/>
      <c r="E33" s="131"/>
      <c r="F33" s="131"/>
      <c r="G33" s="131"/>
      <c r="H33" s="131"/>
      <c r="I33" s="131"/>
      <c r="J33" s="131"/>
      <c r="K33" s="131"/>
      <c r="L33" s="131"/>
      <c r="M33" s="131"/>
      <c r="N33" s="131"/>
      <c r="O33" s="131"/>
      <c r="P33" s="131"/>
      <c r="Q33" s="131"/>
    </row>
    <row r="34" spans="2:17" ht="19.5" x14ac:dyDescent="0.35">
      <c r="B34" s="104">
        <v>31</v>
      </c>
      <c r="C34" s="131"/>
      <c r="D34" s="131"/>
      <c r="E34" s="131"/>
      <c r="F34" s="131"/>
      <c r="G34" s="131"/>
      <c r="H34" s="131"/>
      <c r="I34" s="131"/>
      <c r="J34" s="131"/>
      <c r="K34" s="131"/>
      <c r="L34" s="131"/>
      <c r="M34" s="131"/>
      <c r="N34" s="131"/>
      <c r="O34" s="131"/>
      <c r="P34" s="131"/>
      <c r="Q34" s="131"/>
    </row>
    <row r="35" spans="2:17" ht="19.5" x14ac:dyDescent="0.35">
      <c r="B35" s="104">
        <v>32</v>
      </c>
      <c r="C35" s="131"/>
      <c r="D35" s="131"/>
      <c r="E35" s="131"/>
      <c r="F35" s="131"/>
      <c r="G35" s="131"/>
      <c r="H35" s="131"/>
      <c r="I35" s="131"/>
      <c r="J35" s="131"/>
      <c r="K35" s="131"/>
      <c r="L35" s="131"/>
      <c r="M35" s="131"/>
      <c r="N35" s="131"/>
      <c r="O35" s="131"/>
      <c r="P35" s="131"/>
      <c r="Q35" s="131"/>
    </row>
    <row r="36" spans="2:17" ht="19.5" x14ac:dyDescent="0.35">
      <c r="B36" s="104">
        <v>33</v>
      </c>
      <c r="C36" s="131"/>
      <c r="D36" s="131"/>
      <c r="E36" s="131"/>
      <c r="F36" s="131"/>
      <c r="G36" s="131"/>
      <c r="H36" s="131"/>
      <c r="I36" s="131"/>
      <c r="J36" s="131"/>
      <c r="K36" s="131"/>
      <c r="L36" s="131"/>
      <c r="M36" s="131"/>
      <c r="N36" s="131"/>
      <c r="O36" s="131"/>
      <c r="P36" s="131"/>
      <c r="Q36" s="131"/>
    </row>
    <row r="37" spans="2:17" ht="19.5" x14ac:dyDescent="0.35">
      <c r="B37" s="104">
        <v>34</v>
      </c>
      <c r="C37" s="131"/>
      <c r="D37" s="131"/>
      <c r="E37" s="131"/>
      <c r="F37" s="131"/>
      <c r="G37" s="131"/>
      <c r="H37" s="131"/>
      <c r="I37" s="131"/>
      <c r="J37" s="131"/>
      <c r="K37" s="131"/>
      <c r="L37" s="131"/>
      <c r="M37" s="131"/>
      <c r="N37" s="131"/>
      <c r="O37" s="131"/>
      <c r="P37" s="131"/>
      <c r="Q37" s="131"/>
    </row>
    <row r="38" spans="2:17" ht="19.5" x14ac:dyDescent="0.35">
      <c r="B38" s="104">
        <v>35</v>
      </c>
      <c r="C38" s="131"/>
      <c r="D38" s="131"/>
      <c r="E38" s="131"/>
      <c r="F38" s="131"/>
      <c r="G38" s="131"/>
      <c r="H38" s="131"/>
      <c r="I38" s="131"/>
      <c r="J38" s="131"/>
      <c r="K38" s="131"/>
      <c r="L38" s="131"/>
      <c r="M38" s="131"/>
      <c r="N38" s="131"/>
      <c r="O38" s="131"/>
      <c r="P38" s="131"/>
      <c r="Q38" s="131"/>
    </row>
    <row r="39" spans="2:17" ht="19.5" x14ac:dyDescent="0.35">
      <c r="B39" s="104">
        <v>36</v>
      </c>
      <c r="C39" s="131"/>
      <c r="D39" s="131"/>
      <c r="E39" s="131"/>
      <c r="F39" s="131"/>
      <c r="G39" s="131"/>
      <c r="H39" s="131"/>
      <c r="I39" s="131"/>
      <c r="J39" s="131"/>
      <c r="K39" s="131"/>
      <c r="L39" s="131"/>
      <c r="M39" s="131"/>
      <c r="N39" s="131"/>
      <c r="O39" s="131"/>
      <c r="P39" s="131"/>
      <c r="Q39" s="131"/>
    </row>
    <row r="40" spans="2:17" ht="19.5" x14ac:dyDescent="0.35">
      <c r="B40" s="104">
        <v>37</v>
      </c>
      <c r="C40" s="131"/>
      <c r="D40" s="131"/>
      <c r="E40" s="131"/>
      <c r="F40" s="131"/>
      <c r="G40" s="131"/>
      <c r="H40" s="131"/>
      <c r="I40" s="131"/>
      <c r="J40" s="131"/>
      <c r="K40" s="131"/>
      <c r="L40" s="131"/>
      <c r="M40" s="131"/>
      <c r="N40" s="131"/>
      <c r="O40" s="131"/>
      <c r="P40" s="131"/>
      <c r="Q40" s="131"/>
    </row>
    <row r="41" spans="2:17" ht="19.5" x14ac:dyDescent="0.35">
      <c r="B41" s="104">
        <v>38</v>
      </c>
      <c r="C41" s="131"/>
      <c r="D41" s="131"/>
      <c r="E41" s="131"/>
      <c r="F41" s="131"/>
      <c r="G41" s="131"/>
      <c r="H41" s="131"/>
      <c r="I41" s="131"/>
      <c r="J41" s="131"/>
      <c r="K41" s="131"/>
      <c r="L41" s="131"/>
      <c r="M41" s="131"/>
      <c r="N41" s="131"/>
      <c r="O41" s="131"/>
      <c r="P41" s="131"/>
      <c r="Q41" s="131"/>
    </row>
    <row r="42" spans="2:17" ht="19.5" x14ac:dyDescent="0.35">
      <c r="B42" s="104">
        <v>39</v>
      </c>
      <c r="C42" s="131"/>
      <c r="D42" s="131"/>
      <c r="E42" s="131"/>
      <c r="F42" s="131"/>
      <c r="G42" s="131"/>
      <c r="H42" s="131"/>
      <c r="I42" s="131"/>
      <c r="J42" s="131"/>
      <c r="K42" s="131"/>
      <c r="L42" s="131"/>
      <c r="M42" s="131"/>
      <c r="N42" s="131"/>
      <c r="O42" s="131"/>
      <c r="P42" s="131"/>
      <c r="Q42" s="131"/>
    </row>
    <row r="43" spans="2:17" ht="19.5" x14ac:dyDescent="0.35">
      <c r="B43" s="104">
        <v>40</v>
      </c>
      <c r="C43" s="131"/>
      <c r="D43" s="131"/>
      <c r="E43" s="131"/>
      <c r="F43" s="131"/>
      <c r="G43" s="131"/>
      <c r="H43" s="131"/>
      <c r="I43" s="131"/>
      <c r="J43" s="131"/>
      <c r="K43" s="131"/>
      <c r="L43" s="131"/>
      <c r="M43" s="131"/>
      <c r="N43" s="131"/>
      <c r="O43" s="131"/>
      <c r="P43" s="131"/>
      <c r="Q43" s="131"/>
    </row>
    <row r="44" spans="2:17" ht="19.5" x14ac:dyDescent="0.35">
      <c r="B44" s="104">
        <v>41</v>
      </c>
      <c r="C44" s="131"/>
      <c r="D44" s="131"/>
      <c r="E44" s="131"/>
      <c r="F44" s="131"/>
      <c r="G44" s="131"/>
      <c r="H44" s="131"/>
      <c r="I44" s="131"/>
      <c r="J44" s="131"/>
      <c r="K44" s="131"/>
      <c r="L44" s="131"/>
      <c r="M44" s="131"/>
      <c r="N44" s="131"/>
      <c r="O44" s="131"/>
      <c r="P44" s="131"/>
      <c r="Q44" s="131"/>
    </row>
    <row r="45" spans="2:17" ht="19.5" x14ac:dyDescent="0.35">
      <c r="B45" s="104">
        <v>42</v>
      </c>
      <c r="C45" s="131"/>
      <c r="D45" s="131"/>
      <c r="E45" s="131"/>
      <c r="F45" s="131"/>
      <c r="G45" s="131"/>
      <c r="H45" s="131"/>
      <c r="I45" s="131"/>
      <c r="J45" s="131"/>
      <c r="K45" s="131"/>
      <c r="L45" s="131"/>
      <c r="M45" s="131"/>
      <c r="N45" s="131"/>
      <c r="O45" s="131"/>
      <c r="P45" s="131"/>
      <c r="Q45" s="131"/>
    </row>
    <row r="46" spans="2:17" ht="19.5" x14ac:dyDescent="0.35">
      <c r="B46" s="104">
        <v>43</v>
      </c>
      <c r="C46" s="131"/>
      <c r="D46" s="131"/>
      <c r="E46" s="131"/>
      <c r="F46" s="131"/>
      <c r="G46" s="131"/>
      <c r="H46" s="131"/>
      <c r="I46" s="131"/>
      <c r="J46" s="131"/>
      <c r="K46" s="131"/>
      <c r="L46" s="131"/>
      <c r="M46" s="131"/>
      <c r="N46" s="131"/>
      <c r="O46" s="131"/>
      <c r="P46" s="131"/>
      <c r="Q46" s="131"/>
    </row>
    <row r="47" spans="2:17" ht="19.5" x14ac:dyDescent="0.35">
      <c r="B47" s="104">
        <v>44</v>
      </c>
      <c r="C47" s="131"/>
      <c r="D47" s="131"/>
      <c r="E47" s="131"/>
      <c r="F47" s="131"/>
      <c r="G47" s="131"/>
      <c r="H47" s="131"/>
      <c r="I47" s="131"/>
      <c r="J47" s="131"/>
      <c r="K47" s="131"/>
      <c r="L47" s="131"/>
      <c r="M47" s="131"/>
      <c r="N47" s="131"/>
      <c r="O47" s="131"/>
      <c r="P47" s="131"/>
      <c r="Q47" s="131"/>
    </row>
    <row r="48" spans="2:17" ht="19.5" x14ac:dyDescent="0.35">
      <c r="B48" s="104">
        <v>45</v>
      </c>
      <c r="C48" s="131"/>
      <c r="D48" s="131"/>
      <c r="E48" s="131"/>
      <c r="F48" s="131"/>
      <c r="G48" s="131"/>
      <c r="H48" s="131"/>
      <c r="I48" s="131"/>
      <c r="J48" s="131"/>
      <c r="K48" s="131"/>
      <c r="L48" s="131"/>
      <c r="M48" s="131"/>
      <c r="N48" s="131"/>
      <c r="O48" s="131"/>
      <c r="P48" s="131"/>
      <c r="Q48" s="131"/>
    </row>
    <row r="49" spans="2:17" ht="19.5" x14ac:dyDescent="0.35">
      <c r="B49" s="104">
        <v>46</v>
      </c>
      <c r="C49" s="131"/>
      <c r="D49" s="131"/>
      <c r="E49" s="131"/>
      <c r="F49" s="131"/>
      <c r="G49" s="131"/>
      <c r="H49" s="131"/>
      <c r="I49" s="131"/>
      <c r="J49" s="131"/>
      <c r="K49" s="131"/>
      <c r="L49" s="131"/>
      <c r="M49" s="131"/>
      <c r="N49" s="131"/>
      <c r="O49" s="131"/>
      <c r="P49" s="131"/>
      <c r="Q49" s="131"/>
    </row>
    <row r="50" spans="2:17" ht="19.5" x14ac:dyDescent="0.35">
      <c r="B50" s="104">
        <v>47</v>
      </c>
      <c r="C50" s="131"/>
      <c r="D50" s="131"/>
      <c r="E50" s="131"/>
      <c r="F50" s="131"/>
      <c r="G50" s="131"/>
      <c r="H50" s="131"/>
      <c r="I50" s="131"/>
      <c r="J50" s="131"/>
      <c r="K50" s="131"/>
      <c r="L50" s="131"/>
      <c r="M50" s="131"/>
      <c r="N50" s="131"/>
      <c r="O50" s="131"/>
      <c r="P50" s="131"/>
      <c r="Q50" s="131"/>
    </row>
    <row r="51" spans="2:17" ht="19.5" x14ac:dyDescent="0.35">
      <c r="B51" s="104">
        <v>48</v>
      </c>
      <c r="C51" s="131"/>
      <c r="D51" s="131"/>
      <c r="E51" s="131"/>
      <c r="F51" s="131"/>
      <c r="G51" s="131"/>
      <c r="H51" s="131"/>
      <c r="I51" s="131"/>
      <c r="J51" s="131"/>
      <c r="K51" s="131"/>
      <c r="L51" s="131"/>
      <c r="M51" s="131"/>
      <c r="N51" s="131"/>
      <c r="O51" s="131"/>
      <c r="P51" s="131"/>
      <c r="Q51" s="131"/>
    </row>
    <row r="52" spans="2:17" ht="19.5" x14ac:dyDescent="0.35">
      <c r="B52" s="104">
        <v>49</v>
      </c>
      <c r="C52" s="131"/>
      <c r="D52" s="131"/>
      <c r="E52" s="131"/>
      <c r="F52" s="131"/>
      <c r="G52" s="131"/>
      <c r="H52" s="131"/>
      <c r="I52" s="131"/>
      <c r="J52" s="131"/>
      <c r="K52" s="131"/>
      <c r="L52" s="131"/>
      <c r="M52" s="131"/>
      <c r="N52" s="131"/>
      <c r="O52" s="131"/>
      <c r="P52" s="131"/>
      <c r="Q52" s="131"/>
    </row>
    <row r="53" spans="2:17" ht="19.5" x14ac:dyDescent="0.35">
      <c r="B53" s="104">
        <v>50</v>
      </c>
      <c r="C53" s="131"/>
      <c r="D53" s="131"/>
      <c r="E53" s="131"/>
      <c r="F53" s="131"/>
      <c r="G53" s="131"/>
      <c r="H53" s="131"/>
      <c r="I53" s="131"/>
      <c r="J53" s="131"/>
      <c r="K53" s="131"/>
      <c r="L53" s="131"/>
      <c r="M53" s="131"/>
      <c r="N53" s="131"/>
      <c r="O53" s="131"/>
      <c r="P53" s="131"/>
      <c r="Q53" s="131"/>
    </row>
    <row r="54" spans="2:17" ht="19.5" x14ac:dyDescent="0.35">
      <c r="B54" s="104">
        <v>51</v>
      </c>
      <c r="C54" s="131"/>
      <c r="D54" s="131"/>
      <c r="E54" s="131"/>
      <c r="F54" s="131"/>
      <c r="G54" s="131"/>
      <c r="H54" s="131"/>
      <c r="I54" s="131"/>
      <c r="J54" s="131"/>
      <c r="K54" s="131"/>
      <c r="L54" s="131"/>
      <c r="M54" s="131"/>
      <c r="N54" s="131"/>
      <c r="O54" s="131"/>
      <c r="P54" s="131"/>
      <c r="Q54" s="131"/>
    </row>
    <row r="55" spans="2:17" ht="19.5" x14ac:dyDescent="0.35">
      <c r="B55" s="104">
        <v>52</v>
      </c>
      <c r="C55" s="131"/>
      <c r="D55" s="131"/>
      <c r="E55" s="131"/>
      <c r="F55" s="131"/>
      <c r="G55" s="131"/>
      <c r="H55" s="131"/>
      <c r="I55" s="131"/>
      <c r="J55" s="131"/>
      <c r="K55" s="131"/>
      <c r="L55" s="131"/>
      <c r="M55" s="131"/>
      <c r="N55" s="131"/>
      <c r="O55" s="131"/>
      <c r="P55" s="131"/>
      <c r="Q55" s="131"/>
    </row>
    <row r="56" spans="2:17" ht="19.5" x14ac:dyDescent="0.35">
      <c r="B56" s="104">
        <v>53</v>
      </c>
      <c r="C56" s="131"/>
      <c r="D56" s="131"/>
      <c r="E56" s="131"/>
      <c r="F56" s="131"/>
      <c r="G56" s="131"/>
      <c r="H56" s="131"/>
      <c r="I56" s="131"/>
      <c r="J56" s="131"/>
      <c r="K56" s="131"/>
      <c r="L56" s="131"/>
      <c r="M56" s="131"/>
      <c r="N56" s="131"/>
      <c r="O56" s="131"/>
      <c r="P56" s="131"/>
      <c r="Q56" s="131"/>
    </row>
    <row r="57" spans="2:17" ht="19.5" x14ac:dyDescent="0.35">
      <c r="B57" s="104">
        <v>54</v>
      </c>
      <c r="C57" s="131"/>
      <c r="D57" s="131"/>
      <c r="E57" s="131"/>
      <c r="F57" s="131"/>
      <c r="G57" s="131"/>
      <c r="H57" s="131"/>
      <c r="I57" s="131"/>
      <c r="J57" s="131"/>
      <c r="K57" s="131"/>
      <c r="L57" s="131"/>
      <c r="M57" s="131"/>
      <c r="N57" s="131"/>
      <c r="O57" s="131"/>
      <c r="P57" s="131"/>
      <c r="Q57" s="131"/>
    </row>
    <row r="58" spans="2:17" ht="19.5" x14ac:dyDescent="0.35">
      <c r="B58" s="104">
        <v>55</v>
      </c>
      <c r="C58" s="131"/>
      <c r="D58" s="131"/>
      <c r="E58" s="131"/>
      <c r="F58" s="131"/>
      <c r="G58" s="131"/>
      <c r="H58" s="131"/>
      <c r="I58" s="131"/>
      <c r="J58" s="131"/>
      <c r="K58" s="131"/>
      <c r="L58" s="131"/>
      <c r="M58" s="131"/>
      <c r="N58" s="131"/>
      <c r="O58" s="131"/>
      <c r="P58" s="131"/>
      <c r="Q58" s="131"/>
    </row>
    <row r="59" spans="2:17" ht="19.5" x14ac:dyDescent="0.35">
      <c r="B59" s="104">
        <v>56</v>
      </c>
      <c r="C59" s="131"/>
      <c r="D59" s="131"/>
      <c r="E59" s="131"/>
      <c r="F59" s="131"/>
      <c r="G59" s="131"/>
      <c r="H59" s="131"/>
      <c r="I59" s="131"/>
      <c r="J59" s="131"/>
      <c r="K59" s="131"/>
      <c r="L59" s="131"/>
      <c r="M59" s="131"/>
      <c r="N59" s="131"/>
      <c r="O59" s="131"/>
      <c r="P59" s="131"/>
      <c r="Q59" s="131"/>
    </row>
    <row r="60" spans="2:17" ht="19.5" x14ac:dyDescent="0.35">
      <c r="B60" s="104">
        <v>57</v>
      </c>
      <c r="C60" s="131"/>
      <c r="D60" s="131"/>
      <c r="E60" s="131"/>
      <c r="F60" s="131"/>
      <c r="G60" s="131"/>
      <c r="H60" s="131"/>
      <c r="I60" s="131"/>
      <c r="J60" s="131"/>
      <c r="K60" s="131"/>
      <c r="L60" s="131"/>
      <c r="M60" s="131"/>
      <c r="N60" s="131"/>
      <c r="O60" s="131"/>
      <c r="P60" s="131"/>
      <c r="Q60" s="131"/>
    </row>
    <row r="61" spans="2:17" ht="19.5" x14ac:dyDescent="0.35">
      <c r="B61" s="104">
        <v>58</v>
      </c>
      <c r="C61" s="131"/>
      <c r="D61" s="131"/>
      <c r="E61" s="131"/>
      <c r="F61" s="131"/>
      <c r="G61" s="131"/>
      <c r="H61" s="131"/>
      <c r="I61" s="131"/>
      <c r="J61" s="131"/>
      <c r="K61" s="131"/>
      <c r="L61" s="131"/>
      <c r="M61" s="131"/>
      <c r="N61" s="131"/>
      <c r="O61" s="131"/>
      <c r="P61" s="131"/>
      <c r="Q61" s="131"/>
    </row>
    <row r="62" spans="2:17" ht="19.5" x14ac:dyDescent="0.35">
      <c r="B62" s="104">
        <v>59</v>
      </c>
      <c r="C62" s="131"/>
      <c r="D62" s="131"/>
      <c r="E62" s="131"/>
      <c r="F62" s="131"/>
      <c r="G62" s="131"/>
      <c r="H62" s="131"/>
      <c r="I62" s="131"/>
      <c r="J62" s="131"/>
      <c r="K62" s="131"/>
      <c r="L62" s="131"/>
      <c r="M62" s="131"/>
      <c r="N62" s="131"/>
      <c r="O62" s="131"/>
      <c r="P62" s="131"/>
      <c r="Q62" s="131"/>
    </row>
    <row r="63" spans="2:17" ht="19.5" x14ac:dyDescent="0.35">
      <c r="B63" s="104">
        <v>60</v>
      </c>
      <c r="C63" s="131"/>
      <c r="D63" s="131"/>
      <c r="E63" s="131"/>
      <c r="F63" s="131"/>
      <c r="G63" s="131"/>
      <c r="H63" s="131"/>
      <c r="I63" s="131"/>
      <c r="J63" s="131"/>
      <c r="K63" s="131"/>
      <c r="L63" s="131"/>
      <c r="M63" s="131"/>
      <c r="N63" s="131"/>
      <c r="O63" s="131"/>
      <c r="P63" s="131"/>
      <c r="Q63" s="131"/>
    </row>
    <row r="64" spans="2:17" ht="19.5" x14ac:dyDescent="0.35">
      <c r="B64" s="104">
        <v>61</v>
      </c>
      <c r="C64" s="131"/>
      <c r="D64" s="131"/>
      <c r="E64" s="131"/>
      <c r="F64" s="131"/>
      <c r="G64" s="131"/>
      <c r="H64" s="131"/>
      <c r="I64" s="131"/>
      <c r="J64" s="131"/>
      <c r="K64" s="131"/>
      <c r="L64" s="131"/>
      <c r="M64" s="131"/>
      <c r="N64" s="131"/>
      <c r="O64" s="131"/>
      <c r="P64" s="131"/>
      <c r="Q64" s="131"/>
    </row>
    <row r="65" spans="2:17" ht="19.5" x14ac:dyDescent="0.35">
      <c r="B65" s="104">
        <v>62</v>
      </c>
      <c r="C65" s="131"/>
      <c r="D65" s="131"/>
      <c r="E65" s="131"/>
      <c r="F65" s="131"/>
      <c r="G65" s="131"/>
      <c r="H65" s="131"/>
      <c r="I65" s="131"/>
      <c r="J65" s="131"/>
      <c r="K65" s="131"/>
      <c r="L65" s="131"/>
      <c r="M65" s="131"/>
      <c r="N65" s="131"/>
      <c r="O65" s="131"/>
      <c r="P65" s="131"/>
      <c r="Q65" s="131"/>
    </row>
    <row r="66" spans="2:17" ht="19.5" x14ac:dyDescent="0.35">
      <c r="B66" s="104">
        <v>63</v>
      </c>
      <c r="C66" s="131"/>
      <c r="D66" s="131"/>
      <c r="E66" s="131"/>
      <c r="F66" s="131"/>
      <c r="G66" s="131"/>
      <c r="H66" s="131"/>
      <c r="I66" s="131"/>
      <c r="J66" s="131"/>
      <c r="K66" s="131"/>
      <c r="L66" s="131"/>
      <c r="M66" s="131"/>
      <c r="N66" s="131"/>
      <c r="O66" s="131"/>
      <c r="P66" s="131"/>
      <c r="Q66" s="131"/>
    </row>
    <row r="67" spans="2:17" ht="19.5" x14ac:dyDescent="0.35">
      <c r="B67" s="104">
        <v>64</v>
      </c>
      <c r="C67" s="131"/>
      <c r="D67" s="131"/>
      <c r="E67" s="131"/>
      <c r="F67" s="131"/>
      <c r="G67" s="131"/>
      <c r="H67" s="131"/>
      <c r="I67" s="131"/>
      <c r="J67" s="131"/>
      <c r="K67" s="131"/>
      <c r="L67" s="131"/>
      <c r="M67" s="131"/>
      <c r="N67" s="131"/>
      <c r="O67" s="131"/>
      <c r="P67" s="131"/>
      <c r="Q67" s="131"/>
    </row>
    <row r="68" spans="2:17" ht="19.5" x14ac:dyDescent="0.35">
      <c r="B68" s="104">
        <v>65</v>
      </c>
      <c r="C68" s="131"/>
      <c r="D68" s="131"/>
      <c r="E68" s="131"/>
      <c r="F68" s="131"/>
      <c r="G68" s="131"/>
      <c r="H68" s="131"/>
      <c r="I68" s="131"/>
      <c r="J68" s="131"/>
      <c r="K68" s="131"/>
      <c r="L68" s="131"/>
      <c r="M68" s="131"/>
      <c r="N68" s="131"/>
      <c r="O68" s="131"/>
      <c r="P68" s="131"/>
      <c r="Q68" s="131"/>
    </row>
    <row r="69" spans="2:17" ht="19.5" x14ac:dyDescent="0.35">
      <c r="B69" s="104">
        <v>66</v>
      </c>
      <c r="C69" s="131"/>
      <c r="D69" s="131"/>
      <c r="E69" s="131"/>
      <c r="F69" s="131"/>
      <c r="G69" s="131"/>
      <c r="H69" s="131"/>
      <c r="I69" s="131"/>
      <c r="J69" s="131"/>
      <c r="K69" s="131"/>
      <c r="L69" s="131"/>
      <c r="M69" s="131"/>
      <c r="N69" s="131"/>
      <c r="O69" s="131"/>
      <c r="P69" s="131"/>
      <c r="Q69" s="131"/>
    </row>
    <row r="70" spans="2:17" ht="19.5" x14ac:dyDescent="0.35">
      <c r="B70" s="104">
        <v>67</v>
      </c>
      <c r="C70" s="131"/>
      <c r="D70" s="131"/>
      <c r="E70" s="131"/>
      <c r="F70" s="131"/>
      <c r="G70" s="131"/>
      <c r="H70" s="131"/>
      <c r="I70" s="131"/>
      <c r="J70" s="131"/>
      <c r="K70" s="131"/>
      <c r="L70" s="131"/>
      <c r="M70" s="131"/>
      <c r="N70" s="131"/>
      <c r="O70" s="131"/>
      <c r="P70" s="131"/>
      <c r="Q70" s="131"/>
    </row>
    <row r="71" spans="2:17" ht="19.5" x14ac:dyDescent="0.35">
      <c r="B71" s="104">
        <v>68</v>
      </c>
      <c r="C71" s="131"/>
      <c r="D71" s="131"/>
      <c r="E71" s="131"/>
      <c r="F71" s="131"/>
      <c r="G71" s="131"/>
      <c r="H71" s="131"/>
      <c r="I71" s="131"/>
      <c r="J71" s="131"/>
      <c r="K71" s="131"/>
      <c r="L71" s="131"/>
      <c r="M71" s="131"/>
      <c r="N71" s="131"/>
      <c r="O71" s="131"/>
      <c r="P71" s="131"/>
      <c r="Q71" s="131"/>
    </row>
    <row r="72" spans="2:17" ht="19.5" x14ac:dyDescent="0.35">
      <c r="B72" s="104">
        <v>69</v>
      </c>
      <c r="C72" s="131"/>
      <c r="D72" s="131"/>
      <c r="E72" s="131"/>
      <c r="F72" s="131"/>
      <c r="G72" s="131"/>
      <c r="H72" s="131"/>
      <c r="I72" s="131"/>
      <c r="J72" s="131"/>
      <c r="K72" s="131"/>
      <c r="L72" s="131"/>
      <c r="M72" s="131"/>
      <c r="N72" s="131"/>
      <c r="O72" s="131"/>
      <c r="P72" s="131"/>
      <c r="Q72" s="131"/>
    </row>
    <row r="73" spans="2:17" ht="19.5" x14ac:dyDescent="0.35">
      <c r="B73" s="104">
        <v>70</v>
      </c>
      <c r="C73" s="131"/>
      <c r="D73" s="131"/>
      <c r="E73" s="131"/>
      <c r="F73" s="131"/>
      <c r="G73" s="131"/>
      <c r="H73" s="131"/>
      <c r="I73" s="131"/>
      <c r="J73" s="131"/>
      <c r="K73" s="131"/>
      <c r="L73" s="131"/>
      <c r="M73" s="131"/>
      <c r="N73" s="131"/>
      <c r="O73" s="131"/>
      <c r="P73" s="131"/>
      <c r="Q73" s="131"/>
    </row>
    <row r="74" spans="2:17" ht="19.5" x14ac:dyDescent="0.35">
      <c r="B74" s="104">
        <v>71</v>
      </c>
      <c r="C74" s="131"/>
      <c r="D74" s="131"/>
      <c r="E74" s="131"/>
      <c r="F74" s="131"/>
      <c r="G74" s="131"/>
      <c r="H74" s="131"/>
      <c r="I74" s="131"/>
      <c r="J74" s="131"/>
      <c r="K74" s="131"/>
      <c r="L74" s="131"/>
      <c r="M74" s="131"/>
      <c r="N74" s="131"/>
      <c r="O74" s="131"/>
      <c r="P74" s="131"/>
      <c r="Q74" s="131"/>
    </row>
    <row r="75" spans="2:17" ht="19.5" x14ac:dyDescent="0.35">
      <c r="B75" s="104">
        <v>72</v>
      </c>
      <c r="C75" s="131"/>
      <c r="D75" s="131"/>
      <c r="E75" s="131"/>
      <c r="F75" s="131"/>
      <c r="G75" s="131"/>
      <c r="H75" s="131"/>
      <c r="I75" s="131"/>
      <c r="J75" s="131"/>
      <c r="K75" s="131"/>
      <c r="L75" s="131"/>
      <c r="M75" s="131"/>
      <c r="N75" s="131"/>
      <c r="O75" s="131"/>
      <c r="P75" s="131"/>
      <c r="Q75" s="131"/>
    </row>
    <row r="76" spans="2:17" ht="19.5" x14ac:dyDescent="0.35">
      <c r="B76" s="104">
        <v>73</v>
      </c>
      <c r="C76" s="131"/>
      <c r="D76" s="131"/>
      <c r="E76" s="131"/>
      <c r="F76" s="131"/>
      <c r="G76" s="131"/>
      <c r="H76" s="131"/>
      <c r="I76" s="131"/>
      <c r="J76" s="131"/>
      <c r="K76" s="131"/>
      <c r="L76" s="131"/>
      <c r="M76" s="131"/>
      <c r="N76" s="131"/>
      <c r="O76" s="131"/>
      <c r="P76" s="131"/>
      <c r="Q76" s="131"/>
    </row>
    <row r="77" spans="2:17" ht="19.5" x14ac:dyDescent="0.35">
      <c r="B77" s="104">
        <v>74</v>
      </c>
      <c r="C77" s="131"/>
      <c r="D77" s="131"/>
      <c r="E77" s="131"/>
      <c r="F77" s="131"/>
      <c r="G77" s="131"/>
      <c r="H77" s="131"/>
      <c r="I77" s="131"/>
      <c r="J77" s="131"/>
      <c r="K77" s="131"/>
      <c r="L77" s="131"/>
      <c r="M77" s="131"/>
      <c r="N77" s="131"/>
      <c r="O77" s="131"/>
      <c r="P77" s="131"/>
      <c r="Q77" s="131"/>
    </row>
    <row r="78" spans="2:17" ht="19.5" x14ac:dyDescent="0.35">
      <c r="B78" s="104">
        <v>75</v>
      </c>
      <c r="C78" s="131"/>
      <c r="D78" s="131"/>
      <c r="E78" s="131"/>
      <c r="F78" s="131"/>
      <c r="G78" s="131"/>
      <c r="H78" s="131"/>
      <c r="I78" s="131"/>
      <c r="J78" s="131"/>
      <c r="K78" s="131"/>
      <c r="L78" s="131"/>
      <c r="M78" s="131"/>
      <c r="N78" s="131"/>
      <c r="O78" s="131"/>
      <c r="P78" s="131"/>
      <c r="Q78" s="131"/>
    </row>
    <row r="79" spans="2:17" ht="19.5" x14ac:dyDescent="0.35">
      <c r="B79" s="104">
        <v>76</v>
      </c>
      <c r="C79" s="131"/>
      <c r="D79" s="131"/>
      <c r="E79" s="131"/>
      <c r="F79" s="131"/>
      <c r="G79" s="131"/>
      <c r="H79" s="131"/>
      <c r="I79" s="131"/>
      <c r="J79" s="131"/>
      <c r="K79" s="131"/>
      <c r="L79" s="131"/>
      <c r="M79" s="131"/>
      <c r="N79" s="131"/>
      <c r="O79" s="131"/>
      <c r="P79" s="131"/>
      <c r="Q79" s="131"/>
    </row>
    <row r="80" spans="2:17" ht="19.5" x14ac:dyDescent="0.35">
      <c r="B80" s="104">
        <v>77</v>
      </c>
      <c r="C80" s="131"/>
      <c r="D80" s="131"/>
      <c r="E80" s="131"/>
      <c r="F80" s="131"/>
      <c r="G80" s="131"/>
      <c r="H80" s="131"/>
      <c r="I80" s="131"/>
      <c r="J80" s="131"/>
      <c r="K80" s="131"/>
      <c r="L80" s="131"/>
      <c r="M80" s="131"/>
      <c r="N80" s="131"/>
      <c r="O80" s="131"/>
      <c r="P80" s="131"/>
      <c r="Q80" s="131"/>
    </row>
    <row r="81" spans="2:17" ht="19.5" x14ac:dyDescent="0.35">
      <c r="B81" s="104">
        <v>78</v>
      </c>
      <c r="C81" s="131"/>
      <c r="D81" s="131"/>
      <c r="E81" s="131"/>
      <c r="F81" s="131"/>
      <c r="G81" s="131"/>
      <c r="H81" s="131"/>
      <c r="I81" s="131"/>
      <c r="J81" s="131"/>
      <c r="K81" s="131"/>
      <c r="L81" s="131"/>
      <c r="M81" s="131"/>
      <c r="N81" s="131"/>
      <c r="O81" s="131"/>
      <c r="P81" s="131"/>
      <c r="Q81" s="131"/>
    </row>
    <row r="82" spans="2:17" ht="19.5" x14ac:dyDescent="0.35">
      <c r="B82" s="104">
        <v>79</v>
      </c>
      <c r="C82" s="131"/>
      <c r="D82" s="131"/>
      <c r="E82" s="131"/>
      <c r="F82" s="131"/>
      <c r="G82" s="131"/>
      <c r="H82" s="131"/>
      <c r="I82" s="131"/>
      <c r="J82" s="131"/>
      <c r="K82" s="131"/>
      <c r="L82" s="131"/>
      <c r="M82" s="131"/>
      <c r="N82" s="131"/>
      <c r="O82" s="131"/>
      <c r="P82" s="131"/>
      <c r="Q82" s="131"/>
    </row>
    <row r="83" spans="2:17" ht="19.5" x14ac:dyDescent="0.35">
      <c r="B83" s="104">
        <v>80</v>
      </c>
      <c r="C83" s="131"/>
      <c r="D83" s="131"/>
      <c r="E83" s="131"/>
      <c r="F83" s="131"/>
      <c r="G83" s="131"/>
      <c r="H83" s="131"/>
      <c r="I83" s="131"/>
      <c r="J83" s="131"/>
      <c r="K83" s="131"/>
      <c r="L83" s="131"/>
      <c r="M83" s="131"/>
      <c r="N83" s="131"/>
      <c r="O83" s="131"/>
      <c r="P83" s="131"/>
      <c r="Q83" s="131"/>
    </row>
    <row r="84" spans="2:17" ht="19.5" x14ac:dyDescent="0.35">
      <c r="B84" s="104">
        <v>81</v>
      </c>
      <c r="C84" s="131"/>
      <c r="D84" s="131"/>
      <c r="E84" s="131"/>
      <c r="F84" s="131"/>
      <c r="G84" s="131"/>
      <c r="H84" s="131"/>
      <c r="I84" s="131"/>
      <c r="J84" s="131"/>
      <c r="K84" s="131"/>
      <c r="L84" s="131"/>
      <c r="M84" s="131"/>
      <c r="N84" s="131"/>
      <c r="O84" s="131"/>
      <c r="P84" s="131"/>
      <c r="Q84" s="131"/>
    </row>
    <row r="85" spans="2:17" ht="19.5" x14ac:dyDescent="0.35">
      <c r="B85" s="104">
        <v>82</v>
      </c>
      <c r="C85" s="131"/>
      <c r="D85" s="131"/>
      <c r="E85" s="131"/>
      <c r="F85" s="131"/>
      <c r="G85" s="131"/>
      <c r="H85" s="131"/>
      <c r="I85" s="131"/>
      <c r="J85" s="131"/>
      <c r="K85" s="131"/>
      <c r="L85" s="131"/>
      <c r="M85" s="131"/>
      <c r="N85" s="131"/>
      <c r="O85" s="131"/>
      <c r="P85" s="131"/>
      <c r="Q85" s="131"/>
    </row>
    <row r="86" spans="2:17" ht="19.5" x14ac:dyDescent="0.35">
      <c r="B86" s="104">
        <v>83</v>
      </c>
      <c r="C86" s="131"/>
      <c r="D86" s="131"/>
      <c r="E86" s="131"/>
      <c r="F86" s="131"/>
      <c r="G86" s="131"/>
      <c r="H86" s="131"/>
      <c r="I86" s="131"/>
      <c r="J86" s="131"/>
      <c r="K86" s="131"/>
      <c r="L86" s="131"/>
      <c r="M86" s="131"/>
      <c r="N86" s="131"/>
      <c r="O86" s="131"/>
      <c r="P86" s="131"/>
      <c r="Q86" s="131"/>
    </row>
    <row r="87" spans="2:17" ht="19.5" x14ac:dyDescent="0.35">
      <c r="B87" s="104">
        <v>84</v>
      </c>
      <c r="C87" s="131"/>
      <c r="D87" s="131"/>
      <c r="E87" s="131"/>
      <c r="F87" s="131"/>
      <c r="G87" s="131"/>
      <c r="H87" s="131"/>
      <c r="I87" s="131"/>
      <c r="J87" s="131"/>
      <c r="K87" s="131"/>
      <c r="L87" s="131"/>
      <c r="M87" s="131"/>
      <c r="N87" s="131"/>
      <c r="O87" s="131"/>
      <c r="P87" s="131"/>
      <c r="Q87" s="131"/>
    </row>
    <row r="88" spans="2:17" ht="19.5" x14ac:dyDescent="0.35">
      <c r="B88" s="104">
        <v>85</v>
      </c>
      <c r="C88" s="131"/>
      <c r="D88" s="131"/>
      <c r="E88" s="131"/>
      <c r="F88" s="131"/>
      <c r="G88" s="131"/>
      <c r="H88" s="131"/>
      <c r="I88" s="131"/>
      <c r="J88" s="131"/>
      <c r="K88" s="131"/>
      <c r="L88" s="131"/>
      <c r="M88" s="131"/>
      <c r="N88" s="131"/>
      <c r="O88" s="131"/>
      <c r="P88" s="131"/>
      <c r="Q88" s="131"/>
    </row>
    <row r="89" spans="2:17" ht="19.5" x14ac:dyDescent="0.35">
      <c r="B89" s="104">
        <v>86</v>
      </c>
      <c r="C89" s="131"/>
      <c r="D89" s="131"/>
      <c r="E89" s="131"/>
      <c r="F89" s="131"/>
      <c r="G89" s="131"/>
      <c r="H89" s="131"/>
      <c r="I89" s="131"/>
      <c r="J89" s="131"/>
      <c r="K89" s="131"/>
      <c r="L89" s="131"/>
      <c r="M89" s="131"/>
      <c r="N89" s="131"/>
      <c r="O89" s="131"/>
      <c r="P89" s="131"/>
      <c r="Q89" s="131"/>
    </row>
    <row r="90" spans="2:17" ht="19.5" x14ac:dyDescent="0.35">
      <c r="B90" s="104">
        <v>87</v>
      </c>
      <c r="C90" s="131"/>
      <c r="D90" s="131"/>
      <c r="E90" s="131"/>
      <c r="F90" s="131"/>
      <c r="G90" s="131"/>
      <c r="H90" s="131"/>
      <c r="I90" s="131"/>
      <c r="J90" s="131"/>
      <c r="K90" s="131"/>
      <c r="L90" s="131"/>
      <c r="M90" s="131"/>
      <c r="N90" s="131"/>
      <c r="O90" s="131"/>
      <c r="P90" s="131"/>
      <c r="Q90" s="131"/>
    </row>
    <row r="91" spans="2:17" ht="19.5" x14ac:dyDescent="0.35">
      <c r="B91" s="104">
        <v>88</v>
      </c>
      <c r="C91" s="131"/>
      <c r="D91" s="131"/>
      <c r="E91" s="131"/>
      <c r="F91" s="131"/>
      <c r="G91" s="131"/>
      <c r="H91" s="131"/>
      <c r="I91" s="131"/>
      <c r="J91" s="131"/>
      <c r="K91" s="131"/>
      <c r="L91" s="131"/>
      <c r="M91" s="131"/>
      <c r="N91" s="131"/>
      <c r="O91" s="131"/>
      <c r="P91" s="131"/>
      <c r="Q91" s="131"/>
    </row>
    <row r="92" spans="2:17" ht="19.5" x14ac:dyDescent="0.35">
      <c r="B92" s="104">
        <v>89</v>
      </c>
      <c r="C92" s="131"/>
      <c r="D92" s="131"/>
      <c r="E92" s="131"/>
      <c r="F92" s="131"/>
      <c r="G92" s="131"/>
      <c r="H92" s="131"/>
      <c r="I92" s="131"/>
      <c r="J92" s="131"/>
      <c r="K92" s="131"/>
      <c r="L92" s="131"/>
      <c r="M92" s="131"/>
      <c r="N92" s="131"/>
      <c r="O92" s="131"/>
      <c r="P92" s="131"/>
      <c r="Q92" s="131"/>
    </row>
    <row r="93" spans="2:17" ht="19.5" x14ac:dyDescent="0.35">
      <c r="B93" s="104">
        <v>90</v>
      </c>
      <c r="C93" s="131"/>
      <c r="D93" s="131"/>
      <c r="E93" s="131"/>
      <c r="F93" s="131"/>
      <c r="G93" s="131"/>
      <c r="H93" s="131"/>
      <c r="I93" s="131"/>
      <c r="J93" s="131"/>
      <c r="K93" s="131"/>
      <c r="L93" s="131"/>
      <c r="M93" s="131"/>
      <c r="N93" s="131"/>
      <c r="O93" s="131"/>
      <c r="P93" s="131"/>
      <c r="Q93" s="131"/>
    </row>
    <row r="94" spans="2:17" ht="19.5" x14ac:dyDescent="0.35">
      <c r="B94" s="104">
        <v>91</v>
      </c>
      <c r="C94" s="131"/>
      <c r="D94" s="131"/>
      <c r="E94" s="131"/>
      <c r="F94" s="131"/>
      <c r="G94" s="131"/>
      <c r="H94" s="131"/>
      <c r="I94" s="131"/>
      <c r="J94" s="131"/>
      <c r="K94" s="131"/>
      <c r="L94" s="131"/>
      <c r="M94" s="131"/>
      <c r="N94" s="131"/>
      <c r="O94" s="131"/>
      <c r="P94" s="131"/>
      <c r="Q94" s="131"/>
    </row>
    <row r="95" spans="2:17" ht="19.5" x14ac:dyDescent="0.35">
      <c r="B95" s="104">
        <v>92</v>
      </c>
      <c r="C95" s="131"/>
      <c r="D95" s="131"/>
      <c r="E95" s="131"/>
      <c r="F95" s="131"/>
      <c r="G95" s="131"/>
      <c r="H95" s="131"/>
      <c r="I95" s="131"/>
      <c r="J95" s="131"/>
      <c r="K95" s="131"/>
      <c r="L95" s="131"/>
      <c r="M95" s="131"/>
      <c r="N95" s="131"/>
      <c r="O95" s="131"/>
      <c r="P95" s="131"/>
      <c r="Q95" s="131"/>
    </row>
    <row r="96" spans="2:17" ht="19.5" x14ac:dyDescent="0.35">
      <c r="B96" s="104">
        <v>93</v>
      </c>
      <c r="C96" s="131"/>
      <c r="D96" s="131"/>
      <c r="E96" s="131"/>
      <c r="F96" s="131"/>
      <c r="G96" s="131"/>
      <c r="H96" s="131"/>
      <c r="I96" s="131"/>
      <c r="J96" s="131"/>
      <c r="K96" s="131"/>
      <c r="L96" s="131"/>
      <c r="M96" s="131"/>
      <c r="N96" s="131"/>
      <c r="O96" s="131"/>
      <c r="P96" s="131"/>
      <c r="Q96" s="131"/>
    </row>
    <row r="97" spans="2:17" ht="19.5" x14ac:dyDescent="0.35">
      <c r="B97" s="104">
        <v>94</v>
      </c>
      <c r="C97" s="131"/>
      <c r="D97" s="131"/>
      <c r="E97" s="131"/>
      <c r="F97" s="131"/>
      <c r="G97" s="131"/>
      <c r="H97" s="131"/>
      <c r="I97" s="131"/>
      <c r="J97" s="131"/>
      <c r="K97" s="131"/>
      <c r="L97" s="131"/>
      <c r="M97" s="131"/>
      <c r="N97" s="131"/>
      <c r="O97" s="131"/>
      <c r="P97" s="131"/>
      <c r="Q97" s="131"/>
    </row>
    <row r="98" spans="2:17" ht="19.5" x14ac:dyDescent="0.35">
      <c r="B98" s="104">
        <v>95</v>
      </c>
      <c r="C98" s="131"/>
      <c r="D98" s="131"/>
      <c r="E98" s="131"/>
      <c r="F98" s="131"/>
      <c r="G98" s="131"/>
      <c r="H98" s="131"/>
      <c r="I98" s="131"/>
      <c r="J98" s="131"/>
      <c r="K98" s="131"/>
      <c r="L98" s="131"/>
      <c r="M98" s="131"/>
      <c r="N98" s="131"/>
      <c r="O98" s="131"/>
      <c r="P98" s="131"/>
      <c r="Q98" s="131"/>
    </row>
    <row r="99" spans="2:17" ht="19.5" x14ac:dyDescent="0.35">
      <c r="B99" s="104">
        <v>96</v>
      </c>
      <c r="C99" s="131"/>
      <c r="D99" s="131"/>
      <c r="E99" s="131"/>
      <c r="F99" s="131"/>
      <c r="G99" s="131"/>
      <c r="H99" s="131"/>
      <c r="I99" s="131"/>
      <c r="J99" s="131"/>
      <c r="K99" s="131"/>
      <c r="L99" s="131"/>
      <c r="M99" s="131"/>
      <c r="N99" s="131"/>
      <c r="O99" s="131"/>
      <c r="P99" s="131"/>
      <c r="Q99" s="131"/>
    </row>
    <row r="100" spans="2:17" ht="19.5" x14ac:dyDescent="0.35">
      <c r="B100" s="104">
        <v>97</v>
      </c>
      <c r="C100" s="131"/>
      <c r="D100" s="131"/>
      <c r="E100" s="131"/>
      <c r="F100" s="131"/>
      <c r="G100" s="131"/>
      <c r="H100" s="131"/>
      <c r="I100" s="131"/>
      <c r="J100" s="131"/>
      <c r="K100" s="131"/>
      <c r="L100" s="131"/>
      <c r="M100" s="131"/>
      <c r="N100" s="131"/>
      <c r="O100" s="131"/>
      <c r="P100" s="131"/>
      <c r="Q100" s="131"/>
    </row>
    <row r="101" spans="2:17" ht="19.5" x14ac:dyDescent="0.35">
      <c r="B101" s="104">
        <v>98</v>
      </c>
      <c r="C101" s="131"/>
      <c r="D101" s="131"/>
      <c r="E101" s="131"/>
      <c r="F101" s="131"/>
      <c r="G101" s="131"/>
      <c r="H101" s="131"/>
      <c r="I101" s="131"/>
      <c r="J101" s="131"/>
      <c r="K101" s="131"/>
      <c r="L101" s="131"/>
      <c r="M101" s="131"/>
      <c r="N101" s="131"/>
      <c r="O101" s="131"/>
      <c r="P101" s="131"/>
      <c r="Q101" s="131"/>
    </row>
    <row r="102" spans="2:17" ht="19.5" x14ac:dyDescent="0.35">
      <c r="B102" s="104">
        <v>99</v>
      </c>
      <c r="C102" s="131"/>
      <c r="D102" s="131"/>
      <c r="E102" s="131"/>
      <c r="F102" s="131"/>
      <c r="G102" s="131"/>
      <c r="H102" s="131"/>
      <c r="I102" s="131"/>
      <c r="J102" s="131"/>
      <c r="K102" s="131"/>
      <c r="L102" s="131"/>
      <c r="M102" s="131"/>
      <c r="N102" s="131"/>
      <c r="O102" s="131"/>
      <c r="P102" s="131"/>
      <c r="Q102" s="131"/>
    </row>
    <row r="103" spans="2:17" ht="19.5" x14ac:dyDescent="0.35">
      <c r="B103" s="104">
        <v>100</v>
      </c>
      <c r="C103" s="131"/>
      <c r="D103" s="131"/>
      <c r="E103" s="131"/>
      <c r="F103" s="131"/>
      <c r="G103" s="131"/>
      <c r="H103" s="131"/>
      <c r="I103" s="131"/>
      <c r="J103" s="131"/>
      <c r="K103" s="131"/>
      <c r="L103" s="131"/>
      <c r="M103" s="131"/>
      <c r="N103" s="131"/>
      <c r="O103" s="131"/>
      <c r="P103" s="131"/>
      <c r="Q103" s="131"/>
    </row>
    <row r="104" spans="2:17" ht="19.5" x14ac:dyDescent="0.35">
      <c r="B104" s="104">
        <v>101</v>
      </c>
      <c r="C104" s="131"/>
      <c r="D104" s="131"/>
      <c r="E104" s="131"/>
      <c r="F104" s="131"/>
      <c r="G104" s="131"/>
      <c r="H104" s="131"/>
      <c r="I104" s="131"/>
      <c r="J104" s="131"/>
      <c r="K104" s="131"/>
      <c r="L104" s="131"/>
      <c r="M104" s="131"/>
      <c r="N104" s="131"/>
      <c r="O104" s="131"/>
      <c r="P104" s="131"/>
      <c r="Q104" s="131"/>
    </row>
    <row r="105" spans="2:17" ht="19.5" x14ac:dyDescent="0.35">
      <c r="B105" s="104">
        <v>102</v>
      </c>
      <c r="C105" s="131"/>
      <c r="D105" s="131"/>
      <c r="E105" s="131"/>
      <c r="F105" s="131"/>
      <c r="G105" s="131"/>
      <c r="H105" s="131"/>
      <c r="I105" s="131"/>
      <c r="J105" s="131"/>
      <c r="K105" s="131"/>
      <c r="L105" s="131"/>
      <c r="M105" s="131"/>
      <c r="N105" s="131"/>
      <c r="O105" s="131"/>
      <c r="P105" s="131"/>
      <c r="Q105" s="131"/>
    </row>
    <row r="106" spans="2:17" ht="19.5" x14ac:dyDescent="0.35">
      <c r="B106" s="104">
        <v>103</v>
      </c>
      <c r="C106" s="131"/>
      <c r="D106" s="131"/>
      <c r="E106" s="131"/>
      <c r="F106" s="131"/>
      <c r="G106" s="131"/>
      <c r="H106" s="131"/>
      <c r="I106" s="131"/>
      <c r="J106" s="131"/>
      <c r="K106" s="131"/>
      <c r="L106" s="131"/>
      <c r="M106" s="131"/>
      <c r="N106" s="131"/>
      <c r="O106" s="131"/>
      <c r="P106" s="131"/>
      <c r="Q106" s="131"/>
    </row>
    <row r="107" spans="2:17" ht="19.5" x14ac:dyDescent="0.35">
      <c r="B107" s="104">
        <v>104</v>
      </c>
      <c r="C107" s="131"/>
      <c r="D107" s="131"/>
      <c r="E107" s="131"/>
      <c r="F107" s="131"/>
      <c r="G107" s="131"/>
      <c r="H107" s="131"/>
      <c r="I107" s="131"/>
      <c r="J107" s="131"/>
      <c r="K107" s="131"/>
      <c r="L107" s="131"/>
      <c r="M107" s="131"/>
      <c r="N107" s="131"/>
      <c r="O107" s="131"/>
      <c r="P107" s="131"/>
      <c r="Q107" s="131"/>
    </row>
    <row r="108" spans="2:17" ht="19.5" x14ac:dyDescent="0.35">
      <c r="B108" s="104">
        <v>105</v>
      </c>
      <c r="C108" s="131"/>
      <c r="D108" s="131"/>
      <c r="E108" s="131"/>
      <c r="F108" s="131"/>
      <c r="G108" s="131"/>
      <c r="H108" s="131"/>
      <c r="I108" s="131"/>
      <c r="J108" s="131"/>
      <c r="K108" s="131"/>
      <c r="L108" s="131"/>
      <c r="M108" s="131"/>
      <c r="N108" s="131"/>
      <c r="O108" s="131"/>
      <c r="P108" s="131"/>
      <c r="Q108" s="131"/>
    </row>
    <row r="109" spans="2:17" ht="19.5" x14ac:dyDescent="0.35">
      <c r="B109" s="104">
        <v>106</v>
      </c>
      <c r="C109" s="131"/>
      <c r="D109" s="131"/>
      <c r="E109" s="131"/>
      <c r="F109" s="131"/>
      <c r="G109" s="131"/>
      <c r="H109" s="131"/>
      <c r="I109" s="131"/>
      <c r="J109" s="131"/>
      <c r="K109" s="131"/>
      <c r="L109" s="131"/>
      <c r="M109" s="131"/>
      <c r="N109" s="131"/>
      <c r="O109" s="131"/>
      <c r="P109" s="131"/>
      <c r="Q109" s="131"/>
    </row>
    <row r="110" spans="2:17" ht="19.5" x14ac:dyDescent="0.35">
      <c r="B110" s="104">
        <v>107</v>
      </c>
      <c r="C110" s="131"/>
      <c r="D110" s="131"/>
      <c r="E110" s="131"/>
      <c r="F110" s="131"/>
      <c r="G110" s="131"/>
      <c r="H110" s="131"/>
      <c r="I110" s="131"/>
      <c r="J110" s="131"/>
      <c r="K110" s="131"/>
      <c r="L110" s="131"/>
      <c r="M110" s="131"/>
      <c r="N110" s="131"/>
      <c r="O110" s="131"/>
      <c r="P110" s="131"/>
      <c r="Q110" s="131"/>
    </row>
    <row r="111" spans="2:17" ht="19.5" x14ac:dyDescent="0.35">
      <c r="B111" s="104">
        <v>108</v>
      </c>
      <c r="C111" s="131"/>
      <c r="D111" s="131"/>
      <c r="E111" s="131"/>
      <c r="F111" s="131"/>
      <c r="G111" s="131"/>
      <c r="H111" s="131"/>
      <c r="I111" s="131"/>
      <c r="J111" s="131"/>
      <c r="K111" s="131"/>
      <c r="L111" s="131"/>
      <c r="M111" s="131"/>
      <c r="N111" s="131"/>
      <c r="O111" s="131"/>
      <c r="P111" s="131"/>
      <c r="Q111" s="131"/>
    </row>
    <row r="112" spans="2:17" ht="19.5" x14ac:dyDescent="0.35">
      <c r="B112" s="104">
        <v>109</v>
      </c>
      <c r="C112" s="131"/>
      <c r="D112" s="131"/>
      <c r="E112" s="131"/>
      <c r="F112" s="131"/>
      <c r="G112" s="131"/>
      <c r="H112" s="131"/>
      <c r="I112" s="131"/>
      <c r="J112" s="131"/>
      <c r="K112" s="131"/>
      <c r="L112" s="131"/>
      <c r="M112" s="131"/>
      <c r="N112" s="131"/>
      <c r="O112" s="131"/>
      <c r="P112" s="131"/>
      <c r="Q112" s="131"/>
    </row>
    <row r="113" spans="2:17" ht="19.5" x14ac:dyDescent="0.35">
      <c r="B113" s="104">
        <v>110</v>
      </c>
      <c r="C113" s="131"/>
      <c r="D113" s="131"/>
      <c r="E113" s="131"/>
      <c r="F113" s="131"/>
      <c r="G113" s="131"/>
      <c r="H113" s="131"/>
      <c r="I113" s="131"/>
      <c r="J113" s="131"/>
      <c r="K113" s="131"/>
      <c r="L113" s="131"/>
      <c r="M113" s="131"/>
      <c r="N113" s="131"/>
      <c r="O113" s="131"/>
      <c r="P113" s="131"/>
      <c r="Q113" s="131"/>
    </row>
    <row r="114" spans="2:17" ht="19.5" x14ac:dyDescent="0.35">
      <c r="B114" s="104">
        <v>111</v>
      </c>
      <c r="C114" s="131"/>
      <c r="D114" s="131"/>
      <c r="E114" s="131"/>
      <c r="F114" s="131"/>
      <c r="G114" s="131"/>
      <c r="H114" s="131"/>
      <c r="I114" s="131"/>
      <c r="J114" s="131"/>
      <c r="K114" s="131"/>
      <c r="L114" s="131"/>
      <c r="M114" s="131"/>
      <c r="N114" s="131"/>
      <c r="O114" s="131"/>
      <c r="P114" s="131"/>
      <c r="Q114" s="131"/>
    </row>
    <row r="115" spans="2:17" ht="19.5" x14ac:dyDescent="0.35">
      <c r="B115" s="104">
        <v>112</v>
      </c>
      <c r="C115" s="131"/>
      <c r="D115" s="131"/>
      <c r="E115" s="131"/>
      <c r="F115" s="131"/>
      <c r="G115" s="131"/>
      <c r="H115" s="131"/>
      <c r="I115" s="131"/>
      <c r="J115" s="131"/>
      <c r="K115" s="131"/>
      <c r="L115" s="131"/>
      <c r="M115" s="131"/>
      <c r="N115" s="131"/>
      <c r="O115" s="131"/>
      <c r="P115" s="131"/>
      <c r="Q115" s="131"/>
    </row>
    <row r="116" spans="2:17" ht="19.5" x14ac:dyDescent="0.35">
      <c r="B116" s="104">
        <v>113</v>
      </c>
      <c r="C116" s="131"/>
      <c r="D116" s="131"/>
      <c r="E116" s="131"/>
      <c r="F116" s="131"/>
      <c r="G116" s="131"/>
      <c r="H116" s="131"/>
      <c r="I116" s="131"/>
      <c r="J116" s="131"/>
      <c r="K116" s="131"/>
      <c r="L116" s="131"/>
      <c r="M116" s="131"/>
      <c r="N116" s="131"/>
      <c r="O116" s="131"/>
      <c r="P116" s="131"/>
      <c r="Q116" s="131"/>
    </row>
    <row r="117" spans="2:17" ht="19.5" x14ac:dyDescent="0.35">
      <c r="B117" s="104">
        <v>114</v>
      </c>
      <c r="C117" s="131"/>
      <c r="D117" s="131"/>
      <c r="E117" s="131"/>
      <c r="F117" s="131"/>
      <c r="G117" s="131"/>
      <c r="H117" s="131"/>
      <c r="I117" s="131"/>
      <c r="J117" s="131"/>
      <c r="K117" s="131"/>
      <c r="L117" s="131"/>
      <c r="M117" s="131"/>
      <c r="N117" s="131"/>
      <c r="O117" s="131"/>
      <c r="P117" s="131"/>
      <c r="Q117" s="131"/>
    </row>
    <row r="118" spans="2:17" ht="19.5" x14ac:dyDescent="0.35">
      <c r="B118" s="104">
        <v>115</v>
      </c>
      <c r="C118" s="131"/>
      <c r="D118" s="131"/>
      <c r="E118" s="131"/>
      <c r="F118" s="131"/>
      <c r="G118" s="131"/>
      <c r="H118" s="131"/>
      <c r="I118" s="131"/>
      <c r="J118" s="131"/>
      <c r="K118" s="131"/>
      <c r="L118" s="131"/>
      <c r="M118" s="131"/>
      <c r="N118" s="131"/>
      <c r="O118" s="131"/>
      <c r="P118" s="131"/>
      <c r="Q118" s="131"/>
    </row>
    <row r="119" spans="2:17" ht="19.5" x14ac:dyDescent="0.35">
      <c r="B119" s="104">
        <v>116</v>
      </c>
      <c r="C119" s="131"/>
      <c r="D119" s="131"/>
      <c r="E119" s="131"/>
      <c r="F119" s="131"/>
      <c r="G119" s="131"/>
      <c r="H119" s="131"/>
      <c r="I119" s="131"/>
      <c r="J119" s="131"/>
      <c r="K119" s="131"/>
      <c r="L119" s="131"/>
      <c r="M119" s="131"/>
      <c r="N119" s="131"/>
      <c r="O119" s="131"/>
      <c r="P119" s="131"/>
      <c r="Q119" s="131"/>
    </row>
    <row r="120" spans="2:17" ht="19.5" x14ac:dyDescent="0.35">
      <c r="B120" s="104">
        <v>117</v>
      </c>
      <c r="C120" s="131"/>
      <c r="D120" s="131"/>
      <c r="E120" s="131"/>
      <c r="F120" s="131"/>
      <c r="G120" s="131"/>
      <c r="H120" s="131"/>
      <c r="I120" s="131"/>
      <c r="J120" s="131"/>
      <c r="K120" s="131"/>
      <c r="L120" s="131"/>
      <c r="M120" s="131"/>
      <c r="N120" s="131"/>
      <c r="O120" s="131"/>
      <c r="P120" s="131"/>
      <c r="Q120" s="131"/>
    </row>
    <row r="121" spans="2:17" ht="19.5" x14ac:dyDescent="0.35">
      <c r="B121" s="104">
        <v>118</v>
      </c>
      <c r="C121" s="131"/>
      <c r="D121" s="131"/>
      <c r="E121" s="131"/>
      <c r="F121" s="131"/>
      <c r="G121" s="131"/>
      <c r="H121" s="131"/>
      <c r="I121" s="131"/>
      <c r="J121" s="131"/>
      <c r="K121" s="131"/>
      <c r="L121" s="131"/>
      <c r="M121" s="131"/>
      <c r="N121" s="131"/>
      <c r="O121" s="131"/>
      <c r="P121" s="131"/>
      <c r="Q121" s="131"/>
    </row>
    <row r="122" spans="2:17" ht="19.5" x14ac:dyDescent="0.35">
      <c r="B122" s="104">
        <v>119</v>
      </c>
      <c r="C122" s="131"/>
      <c r="D122" s="131"/>
      <c r="E122" s="131"/>
      <c r="F122" s="131"/>
      <c r="G122" s="131"/>
      <c r="H122" s="131"/>
      <c r="I122" s="131"/>
      <c r="J122" s="131"/>
      <c r="K122" s="131"/>
      <c r="L122" s="131"/>
      <c r="M122" s="131"/>
      <c r="N122" s="131"/>
      <c r="O122" s="131"/>
      <c r="P122" s="131"/>
      <c r="Q122" s="131"/>
    </row>
    <row r="123" spans="2:17" ht="19.5" x14ac:dyDescent="0.35">
      <c r="B123" s="104">
        <v>120</v>
      </c>
      <c r="C123" s="131"/>
      <c r="D123" s="131"/>
      <c r="E123" s="131"/>
      <c r="F123" s="131"/>
      <c r="G123" s="131"/>
      <c r="H123" s="131"/>
      <c r="I123" s="131"/>
      <c r="J123" s="131"/>
      <c r="K123" s="131"/>
      <c r="L123" s="131"/>
      <c r="M123" s="131"/>
      <c r="N123" s="131"/>
      <c r="O123" s="131"/>
      <c r="P123" s="131"/>
      <c r="Q123" s="131"/>
    </row>
    <row r="124" spans="2:17" ht="19.5" x14ac:dyDescent="0.35">
      <c r="B124" s="104">
        <v>121</v>
      </c>
      <c r="C124" s="131"/>
      <c r="D124" s="131"/>
      <c r="E124" s="131"/>
      <c r="F124" s="131"/>
      <c r="G124" s="131"/>
      <c r="H124" s="131"/>
      <c r="I124" s="131"/>
      <c r="J124" s="131"/>
      <c r="K124" s="131"/>
      <c r="L124" s="131"/>
      <c r="M124" s="131"/>
      <c r="N124" s="131"/>
      <c r="O124" s="131"/>
      <c r="P124" s="131"/>
      <c r="Q124" s="131"/>
    </row>
    <row r="125" spans="2:17" ht="19.5" x14ac:dyDescent="0.35">
      <c r="B125" s="104">
        <v>122</v>
      </c>
      <c r="C125" s="131"/>
      <c r="D125" s="131"/>
      <c r="E125" s="131"/>
      <c r="F125" s="131"/>
      <c r="G125" s="131"/>
      <c r="H125" s="131"/>
      <c r="I125" s="131"/>
      <c r="J125" s="131"/>
      <c r="K125" s="131"/>
      <c r="L125" s="131"/>
      <c r="M125" s="131"/>
      <c r="N125" s="131"/>
      <c r="O125" s="131"/>
      <c r="P125" s="131"/>
      <c r="Q125" s="131"/>
    </row>
    <row r="126" spans="2:17" ht="19.5" x14ac:dyDescent="0.35">
      <c r="B126" s="104">
        <v>123</v>
      </c>
      <c r="C126" s="131"/>
      <c r="D126" s="131"/>
      <c r="E126" s="131"/>
      <c r="F126" s="131"/>
      <c r="G126" s="131"/>
      <c r="H126" s="131"/>
      <c r="I126" s="131"/>
      <c r="J126" s="131"/>
      <c r="K126" s="131"/>
      <c r="L126" s="131"/>
      <c r="M126" s="131"/>
      <c r="N126" s="131"/>
      <c r="O126" s="131"/>
      <c r="P126" s="131"/>
      <c r="Q126" s="131"/>
    </row>
    <row r="127" spans="2:17" ht="19.5" x14ac:dyDescent="0.35">
      <c r="B127" s="104">
        <v>124</v>
      </c>
      <c r="C127" s="131"/>
      <c r="D127" s="131"/>
      <c r="E127" s="131"/>
      <c r="F127" s="131"/>
      <c r="G127" s="131"/>
      <c r="H127" s="131"/>
      <c r="I127" s="131"/>
      <c r="J127" s="131"/>
      <c r="K127" s="131"/>
      <c r="L127" s="131"/>
      <c r="M127" s="131"/>
      <c r="N127" s="131"/>
      <c r="O127" s="131"/>
      <c r="P127" s="131"/>
      <c r="Q127" s="131"/>
    </row>
    <row r="128" spans="2:17" ht="19.5" x14ac:dyDescent="0.35">
      <c r="B128" s="104">
        <v>125</v>
      </c>
      <c r="C128" s="131"/>
      <c r="D128" s="131"/>
      <c r="E128" s="131"/>
      <c r="F128" s="131"/>
      <c r="G128" s="131"/>
      <c r="H128" s="131"/>
      <c r="I128" s="131"/>
      <c r="J128" s="131"/>
      <c r="K128" s="131"/>
      <c r="L128" s="131"/>
      <c r="M128" s="131"/>
      <c r="N128" s="131"/>
      <c r="O128" s="131"/>
      <c r="P128" s="131"/>
      <c r="Q128" s="131"/>
    </row>
    <row r="129" spans="2:17" ht="19.5" x14ac:dyDescent="0.35">
      <c r="B129" s="104">
        <v>126</v>
      </c>
      <c r="C129" s="131"/>
      <c r="D129" s="131"/>
      <c r="E129" s="131"/>
      <c r="F129" s="131"/>
      <c r="G129" s="131"/>
      <c r="H129" s="131"/>
      <c r="I129" s="131"/>
      <c r="J129" s="131"/>
      <c r="K129" s="131"/>
      <c r="L129" s="131"/>
      <c r="M129" s="131"/>
      <c r="N129" s="131"/>
      <c r="O129" s="131"/>
      <c r="P129" s="131"/>
      <c r="Q129" s="131"/>
    </row>
    <row r="130" spans="2:17" ht="19.5" x14ac:dyDescent="0.35">
      <c r="B130" s="104">
        <v>127</v>
      </c>
      <c r="C130" s="131"/>
      <c r="D130" s="131"/>
      <c r="E130" s="131"/>
      <c r="F130" s="131"/>
      <c r="G130" s="131"/>
      <c r="H130" s="131"/>
      <c r="I130" s="131"/>
      <c r="J130" s="131"/>
      <c r="K130" s="131"/>
      <c r="L130" s="131"/>
      <c r="M130" s="131"/>
      <c r="N130" s="131"/>
      <c r="O130" s="131"/>
      <c r="P130" s="131"/>
      <c r="Q130" s="131"/>
    </row>
    <row r="131" spans="2:17" ht="19.5" x14ac:dyDescent="0.35">
      <c r="B131" s="104">
        <v>128</v>
      </c>
      <c r="C131" s="131"/>
      <c r="D131" s="131"/>
      <c r="E131" s="131"/>
      <c r="F131" s="131"/>
      <c r="G131" s="131"/>
      <c r="H131" s="131"/>
      <c r="I131" s="131"/>
      <c r="J131" s="131"/>
      <c r="K131" s="131"/>
      <c r="L131" s="131"/>
      <c r="M131" s="131"/>
      <c r="N131" s="131"/>
      <c r="O131" s="131"/>
      <c r="P131" s="131"/>
      <c r="Q131" s="131"/>
    </row>
    <row r="132" spans="2:17" ht="19.5" x14ac:dyDescent="0.35">
      <c r="B132" s="104">
        <v>129</v>
      </c>
      <c r="C132" s="131"/>
      <c r="D132" s="131"/>
      <c r="E132" s="131"/>
      <c r="F132" s="131"/>
      <c r="G132" s="131"/>
      <c r="H132" s="131"/>
      <c r="I132" s="131"/>
      <c r="J132" s="131"/>
      <c r="K132" s="131"/>
      <c r="L132" s="131"/>
      <c r="M132" s="131"/>
      <c r="N132" s="131"/>
      <c r="O132" s="131"/>
      <c r="P132" s="131"/>
      <c r="Q132" s="131"/>
    </row>
    <row r="133" spans="2:17" ht="19.5" x14ac:dyDescent="0.35">
      <c r="B133" s="104">
        <v>130</v>
      </c>
      <c r="C133" s="131"/>
      <c r="D133" s="131"/>
      <c r="E133" s="131"/>
      <c r="F133" s="131"/>
      <c r="G133" s="131"/>
      <c r="H133" s="131"/>
      <c r="I133" s="131"/>
      <c r="J133" s="131"/>
      <c r="K133" s="131"/>
      <c r="L133" s="131"/>
      <c r="M133" s="131"/>
      <c r="N133" s="131"/>
      <c r="O133" s="131"/>
      <c r="P133" s="131"/>
      <c r="Q133" s="131"/>
    </row>
    <row r="134" spans="2:17" ht="19.5" x14ac:dyDescent="0.35">
      <c r="B134" s="104">
        <v>131</v>
      </c>
      <c r="C134" s="131"/>
      <c r="D134" s="131"/>
      <c r="E134" s="131"/>
      <c r="F134" s="131"/>
      <c r="G134" s="131"/>
      <c r="H134" s="131"/>
      <c r="I134" s="131"/>
      <c r="J134" s="131"/>
      <c r="K134" s="131"/>
      <c r="L134" s="131"/>
      <c r="M134" s="131"/>
      <c r="N134" s="131"/>
      <c r="O134" s="131"/>
      <c r="P134" s="131"/>
      <c r="Q134" s="131"/>
    </row>
    <row r="135" spans="2:17" ht="19.5" x14ac:dyDescent="0.35">
      <c r="B135" s="104">
        <v>132</v>
      </c>
      <c r="C135" s="131"/>
      <c r="D135" s="131"/>
      <c r="E135" s="131"/>
      <c r="F135" s="131"/>
      <c r="G135" s="131"/>
      <c r="H135" s="131"/>
      <c r="I135" s="131"/>
      <c r="J135" s="131"/>
      <c r="K135" s="131"/>
      <c r="L135" s="131"/>
      <c r="M135" s="131"/>
      <c r="N135" s="131"/>
      <c r="O135" s="131"/>
      <c r="P135" s="131"/>
      <c r="Q135" s="131"/>
    </row>
    <row r="136" spans="2:17" ht="19.5" x14ac:dyDescent="0.35">
      <c r="B136" s="104">
        <v>133</v>
      </c>
      <c r="C136" s="131"/>
      <c r="D136" s="131"/>
      <c r="E136" s="131"/>
      <c r="F136" s="131"/>
      <c r="G136" s="131"/>
      <c r="H136" s="131"/>
      <c r="I136" s="131"/>
      <c r="J136" s="131"/>
      <c r="K136" s="131"/>
      <c r="L136" s="131"/>
      <c r="M136" s="131"/>
      <c r="N136" s="131"/>
      <c r="O136" s="131"/>
      <c r="P136" s="131"/>
      <c r="Q136" s="131"/>
    </row>
    <row r="137" spans="2:17" ht="19.5" x14ac:dyDescent="0.35">
      <c r="B137" s="104">
        <v>134</v>
      </c>
      <c r="C137" s="131"/>
      <c r="D137" s="131"/>
      <c r="E137" s="131"/>
      <c r="F137" s="131"/>
      <c r="G137" s="131"/>
      <c r="H137" s="131"/>
      <c r="I137" s="131"/>
      <c r="J137" s="131"/>
      <c r="K137" s="131"/>
      <c r="L137" s="131"/>
      <c r="M137" s="131"/>
      <c r="N137" s="131"/>
      <c r="O137" s="131"/>
      <c r="P137" s="131"/>
      <c r="Q137" s="131"/>
    </row>
    <row r="138" spans="2:17" ht="19.5" x14ac:dyDescent="0.35">
      <c r="B138" s="104">
        <v>135</v>
      </c>
      <c r="C138" s="131"/>
      <c r="D138" s="131"/>
      <c r="E138" s="131"/>
      <c r="F138" s="131"/>
      <c r="G138" s="131"/>
      <c r="H138" s="131"/>
      <c r="I138" s="131"/>
      <c r="J138" s="131"/>
      <c r="K138" s="131"/>
      <c r="L138" s="131"/>
      <c r="M138" s="131"/>
      <c r="N138" s="131"/>
      <c r="O138" s="131"/>
      <c r="P138" s="131"/>
      <c r="Q138" s="131"/>
    </row>
    <row r="139" spans="2:17" ht="19.5" x14ac:dyDescent="0.35">
      <c r="B139" s="104">
        <v>136</v>
      </c>
      <c r="C139" s="131"/>
      <c r="D139" s="131"/>
      <c r="E139" s="131"/>
      <c r="F139" s="131"/>
      <c r="G139" s="131"/>
      <c r="H139" s="131"/>
      <c r="I139" s="131"/>
      <c r="J139" s="131"/>
      <c r="K139" s="131"/>
      <c r="L139" s="131"/>
      <c r="M139" s="131"/>
      <c r="N139" s="131"/>
      <c r="O139" s="131"/>
      <c r="P139" s="131"/>
      <c r="Q139" s="131"/>
    </row>
    <row r="140" spans="2:17" ht="19.5" x14ac:dyDescent="0.35">
      <c r="B140" s="104">
        <v>137</v>
      </c>
      <c r="C140" s="131"/>
      <c r="D140" s="131"/>
      <c r="E140" s="131"/>
      <c r="F140" s="131"/>
      <c r="G140" s="131"/>
      <c r="H140" s="131"/>
      <c r="I140" s="131"/>
      <c r="J140" s="131"/>
      <c r="K140" s="131"/>
      <c r="L140" s="131"/>
      <c r="M140" s="131"/>
      <c r="N140" s="131"/>
      <c r="O140" s="131"/>
      <c r="P140" s="131"/>
      <c r="Q140" s="131"/>
    </row>
    <row r="141" spans="2:17" ht="19.5" x14ac:dyDescent="0.35">
      <c r="B141" s="104">
        <v>138</v>
      </c>
      <c r="C141" s="131"/>
      <c r="D141" s="131"/>
      <c r="E141" s="131"/>
      <c r="F141" s="131"/>
      <c r="G141" s="131"/>
      <c r="H141" s="131"/>
      <c r="I141" s="131"/>
      <c r="J141" s="131"/>
      <c r="K141" s="131"/>
      <c r="L141" s="131"/>
      <c r="M141" s="131"/>
      <c r="N141" s="131"/>
      <c r="O141" s="131"/>
      <c r="P141" s="131"/>
      <c r="Q141" s="131"/>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F6AB1-1E55-4E69-8780-6C547A510234}">
  <dimension ref="B2:Q736"/>
  <sheetViews>
    <sheetView topLeftCell="E502" zoomScaleNormal="100" workbookViewId="0">
      <selection activeCell="I511" sqref="I511"/>
    </sheetView>
  </sheetViews>
  <sheetFormatPr defaultRowHeight="21.75" x14ac:dyDescent="0.3"/>
  <cols>
    <col min="3" max="3" width="14.42578125" customWidth="1"/>
    <col min="5" max="5" width="19.28515625" style="22" bestFit="1" customWidth="1"/>
    <col min="6" max="6" width="10.140625" style="24" customWidth="1"/>
    <col min="7" max="7" width="17.42578125" customWidth="1"/>
    <col min="8" max="8" width="15.7109375" customWidth="1"/>
    <col min="9" max="9" width="28.7109375" customWidth="1"/>
    <col min="10" max="10" width="12.7109375" style="29" customWidth="1"/>
    <col min="11" max="11" width="13" style="29" customWidth="1"/>
    <col min="12" max="17" width="9.140625" style="23"/>
  </cols>
  <sheetData>
    <row r="2" spans="2:17" ht="168" x14ac:dyDescent="0.25">
      <c r="B2" s="27" t="s">
        <v>76</v>
      </c>
      <c r="C2" s="105" t="s">
        <v>77</v>
      </c>
      <c r="D2" s="27" t="s">
        <v>78</v>
      </c>
      <c r="E2" s="27" t="s">
        <v>79</v>
      </c>
      <c r="F2" s="27" t="s">
        <v>80</v>
      </c>
      <c r="G2" s="128" t="s">
        <v>81</v>
      </c>
      <c r="H2" s="128" t="s">
        <v>82</v>
      </c>
      <c r="I2" s="128" t="s">
        <v>83</v>
      </c>
      <c r="J2" s="27" t="s">
        <v>84</v>
      </c>
      <c r="K2" s="27" t="s">
        <v>85</v>
      </c>
      <c r="L2" s="27" t="s">
        <v>86</v>
      </c>
      <c r="M2" s="27" t="s">
        <v>91</v>
      </c>
      <c r="N2" s="27" t="s">
        <v>87</v>
      </c>
      <c r="O2" s="27" t="s">
        <v>90</v>
      </c>
      <c r="P2" s="27" t="s">
        <v>88</v>
      </c>
      <c r="Q2" s="27" t="s">
        <v>89</v>
      </c>
    </row>
    <row r="3" spans="2:17" ht="58.5" x14ac:dyDescent="0.25">
      <c r="B3" s="137">
        <v>1</v>
      </c>
      <c r="C3" s="135" t="s">
        <v>321</v>
      </c>
      <c r="D3" s="138" t="s">
        <v>306</v>
      </c>
      <c r="E3" s="139">
        <v>45294</v>
      </c>
      <c r="F3" s="140">
        <v>0.92638888888888893</v>
      </c>
      <c r="G3" s="138" t="s">
        <v>3648</v>
      </c>
      <c r="H3" s="141" t="s">
        <v>3649</v>
      </c>
      <c r="I3" s="141" t="s">
        <v>3650</v>
      </c>
      <c r="J3" s="142">
        <v>40000</v>
      </c>
      <c r="K3" s="142">
        <v>60000</v>
      </c>
      <c r="L3" s="141" t="s">
        <v>20</v>
      </c>
      <c r="M3" s="141" t="s">
        <v>20</v>
      </c>
      <c r="N3" s="141" t="s">
        <v>20</v>
      </c>
      <c r="O3" s="141" t="s">
        <v>20</v>
      </c>
      <c r="P3" s="141" t="s">
        <v>20</v>
      </c>
      <c r="Q3" s="141" t="s">
        <v>20</v>
      </c>
    </row>
    <row r="4" spans="2:17" ht="21" x14ac:dyDescent="0.25">
      <c r="B4" s="137">
        <v>2</v>
      </c>
      <c r="C4" s="135" t="s">
        <v>321</v>
      </c>
      <c r="D4" s="138" t="s">
        <v>307</v>
      </c>
      <c r="E4" s="139">
        <v>45300</v>
      </c>
      <c r="F4" s="140">
        <v>0.78125</v>
      </c>
      <c r="G4" s="138" t="s">
        <v>308</v>
      </c>
      <c r="H4" s="138" t="s">
        <v>309</v>
      </c>
      <c r="I4" s="138" t="s">
        <v>310</v>
      </c>
      <c r="J4" s="142">
        <v>8000</v>
      </c>
      <c r="K4" s="142">
        <v>92000</v>
      </c>
      <c r="L4" s="141" t="s">
        <v>20</v>
      </c>
      <c r="M4" s="141" t="s">
        <v>20</v>
      </c>
      <c r="N4" s="141" t="s">
        <v>20</v>
      </c>
      <c r="O4" s="141" t="s">
        <v>20</v>
      </c>
      <c r="P4" s="141" t="s">
        <v>20</v>
      </c>
      <c r="Q4" s="141" t="s">
        <v>20</v>
      </c>
    </row>
    <row r="5" spans="2:17" ht="39" x14ac:dyDescent="0.25">
      <c r="B5" s="137">
        <v>3</v>
      </c>
      <c r="C5" s="135" t="s">
        <v>321</v>
      </c>
      <c r="D5" s="138" t="s">
        <v>307</v>
      </c>
      <c r="E5" s="139">
        <v>45314</v>
      </c>
      <c r="F5" s="140">
        <v>0.51666666666666672</v>
      </c>
      <c r="G5" s="138" t="s">
        <v>311</v>
      </c>
      <c r="H5" s="138" t="s">
        <v>312</v>
      </c>
      <c r="I5" s="138" t="s">
        <v>313</v>
      </c>
      <c r="J5" s="142">
        <v>15000</v>
      </c>
      <c r="K5" s="142">
        <v>35000</v>
      </c>
      <c r="L5" s="141" t="s">
        <v>20</v>
      </c>
      <c r="M5" s="141" t="s">
        <v>20</v>
      </c>
      <c r="N5" s="141" t="s">
        <v>20</v>
      </c>
      <c r="O5" s="141" t="s">
        <v>20</v>
      </c>
      <c r="P5" s="141" t="s">
        <v>20</v>
      </c>
      <c r="Q5" s="141" t="s">
        <v>20</v>
      </c>
    </row>
    <row r="6" spans="2:17" ht="58.5" x14ac:dyDescent="0.25">
      <c r="B6" s="137">
        <v>4</v>
      </c>
      <c r="C6" s="135" t="s">
        <v>321</v>
      </c>
      <c r="D6" s="138" t="s">
        <v>307</v>
      </c>
      <c r="E6" s="139">
        <v>45315</v>
      </c>
      <c r="F6" s="140">
        <v>0.38541666666666669</v>
      </c>
      <c r="G6" s="138" t="s">
        <v>314</v>
      </c>
      <c r="H6" s="138" t="s">
        <v>309</v>
      </c>
      <c r="I6" s="138" t="s">
        <v>315</v>
      </c>
      <c r="J6" s="142">
        <v>500000</v>
      </c>
      <c r="K6" s="142">
        <v>500000</v>
      </c>
      <c r="L6" s="141" t="s">
        <v>20</v>
      </c>
      <c r="M6" s="141" t="s">
        <v>20</v>
      </c>
      <c r="N6" s="141" t="s">
        <v>20</v>
      </c>
      <c r="O6" s="141" t="s">
        <v>20</v>
      </c>
      <c r="P6" s="141" t="s">
        <v>20</v>
      </c>
      <c r="Q6" s="141" t="s">
        <v>20</v>
      </c>
    </row>
    <row r="7" spans="2:17" ht="78" x14ac:dyDescent="0.25">
      <c r="B7" s="137">
        <v>5</v>
      </c>
      <c r="C7" s="135" t="s">
        <v>321</v>
      </c>
      <c r="D7" s="138" t="s">
        <v>580</v>
      </c>
      <c r="E7" s="139">
        <v>45316</v>
      </c>
      <c r="F7" s="140">
        <v>0.5625</v>
      </c>
      <c r="G7" s="138" t="s">
        <v>3651</v>
      </c>
      <c r="H7" s="138" t="s">
        <v>3652</v>
      </c>
      <c r="I7" s="138" t="s">
        <v>3653</v>
      </c>
      <c r="J7" s="142"/>
      <c r="K7" s="142">
        <v>30000</v>
      </c>
      <c r="L7" s="141" t="s">
        <v>20</v>
      </c>
      <c r="M7" s="141" t="s">
        <v>20</v>
      </c>
      <c r="N7" s="141" t="s">
        <v>20</v>
      </c>
      <c r="O7" s="141" t="s">
        <v>20</v>
      </c>
      <c r="P7" s="141" t="s">
        <v>20</v>
      </c>
      <c r="Q7" s="141" t="s">
        <v>20</v>
      </c>
    </row>
    <row r="8" spans="2:17" ht="58.5" x14ac:dyDescent="0.25">
      <c r="B8" s="137">
        <v>6</v>
      </c>
      <c r="C8" s="135" t="s">
        <v>321</v>
      </c>
      <c r="D8" s="138" t="s">
        <v>3654</v>
      </c>
      <c r="E8" s="139">
        <v>45294</v>
      </c>
      <c r="F8" s="140">
        <v>0.97291666666666665</v>
      </c>
      <c r="G8" s="138" t="s">
        <v>3655</v>
      </c>
      <c r="H8" s="138" t="s">
        <v>3656</v>
      </c>
      <c r="I8" s="138" t="s">
        <v>3657</v>
      </c>
      <c r="J8" s="142" t="s">
        <v>341</v>
      </c>
      <c r="K8" s="142">
        <v>1000000</v>
      </c>
      <c r="L8" s="141" t="s">
        <v>20</v>
      </c>
      <c r="M8" s="141" t="s">
        <v>20</v>
      </c>
      <c r="N8" s="141" t="s">
        <v>20</v>
      </c>
      <c r="O8" s="141" t="s">
        <v>20</v>
      </c>
      <c r="P8" s="141" t="s">
        <v>20</v>
      </c>
      <c r="Q8" s="141" t="s">
        <v>20</v>
      </c>
    </row>
    <row r="9" spans="2:17" ht="39" x14ac:dyDescent="0.25">
      <c r="B9" s="137">
        <v>7</v>
      </c>
      <c r="C9" s="135" t="s">
        <v>321</v>
      </c>
      <c r="D9" s="138" t="s">
        <v>3654</v>
      </c>
      <c r="E9" s="139">
        <v>45298</v>
      </c>
      <c r="F9" s="140">
        <v>4.1666666666666666E-3</v>
      </c>
      <c r="G9" s="138" t="s">
        <v>3658</v>
      </c>
      <c r="H9" s="138" t="s">
        <v>3659</v>
      </c>
      <c r="I9" s="138" t="s">
        <v>3660</v>
      </c>
      <c r="J9" s="142">
        <v>900000</v>
      </c>
      <c r="K9" s="142">
        <v>4100000</v>
      </c>
      <c r="L9" s="141" t="s">
        <v>20</v>
      </c>
      <c r="M9" s="141" t="s">
        <v>20</v>
      </c>
      <c r="N9" s="141" t="s">
        <v>20</v>
      </c>
      <c r="O9" s="141" t="s">
        <v>20</v>
      </c>
      <c r="P9" s="141" t="s">
        <v>20</v>
      </c>
      <c r="Q9" s="141" t="s">
        <v>20</v>
      </c>
    </row>
    <row r="10" spans="2:17" ht="58.5" x14ac:dyDescent="0.25">
      <c r="B10" s="137">
        <v>8</v>
      </c>
      <c r="C10" s="135" t="s">
        <v>321</v>
      </c>
      <c r="D10" s="138" t="s">
        <v>3654</v>
      </c>
      <c r="E10" s="139">
        <v>45305</v>
      </c>
      <c r="F10" s="140">
        <v>0.92013888888888884</v>
      </c>
      <c r="G10" s="138" t="s">
        <v>3661</v>
      </c>
      <c r="H10" s="138" t="s">
        <v>3656</v>
      </c>
      <c r="I10" s="138" t="s">
        <v>3662</v>
      </c>
      <c r="J10" s="142" t="s">
        <v>341</v>
      </c>
      <c r="K10" s="142" t="s">
        <v>341</v>
      </c>
      <c r="L10" s="141" t="s">
        <v>20</v>
      </c>
      <c r="M10" s="141" t="s">
        <v>20</v>
      </c>
      <c r="N10" s="141" t="s">
        <v>20</v>
      </c>
      <c r="O10" s="141" t="s">
        <v>20</v>
      </c>
      <c r="P10" s="141" t="s">
        <v>20</v>
      </c>
      <c r="Q10" s="141" t="s">
        <v>20</v>
      </c>
    </row>
    <row r="11" spans="2:17" ht="39" x14ac:dyDescent="0.25">
      <c r="B11" s="137">
        <v>9</v>
      </c>
      <c r="C11" s="135" t="s">
        <v>321</v>
      </c>
      <c r="D11" s="138" t="s">
        <v>3654</v>
      </c>
      <c r="E11" s="139">
        <v>45310</v>
      </c>
      <c r="F11" s="140">
        <v>0.68125000000000002</v>
      </c>
      <c r="G11" s="138" t="s">
        <v>3663</v>
      </c>
      <c r="H11" s="138" t="s">
        <v>3664</v>
      </c>
      <c r="I11" s="138" t="s">
        <v>3665</v>
      </c>
      <c r="J11" s="142">
        <v>300000</v>
      </c>
      <c r="K11" s="142">
        <v>4700000</v>
      </c>
      <c r="L11" s="141" t="s">
        <v>20</v>
      </c>
      <c r="M11" s="141" t="s">
        <v>20</v>
      </c>
      <c r="N11" s="141" t="s">
        <v>20</v>
      </c>
      <c r="O11" s="141" t="s">
        <v>20</v>
      </c>
      <c r="P11" s="141" t="s">
        <v>20</v>
      </c>
      <c r="Q11" s="141" t="s">
        <v>20</v>
      </c>
    </row>
    <row r="12" spans="2:17" ht="39" x14ac:dyDescent="0.25">
      <c r="B12" s="137">
        <v>10</v>
      </c>
      <c r="C12" s="135" t="s">
        <v>321</v>
      </c>
      <c r="D12" s="138" t="s">
        <v>3654</v>
      </c>
      <c r="E12" s="139">
        <v>45311</v>
      </c>
      <c r="F12" s="140">
        <v>0.25069444444444444</v>
      </c>
      <c r="G12" s="138" t="s">
        <v>3666</v>
      </c>
      <c r="H12" s="138" t="s">
        <v>3667</v>
      </c>
      <c r="I12" s="138" t="s">
        <v>3668</v>
      </c>
      <c r="J12" s="142">
        <v>100000</v>
      </c>
      <c r="K12" s="142">
        <v>900000</v>
      </c>
      <c r="L12" s="141" t="s">
        <v>20</v>
      </c>
      <c r="M12" s="141" t="s">
        <v>20</v>
      </c>
      <c r="N12" s="141" t="s">
        <v>20</v>
      </c>
      <c r="O12" s="141" t="s">
        <v>20</v>
      </c>
      <c r="P12" s="141" t="s">
        <v>20</v>
      </c>
      <c r="Q12" s="141" t="s">
        <v>20</v>
      </c>
    </row>
    <row r="13" spans="2:17" ht="58.5" x14ac:dyDescent="0.25">
      <c r="B13" s="137">
        <v>11</v>
      </c>
      <c r="C13" s="135" t="s">
        <v>321</v>
      </c>
      <c r="D13" s="138" t="s">
        <v>3669</v>
      </c>
      <c r="E13" s="139">
        <v>45298</v>
      </c>
      <c r="F13" s="140">
        <v>0.59166666666666667</v>
      </c>
      <c r="G13" s="138" t="s">
        <v>3670</v>
      </c>
      <c r="H13" s="138" t="s">
        <v>3671</v>
      </c>
      <c r="I13" s="138" t="s">
        <v>3672</v>
      </c>
      <c r="J13" s="142">
        <v>30000</v>
      </c>
      <c r="K13" s="142">
        <v>70000</v>
      </c>
      <c r="L13" s="141" t="s">
        <v>20</v>
      </c>
      <c r="M13" s="141" t="s">
        <v>20</v>
      </c>
      <c r="N13" s="141" t="s">
        <v>20</v>
      </c>
      <c r="O13" s="141" t="s">
        <v>20</v>
      </c>
      <c r="P13" s="141" t="s">
        <v>20</v>
      </c>
      <c r="Q13" s="141" t="s">
        <v>20</v>
      </c>
    </row>
    <row r="14" spans="2:17" ht="39" x14ac:dyDescent="0.25">
      <c r="B14" s="137">
        <v>12</v>
      </c>
      <c r="C14" s="135" t="s">
        <v>321</v>
      </c>
      <c r="D14" s="138" t="s">
        <v>3669</v>
      </c>
      <c r="E14" s="139">
        <v>45300</v>
      </c>
      <c r="F14" s="140">
        <v>4.1666666666666664E-2</v>
      </c>
      <c r="G14" s="138" t="s">
        <v>3673</v>
      </c>
      <c r="H14" s="138" t="s">
        <v>496</v>
      </c>
      <c r="I14" s="138" t="s">
        <v>496</v>
      </c>
      <c r="J14" s="142" t="s">
        <v>3674</v>
      </c>
      <c r="K14" s="142" t="s">
        <v>3674</v>
      </c>
      <c r="L14" s="141" t="s">
        <v>20</v>
      </c>
      <c r="M14" s="141" t="s">
        <v>20</v>
      </c>
      <c r="N14" s="141" t="s">
        <v>20</v>
      </c>
      <c r="O14" s="141" t="s">
        <v>20</v>
      </c>
      <c r="P14" s="141" t="s">
        <v>20</v>
      </c>
      <c r="Q14" s="141" t="s">
        <v>20</v>
      </c>
    </row>
    <row r="15" spans="2:17" ht="39" x14ac:dyDescent="0.25">
      <c r="B15" s="137">
        <v>13</v>
      </c>
      <c r="C15" s="135" t="s">
        <v>321</v>
      </c>
      <c r="D15" s="138" t="s">
        <v>3669</v>
      </c>
      <c r="E15" s="139">
        <v>45302</v>
      </c>
      <c r="F15" s="140">
        <v>0.62638888888888888</v>
      </c>
      <c r="G15" s="138" t="s">
        <v>3675</v>
      </c>
      <c r="H15" s="138" t="s">
        <v>3676</v>
      </c>
      <c r="I15" s="138" t="s">
        <v>1899</v>
      </c>
      <c r="J15" s="142" t="s">
        <v>341</v>
      </c>
      <c r="K15" s="142" t="s">
        <v>341</v>
      </c>
      <c r="L15" s="141" t="s">
        <v>20</v>
      </c>
      <c r="M15" s="141" t="s">
        <v>20</v>
      </c>
      <c r="N15" s="141" t="s">
        <v>20</v>
      </c>
      <c r="O15" s="141" t="s">
        <v>20</v>
      </c>
      <c r="P15" s="141" t="s">
        <v>20</v>
      </c>
      <c r="Q15" s="141" t="s">
        <v>20</v>
      </c>
    </row>
    <row r="16" spans="2:17" ht="58.5" x14ac:dyDescent="0.25">
      <c r="B16" s="137">
        <v>14</v>
      </c>
      <c r="C16" s="135" t="s">
        <v>321</v>
      </c>
      <c r="D16" s="138" t="s">
        <v>3669</v>
      </c>
      <c r="E16" s="139">
        <v>45303</v>
      </c>
      <c r="F16" s="140">
        <v>3.2638888888888891E-2</v>
      </c>
      <c r="G16" s="138" t="s">
        <v>3677</v>
      </c>
      <c r="H16" s="138" t="s">
        <v>2873</v>
      </c>
      <c r="I16" s="138" t="s">
        <v>347</v>
      </c>
      <c r="J16" s="142">
        <v>120000</v>
      </c>
      <c r="K16" s="142">
        <v>80000</v>
      </c>
      <c r="L16" s="141" t="s">
        <v>20</v>
      </c>
      <c r="M16" s="141" t="s">
        <v>20</v>
      </c>
      <c r="N16" s="141" t="s">
        <v>20</v>
      </c>
      <c r="O16" s="141" t="s">
        <v>20</v>
      </c>
      <c r="P16" s="141" t="s">
        <v>20</v>
      </c>
      <c r="Q16" s="141" t="s">
        <v>20</v>
      </c>
    </row>
    <row r="17" spans="2:17" ht="78" x14ac:dyDescent="0.25">
      <c r="B17" s="137">
        <v>15</v>
      </c>
      <c r="C17" s="135" t="s">
        <v>321</v>
      </c>
      <c r="D17" s="138" t="s">
        <v>3669</v>
      </c>
      <c r="E17" s="139">
        <v>45304</v>
      </c>
      <c r="F17" s="140">
        <v>2.7083333333333334E-2</v>
      </c>
      <c r="G17" s="138" t="s">
        <v>3678</v>
      </c>
      <c r="H17" s="138" t="s">
        <v>20</v>
      </c>
      <c r="I17" s="138" t="s">
        <v>20</v>
      </c>
      <c r="J17" s="142" t="s">
        <v>341</v>
      </c>
      <c r="K17" s="142" t="s">
        <v>341</v>
      </c>
      <c r="L17" s="141" t="s">
        <v>20</v>
      </c>
      <c r="M17" s="141" t="s">
        <v>20</v>
      </c>
      <c r="N17" s="141" t="s">
        <v>20</v>
      </c>
      <c r="O17" s="141" t="s">
        <v>20</v>
      </c>
      <c r="P17" s="141" t="s">
        <v>20</v>
      </c>
      <c r="Q17" s="141" t="s">
        <v>20</v>
      </c>
    </row>
    <row r="18" spans="2:17" ht="39" x14ac:dyDescent="0.25">
      <c r="B18" s="137">
        <v>16</v>
      </c>
      <c r="C18" s="135" t="s">
        <v>321</v>
      </c>
      <c r="D18" s="138" t="s">
        <v>3669</v>
      </c>
      <c r="E18" s="139">
        <v>45306</v>
      </c>
      <c r="F18" s="140">
        <v>0.8930555555555556</v>
      </c>
      <c r="G18" s="138" t="s">
        <v>3679</v>
      </c>
      <c r="H18" s="138" t="s">
        <v>3680</v>
      </c>
      <c r="I18" s="138" t="s">
        <v>353</v>
      </c>
      <c r="J18" s="142" t="s">
        <v>354</v>
      </c>
      <c r="K18" s="142" t="s">
        <v>341</v>
      </c>
      <c r="L18" s="141" t="s">
        <v>20</v>
      </c>
      <c r="M18" s="141" t="s">
        <v>20</v>
      </c>
      <c r="N18" s="141" t="s">
        <v>20</v>
      </c>
      <c r="O18" s="141" t="s">
        <v>20</v>
      </c>
      <c r="P18" s="141" t="s">
        <v>20</v>
      </c>
      <c r="Q18" s="141" t="s">
        <v>20</v>
      </c>
    </row>
    <row r="19" spans="2:17" ht="39" x14ac:dyDescent="0.25">
      <c r="B19" s="137">
        <v>17</v>
      </c>
      <c r="C19" s="135" t="s">
        <v>321</v>
      </c>
      <c r="D19" s="138" t="s">
        <v>3669</v>
      </c>
      <c r="E19" s="139">
        <v>45309</v>
      </c>
      <c r="F19" s="140">
        <v>0.73333333333333328</v>
      </c>
      <c r="G19" s="138" t="s">
        <v>3681</v>
      </c>
      <c r="H19" s="138" t="s">
        <v>3682</v>
      </c>
      <c r="I19" s="138" t="s">
        <v>347</v>
      </c>
      <c r="J19" s="142">
        <v>400000</v>
      </c>
      <c r="K19" s="142">
        <v>400000</v>
      </c>
      <c r="L19" s="141" t="s">
        <v>20</v>
      </c>
      <c r="M19" s="141" t="s">
        <v>20</v>
      </c>
      <c r="N19" s="141" t="s">
        <v>20</v>
      </c>
      <c r="O19" s="141" t="s">
        <v>20</v>
      </c>
      <c r="P19" s="141" t="s">
        <v>20</v>
      </c>
      <c r="Q19" s="141" t="s">
        <v>20</v>
      </c>
    </row>
    <row r="20" spans="2:17" ht="39" x14ac:dyDescent="0.25">
      <c r="B20" s="137">
        <v>18</v>
      </c>
      <c r="C20" s="135" t="s">
        <v>321</v>
      </c>
      <c r="D20" s="138" t="s">
        <v>3669</v>
      </c>
      <c r="E20" s="139">
        <v>45311</v>
      </c>
      <c r="F20" s="140">
        <v>0.99583333333333335</v>
      </c>
      <c r="G20" s="138" t="s">
        <v>3683</v>
      </c>
      <c r="H20" s="138" t="s">
        <v>2873</v>
      </c>
      <c r="I20" s="138" t="s">
        <v>3684</v>
      </c>
      <c r="J20" s="142">
        <v>750000</v>
      </c>
      <c r="K20" s="142">
        <v>250000</v>
      </c>
      <c r="L20" s="141" t="s">
        <v>20</v>
      </c>
      <c r="M20" s="141" t="s">
        <v>20</v>
      </c>
      <c r="N20" s="141" t="s">
        <v>20</v>
      </c>
      <c r="O20" s="141" t="s">
        <v>20</v>
      </c>
      <c r="P20" s="141" t="s">
        <v>20</v>
      </c>
      <c r="Q20" s="141" t="s">
        <v>20</v>
      </c>
    </row>
    <row r="21" spans="2:17" ht="39" x14ac:dyDescent="0.25">
      <c r="B21" s="137">
        <v>19</v>
      </c>
      <c r="C21" s="135" t="s">
        <v>321</v>
      </c>
      <c r="D21" s="138" t="s">
        <v>3685</v>
      </c>
      <c r="E21" s="139">
        <v>45313</v>
      </c>
      <c r="F21" s="140">
        <v>0.51180555555555551</v>
      </c>
      <c r="G21" s="138" t="s">
        <v>3686</v>
      </c>
      <c r="H21" s="138" t="s">
        <v>2873</v>
      </c>
      <c r="I21" s="138" t="s">
        <v>3687</v>
      </c>
      <c r="J21" s="142">
        <v>250000</v>
      </c>
      <c r="K21" s="142">
        <v>750000</v>
      </c>
      <c r="L21" s="141" t="s">
        <v>20</v>
      </c>
      <c r="M21" s="141" t="s">
        <v>20</v>
      </c>
      <c r="N21" s="141" t="s">
        <v>20</v>
      </c>
      <c r="O21" s="141" t="s">
        <v>20</v>
      </c>
      <c r="P21" s="141" t="s">
        <v>20</v>
      </c>
      <c r="Q21" s="141" t="s">
        <v>20</v>
      </c>
    </row>
    <row r="22" spans="2:17" ht="39" x14ac:dyDescent="0.25">
      <c r="B22" s="137">
        <v>20</v>
      </c>
      <c r="C22" s="135" t="s">
        <v>321</v>
      </c>
      <c r="D22" s="138" t="s">
        <v>3669</v>
      </c>
      <c r="E22" s="139">
        <v>45313</v>
      </c>
      <c r="F22" s="140">
        <v>0.91041666666666665</v>
      </c>
      <c r="G22" s="138" t="s">
        <v>3688</v>
      </c>
      <c r="H22" s="138" t="s">
        <v>3680</v>
      </c>
      <c r="I22" s="138" t="s">
        <v>3689</v>
      </c>
      <c r="J22" s="142">
        <v>2000</v>
      </c>
      <c r="K22" s="142">
        <v>48000</v>
      </c>
      <c r="L22" s="141" t="s">
        <v>20</v>
      </c>
      <c r="M22" s="141" t="s">
        <v>20</v>
      </c>
      <c r="N22" s="141" t="s">
        <v>20</v>
      </c>
      <c r="O22" s="141" t="s">
        <v>20</v>
      </c>
      <c r="P22" s="141" t="s">
        <v>20</v>
      </c>
      <c r="Q22" s="141" t="s">
        <v>20</v>
      </c>
    </row>
    <row r="23" spans="2:17" ht="78" x14ac:dyDescent="0.25">
      <c r="B23" s="137">
        <v>21</v>
      </c>
      <c r="C23" s="135" t="s">
        <v>321</v>
      </c>
      <c r="D23" s="138" t="s">
        <v>3669</v>
      </c>
      <c r="E23" s="139">
        <v>45313</v>
      </c>
      <c r="F23" s="140">
        <v>0.46111111111111114</v>
      </c>
      <c r="G23" s="138" t="s">
        <v>3690</v>
      </c>
      <c r="H23" s="138" t="s">
        <v>20</v>
      </c>
      <c r="I23" s="138" t="s">
        <v>3691</v>
      </c>
      <c r="J23" s="142" t="s">
        <v>341</v>
      </c>
      <c r="K23" s="142" t="s">
        <v>341</v>
      </c>
      <c r="L23" s="141" t="s">
        <v>20</v>
      </c>
      <c r="M23" s="141" t="s">
        <v>20</v>
      </c>
      <c r="N23" s="141" t="s">
        <v>20</v>
      </c>
      <c r="O23" s="141" t="s">
        <v>20</v>
      </c>
      <c r="P23" s="141" t="s">
        <v>20</v>
      </c>
      <c r="Q23" s="141" t="s">
        <v>20</v>
      </c>
    </row>
    <row r="24" spans="2:17" ht="39" x14ac:dyDescent="0.25">
      <c r="B24" s="137">
        <v>22</v>
      </c>
      <c r="C24" s="135" t="s">
        <v>321</v>
      </c>
      <c r="D24" s="138" t="s">
        <v>317</v>
      </c>
      <c r="E24" s="139">
        <v>45298</v>
      </c>
      <c r="F24" s="140">
        <v>0.46458333333333335</v>
      </c>
      <c r="G24" s="138" t="s">
        <v>318</v>
      </c>
      <c r="H24" s="138" t="s">
        <v>319</v>
      </c>
      <c r="I24" s="138" t="s">
        <v>320</v>
      </c>
      <c r="J24" s="142">
        <v>250000</v>
      </c>
      <c r="K24" s="142">
        <v>155000</v>
      </c>
      <c r="L24" s="141" t="s">
        <v>20</v>
      </c>
      <c r="M24" s="141" t="s">
        <v>20</v>
      </c>
      <c r="N24" s="141" t="s">
        <v>20</v>
      </c>
      <c r="O24" s="141" t="s">
        <v>20</v>
      </c>
      <c r="P24" s="141" t="s">
        <v>20</v>
      </c>
      <c r="Q24" s="141" t="s">
        <v>20</v>
      </c>
    </row>
    <row r="25" spans="2:17" ht="39" x14ac:dyDescent="0.25">
      <c r="B25" s="137">
        <v>23</v>
      </c>
      <c r="C25" s="135" t="s">
        <v>321</v>
      </c>
      <c r="D25" s="138" t="s">
        <v>307</v>
      </c>
      <c r="E25" s="139">
        <v>45345</v>
      </c>
      <c r="F25" s="140">
        <v>0.42152777777777778</v>
      </c>
      <c r="G25" s="138" t="s">
        <v>322</v>
      </c>
      <c r="H25" s="138" t="s">
        <v>323</v>
      </c>
      <c r="I25" s="138" t="s">
        <v>324</v>
      </c>
      <c r="J25" s="142">
        <v>500</v>
      </c>
      <c r="K25" s="142">
        <v>500</v>
      </c>
      <c r="L25" s="141" t="s">
        <v>20</v>
      </c>
      <c r="M25" s="141" t="s">
        <v>20</v>
      </c>
      <c r="N25" s="141" t="s">
        <v>20</v>
      </c>
      <c r="O25" s="141" t="s">
        <v>20</v>
      </c>
      <c r="P25" s="141" t="s">
        <v>20</v>
      </c>
      <c r="Q25" s="141" t="s">
        <v>20</v>
      </c>
    </row>
    <row r="26" spans="2:17" ht="78" x14ac:dyDescent="0.25">
      <c r="B26" s="137">
        <v>24</v>
      </c>
      <c r="C26" s="135" t="s">
        <v>321</v>
      </c>
      <c r="D26" s="138" t="s">
        <v>580</v>
      </c>
      <c r="E26" s="139">
        <v>45344</v>
      </c>
      <c r="F26" s="140">
        <v>5.5555555555555552E-2</v>
      </c>
      <c r="G26" s="138" t="s">
        <v>3692</v>
      </c>
      <c r="H26" s="138" t="s">
        <v>496</v>
      </c>
      <c r="I26" s="138" t="s">
        <v>3693</v>
      </c>
      <c r="J26" s="142" t="s">
        <v>3674</v>
      </c>
      <c r="K26" s="142" t="s">
        <v>3674</v>
      </c>
      <c r="L26" s="141" t="s">
        <v>20</v>
      </c>
      <c r="M26" s="141" t="s">
        <v>20</v>
      </c>
      <c r="N26" s="141" t="s">
        <v>20</v>
      </c>
      <c r="O26" s="141" t="s">
        <v>20</v>
      </c>
      <c r="P26" s="141" t="s">
        <v>20</v>
      </c>
      <c r="Q26" s="141" t="s">
        <v>20</v>
      </c>
    </row>
    <row r="27" spans="2:17" ht="58.5" x14ac:dyDescent="0.25">
      <c r="B27" s="137">
        <v>25</v>
      </c>
      <c r="C27" s="135" t="s">
        <v>321</v>
      </c>
      <c r="D27" s="138" t="s">
        <v>580</v>
      </c>
      <c r="E27" s="139">
        <v>45344</v>
      </c>
      <c r="F27" s="140">
        <v>0.70347222222222228</v>
      </c>
      <c r="G27" s="138" t="s">
        <v>3694</v>
      </c>
      <c r="H27" s="138" t="s">
        <v>3695</v>
      </c>
      <c r="I27" s="138" t="s">
        <v>3696</v>
      </c>
      <c r="J27" s="142">
        <v>50000</v>
      </c>
      <c r="K27" s="142">
        <v>950000</v>
      </c>
      <c r="L27" s="141" t="s">
        <v>20</v>
      </c>
      <c r="M27" s="141" t="s">
        <v>20</v>
      </c>
      <c r="N27" s="141" t="s">
        <v>20</v>
      </c>
      <c r="O27" s="141" t="s">
        <v>20</v>
      </c>
      <c r="P27" s="141" t="s">
        <v>20</v>
      </c>
      <c r="Q27" s="141" t="s">
        <v>20</v>
      </c>
    </row>
    <row r="28" spans="2:17" ht="58.5" x14ac:dyDescent="0.25">
      <c r="B28" s="137">
        <v>26</v>
      </c>
      <c r="C28" s="135" t="s">
        <v>321</v>
      </c>
      <c r="D28" s="138" t="s">
        <v>580</v>
      </c>
      <c r="E28" s="139">
        <v>45346</v>
      </c>
      <c r="F28" s="140">
        <v>0.61041666666666672</v>
      </c>
      <c r="G28" s="138" t="s">
        <v>3697</v>
      </c>
      <c r="H28" s="138" t="s">
        <v>3698</v>
      </c>
      <c r="I28" s="138" t="s">
        <v>3699</v>
      </c>
      <c r="J28" s="142"/>
      <c r="K28" s="142" t="s">
        <v>3700</v>
      </c>
      <c r="L28" s="141" t="s">
        <v>20</v>
      </c>
      <c r="M28" s="141" t="s">
        <v>20</v>
      </c>
      <c r="N28" s="141" t="s">
        <v>20</v>
      </c>
      <c r="O28" s="141" t="s">
        <v>20</v>
      </c>
      <c r="P28" s="141" t="s">
        <v>20</v>
      </c>
      <c r="Q28" s="141" t="s">
        <v>20</v>
      </c>
    </row>
    <row r="29" spans="2:17" ht="39" x14ac:dyDescent="0.25">
      <c r="B29" s="137">
        <v>27</v>
      </c>
      <c r="C29" s="135" t="s">
        <v>321</v>
      </c>
      <c r="D29" s="138" t="s">
        <v>580</v>
      </c>
      <c r="E29" s="139">
        <v>45348</v>
      </c>
      <c r="F29" s="140">
        <v>0.61041666666666672</v>
      </c>
      <c r="G29" s="138" t="s">
        <v>3701</v>
      </c>
      <c r="H29" s="138" t="s">
        <v>3698</v>
      </c>
      <c r="I29" s="138" t="s">
        <v>3699</v>
      </c>
      <c r="J29" s="142"/>
      <c r="K29" s="142" t="s">
        <v>3702</v>
      </c>
      <c r="L29" s="141" t="s">
        <v>20</v>
      </c>
      <c r="M29" s="141" t="s">
        <v>20</v>
      </c>
      <c r="N29" s="141" t="s">
        <v>20</v>
      </c>
      <c r="O29" s="141" t="s">
        <v>20</v>
      </c>
      <c r="P29" s="141" t="s">
        <v>20</v>
      </c>
      <c r="Q29" s="141" t="s">
        <v>20</v>
      </c>
    </row>
    <row r="30" spans="2:17" ht="78" x14ac:dyDescent="0.25">
      <c r="B30" s="137">
        <v>28</v>
      </c>
      <c r="C30" s="135" t="s">
        <v>321</v>
      </c>
      <c r="D30" s="138" t="s">
        <v>3654</v>
      </c>
      <c r="E30" s="139">
        <v>45328</v>
      </c>
      <c r="F30" s="140">
        <v>0.16597222222222222</v>
      </c>
      <c r="G30" s="138" t="s">
        <v>3703</v>
      </c>
      <c r="H30" s="138" t="s">
        <v>3704</v>
      </c>
      <c r="I30" s="138" t="s">
        <v>3705</v>
      </c>
      <c r="J30" s="142">
        <v>600000</v>
      </c>
      <c r="K30" s="142">
        <v>4940000</v>
      </c>
      <c r="L30" s="141" t="s">
        <v>20</v>
      </c>
      <c r="M30" s="141" t="s">
        <v>20</v>
      </c>
      <c r="N30" s="141" t="s">
        <v>20</v>
      </c>
      <c r="O30" s="141" t="s">
        <v>20</v>
      </c>
      <c r="P30" s="141" t="s">
        <v>20</v>
      </c>
      <c r="Q30" s="141" t="s">
        <v>20</v>
      </c>
    </row>
    <row r="31" spans="2:17" ht="39" x14ac:dyDescent="0.25">
      <c r="B31" s="137">
        <v>29</v>
      </c>
      <c r="C31" s="135" t="s">
        <v>321</v>
      </c>
      <c r="D31" s="138" t="s">
        <v>3654</v>
      </c>
      <c r="E31" s="139">
        <v>45331</v>
      </c>
      <c r="F31" s="140">
        <v>0.17708333333333334</v>
      </c>
      <c r="G31" s="138" t="s">
        <v>3706</v>
      </c>
      <c r="H31" s="138" t="s">
        <v>3659</v>
      </c>
      <c r="I31" s="138" t="s">
        <v>3707</v>
      </c>
      <c r="J31" s="142">
        <v>20000</v>
      </c>
      <c r="K31" s="142">
        <v>30000</v>
      </c>
      <c r="L31" s="141" t="s">
        <v>20</v>
      </c>
      <c r="M31" s="141" t="s">
        <v>20</v>
      </c>
      <c r="N31" s="141" t="s">
        <v>20</v>
      </c>
      <c r="O31" s="141" t="s">
        <v>20</v>
      </c>
      <c r="P31" s="141" t="s">
        <v>20</v>
      </c>
      <c r="Q31" s="141" t="s">
        <v>20</v>
      </c>
    </row>
    <row r="32" spans="2:17" ht="58.5" x14ac:dyDescent="0.25">
      <c r="B32" s="137">
        <v>30</v>
      </c>
      <c r="C32" s="135" t="s">
        <v>321</v>
      </c>
      <c r="D32" s="138" t="s">
        <v>3654</v>
      </c>
      <c r="E32" s="139">
        <v>45333</v>
      </c>
      <c r="F32" s="140">
        <v>0.52361111111111114</v>
      </c>
      <c r="G32" s="138" t="s">
        <v>3708</v>
      </c>
      <c r="H32" s="138" t="s">
        <v>3656</v>
      </c>
      <c r="I32" s="138" t="s">
        <v>3662</v>
      </c>
      <c r="J32" s="142">
        <v>20000</v>
      </c>
      <c r="K32" s="142">
        <v>4980000</v>
      </c>
      <c r="L32" s="141" t="s">
        <v>20</v>
      </c>
      <c r="M32" s="141" t="s">
        <v>20</v>
      </c>
      <c r="N32" s="141" t="s">
        <v>20</v>
      </c>
      <c r="O32" s="141" t="s">
        <v>20</v>
      </c>
      <c r="P32" s="141" t="s">
        <v>20</v>
      </c>
      <c r="Q32" s="141" t="s">
        <v>20</v>
      </c>
    </row>
    <row r="33" spans="2:17" ht="58.5" x14ac:dyDescent="0.25">
      <c r="B33" s="137">
        <v>31</v>
      </c>
      <c r="C33" s="135" t="s">
        <v>321</v>
      </c>
      <c r="D33" s="138" t="s">
        <v>3654</v>
      </c>
      <c r="E33" s="139">
        <v>45333</v>
      </c>
      <c r="F33" s="140">
        <v>0.52361111111111114</v>
      </c>
      <c r="G33" s="138" t="s">
        <v>3708</v>
      </c>
      <c r="H33" s="138" t="s">
        <v>3656</v>
      </c>
      <c r="I33" s="138" t="s">
        <v>3662</v>
      </c>
      <c r="J33" s="142">
        <v>30000</v>
      </c>
      <c r="K33" s="142">
        <v>2970000</v>
      </c>
      <c r="L33" s="141" t="s">
        <v>20</v>
      </c>
      <c r="M33" s="141" t="s">
        <v>20</v>
      </c>
      <c r="N33" s="141" t="s">
        <v>20</v>
      </c>
      <c r="O33" s="141" t="s">
        <v>20</v>
      </c>
      <c r="P33" s="141" t="s">
        <v>20</v>
      </c>
      <c r="Q33" s="141" t="s">
        <v>20</v>
      </c>
    </row>
    <row r="34" spans="2:17" ht="58.5" x14ac:dyDescent="0.25">
      <c r="B34" s="137">
        <v>32</v>
      </c>
      <c r="C34" s="135" t="s">
        <v>321</v>
      </c>
      <c r="D34" s="138" t="s">
        <v>3654</v>
      </c>
      <c r="E34" s="139">
        <v>45340</v>
      </c>
      <c r="F34" s="140">
        <v>0.43402777777777779</v>
      </c>
      <c r="G34" s="138" t="s">
        <v>3709</v>
      </c>
      <c r="H34" s="138" t="s">
        <v>3710</v>
      </c>
      <c r="I34" s="138" t="s">
        <v>3711</v>
      </c>
      <c r="J34" s="142">
        <v>200000</v>
      </c>
      <c r="K34" s="142">
        <v>800000</v>
      </c>
      <c r="L34" s="141" t="s">
        <v>20</v>
      </c>
      <c r="M34" s="141" t="s">
        <v>20</v>
      </c>
      <c r="N34" s="141" t="s">
        <v>20</v>
      </c>
      <c r="O34" s="141" t="s">
        <v>20</v>
      </c>
      <c r="P34" s="141" t="s">
        <v>20</v>
      </c>
      <c r="Q34" s="141" t="s">
        <v>20</v>
      </c>
    </row>
    <row r="35" spans="2:17" ht="58.5" x14ac:dyDescent="0.25">
      <c r="B35" s="137">
        <v>33</v>
      </c>
      <c r="C35" s="135" t="s">
        <v>321</v>
      </c>
      <c r="D35" s="138" t="s">
        <v>3654</v>
      </c>
      <c r="E35" s="139">
        <v>45344</v>
      </c>
      <c r="F35" s="140">
        <v>0.70902777777777781</v>
      </c>
      <c r="G35" s="138" t="s">
        <v>3712</v>
      </c>
      <c r="H35" s="138" t="s">
        <v>3713</v>
      </c>
      <c r="I35" s="138" t="s">
        <v>3714</v>
      </c>
      <c r="J35" s="142">
        <v>50000</v>
      </c>
      <c r="K35" s="142">
        <v>250000</v>
      </c>
      <c r="L35" s="141" t="s">
        <v>20</v>
      </c>
      <c r="M35" s="141" t="s">
        <v>20</v>
      </c>
      <c r="N35" s="141" t="s">
        <v>20</v>
      </c>
      <c r="O35" s="141" t="s">
        <v>20</v>
      </c>
      <c r="P35" s="141" t="s">
        <v>20</v>
      </c>
      <c r="Q35" s="141" t="s">
        <v>20</v>
      </c>
    </row>
    <row r="36" spans="2:17" ht="58.5" x14ac:dyDescent="0.25">
      <c r="B36" s="137">
        <v>34</v>
      </c>
      <c r="C36" s="135" t="s">
        <v>321</v>
      </c>
      <c r="D36" s="138" t="s">
        <v>3654</v>
      </c>
      <c r="E36" s="139">
        <v>45345</v>
      </c>
      <c r="F36" s="140">
        <v>0.61388888888888893</v>
      </c>
      <c r="G36" s="138" t="s">
        <v>3715</v>
      </c>
      <c r="H36" s="138" t="s">
        <v>3656</v>
      </c>
      <c r="I36" s="138" t="s">
        <v>3716</v>
      </c>
      <c r="J36" s="142" t="s">
        <v>341</v>
      </c>
      <c r="K36" s="142">
        <v>100000</v>
      </c>
      <c r="L36" s="141" t="s">
        <v>20</v>
      </c>
      <c r="M36" s="141" t="s">
        <v>20</v>
      </c>
      <c r="N36" s="141" t="s">
        <v>20</v>
      </c>
      <c r="O36" s="141" t="s">
        <v>20</v>
      </c>
      <c r="P36" s="141" t="s">
        <v>20</v>
      </c>
      <c r="Q36" s="141" t="s">
        <v>20</v>
      </c>
    </row>
    <row r="37" spans="2:17" ht="58.5" x14ac:dyDescent="0.25">
      <c r="B37" s="137">
        <v>35</v>
      </c>
      <c r="C37" s="135" t="s">
        <v>321</v>
      </c>
      <c r="D37" s="138" t="s">
        <v>3654</v>
      </c>
      <c r="E37" s="139">
        <v>45345</v>
      </c>
      <c r="F37" s="140">
        <v>0.79861111111111116</v>
      </c>
      <c r="G37" s="138" t="s">
        <v>3715</v>
      </c>
      <c r="H37" s="138" t="s">
        <v>3656</v>
      </c>
      <c r="I37" s="138" t="s">
        <v>3716</v>
      </c>
      <c r="J37" s="142" t="s">
        <v>341</v>
      </c>
      <c r="K37" s="142">
        <v>100000</v>
      </c>
      <c r="L37" s="141" t="s">
        <v>20</v>
      </c>
      <c r="M37" s="141" t="s">
        <v>20</v>
      </c>
      <c r="N37" s="141" t="s">
        <v>20</v>
      </c>
      <c r="O37" s="141" t="s">
        <v>20</v>
      </c>
      <c r="P37" s="141" t="s">
        <v>20</v>
      </c>
      <c r="Q37" s="141" t="s">
        <v>20</v>
      </c>
    </row>
    <row r="38" spans="2:17" ht="58.5" x14ac:dyDescent="0.25">
      <c r="B38" s="137">
        <v>36</v>
      </c>
      <c r="C38" s="135" t="s">
        <v>321</v>
      </c>
      <c r="D38" s="138" t="s">
        <v>3654</v>
      </c>
      <c r="E38" s="139">
        <v>45348</v>
      </c>
      <c r="F38" s="140">
        <v>3.4027777777777775E-2</v>
      </c>
      <c r="G38" s="138" t="s">
        <v>3717</v>
      </c>
      <c r="H38" s="138" t="s">
        <v>3718</v>
      </c>
      <c r="I38" s="138" t="s">
        <v>3719</v>
      </c>
      <c r="J38" s="142">
        <v>100000</v>
      </c>
      <c r="K38" s="142">
        <v>3900000</v>
      </c>
      <c r="L38" s="141" t="s">
        <v>20</v>
      </c>
      <c r="M38" s="141" t="s">
        <v>20</v>
      </c>
      <c r="N38" s="141" t="s">
        <v>20</v>
      </c>
      <c r="O38" s="141" t="s">
        <v>20</v>
      </c>
      <c r="P38" s="141" t="s">
        <v>20</v>
      </c>
      <c r="Q38" s="141" t="s">
        <v>20</v>
      </c>
    </row>
    <row r="39" spans="2:17" ht="58.5" x14ac:dyDescent="0.25">
      <c r="B39" s="137">
        <v>37</v>
      </c>
      <c r="C39" s="135" t="s">
        <v>321</v>
      </c>
      <c r="D39" s="138" t="s">
        <v>3654</v>
      </c>
      <c r="E39" s="139">
        <v>45350</v>
      </c>
      <c r="F39" s="140">
        <v>0.46736111111111112</v>
      </c>
      <c r="G39" s="138" t="s">
        <v>3720</v>
      </c>
      <c r="H39" s="138" t="s">
        <v>3656</v>
      </c>
      <c r="I39" s="138" t="s">
        <v>3662</v>
      </c>
      <c r="J39" s="142" t="s">
        <v>341</v>
      </c>
      <c r="K39" s="142">
        <v>2000000</v>
      </c>
      <c r="L39" s="141" t="s">
        <v>20</v>
      </c>
      <c r="M39" s="141" t="s">
        <v>20</v>
      </c>
      <c r="N39" s="141" t="s">
        <v>20</v>
      </c>
      <c r="O39" s="141" t="s">
        <v>20</v>
      </c>
      <c r="P39" s="141" t="s">
        <v>20</v>
      </c>
      <c r="Q39" s="141" t="s">
        <v>20</v>
      </c>
    </row>
    <row r="40" spans="2:17" ht="58.5" x14ac:dyDescent="0.25">
      <c r="B40" s="137">
        <v>38</v>
      </c>
      <c r="C40" s="135" t="s">
        <v>321</v>
      </c>
      <c r="D40" s="138" t="s">
        <v>3721</v>
      </c>
      <c r="E40" s="139">
        <v>45351</v>
      </c>
      <c r="F40" s="140">
        <v>0.52083333333333337</v>
      </c>
      <c r="G40" s="138" t="s">
        <v>3722</v>
      </c>
      <c r="H40" s="141" t="s">
        <v>3723</v>
      </c>
      <c r="I40" s="138" t="s">
        <v>3724</v>
      </c>
      <c r="J40" s="142"/>
      <c r="K40" s="142">
        <v>2000000</v>
      </c>
      <c r="L40" s="141" t="s">
        <v>20</v>
      </c>
      <c r="M40" s="141" t="s">
        <v>20</v>
      </c>
      <c r="N40" s="141" t="s">
        <v>20</v>
      </c>
      <c r="O40" s="141" t="s">
        <v>20</v>
      </c>
      <c r="P40" s="141" t="s">
        <v>20</v>
      </c>
      <c r="Q40" s="141" t="s">
        <v>20</v>
      </c>
    </row>
    <row r="41" spans="2:17" ht="58.5" x14ac:dyDescent="0.25">
      <c r="B41" s="137">
        <v>39</v>
      </c>
      <c r="C41" s="135" t="s">
        <v>321</v>
      </c>
      <c r="D41" s="138" t="s">
        <v>306</v>
      </c>
      <c r="E41" s="139">
        <v>45325</v>
      </c>
      <c r="F41" s="140">
        <v>0.92638888888888893</v>
      </c>
      <c r="G41" s="138" t="s">
        <v>3725</v>
      </c>
      <c r="H41" s="138" t="s">
        <v>3726</v>
      </c>
      <c r="I41" s="141" t="s">
        <v>3727</v>
      </c>
      <c r="J41" s="142" t="s">
        <v>341</v>
      </c>
      <c r="K41" s="142" t="s">
        <v>341</v>
      </c>
      <c r="L41" s="141" t="s">
        <v>20</v>
      </c>
      <c r="M41" s="141" t="s">
        <v>20</v>
      </c>
      <c r="N41" s="141" t="s">
        <v>20</v>
      </c>
      <c r="O41" s="141" t="s">
        <v>20</v>
      </c>
      <c r="P41" s="141" t="s">
        <v>20</v>
      </c>
      <c r="Q41" s="141" t="s">
        <v>20</v>
      </c>
    </row>
    <row r="42" spans="2:17" ht="58.5" x14ac:dyDescent="0.25">
      <c r="B42" s="137">
        <v>40</v>
      </c>
      <c r="C42" s="135" t="s">
        <v>321</v>
      </c>
      <c r="D42" s="138" t="s">
        <v>306</v>
      </c>
      <c r="E42" s="139">
        <v>45325</v>
      </c>
      <c r="F42" s="140">
        <v>0.61597222222222225</v>
      </c>
      <c r="G42" s="138" t="s">
        <v>3728</v>
      </c>
      <c r="H42" s="141" t="s">
        <v>3726</v>
      </c>
      <c r="I42" s="141" t="s">
        <v>3727</v>
      </c>
      <c r="J42" s="142" t="s">
        <v>341</v>
      </c>
      <c r="K42" s="142" t="s">
        <v>341</v>
      </c>
      <c r="L42" s="141" t="s">
        <v>20</v>
      </c>
      <c r="M42" s="141" t="s">
        <v>20</v>
      </c>
      <c r="N42" s="141" t="s">
        <v>20</v>
      </c>
      <c r="O42" s="141" t="s">
        <v>20</v>
      </c>
      <c r="P42" s="141" t="s">
        <v>20</v>
      </c>
      <c r="Q42" s="141" t="s">
        <v>20</v>
      </c>
    </row>
    <row r="43" spans="2:17" ht="58.5" x14ac:dyDescent="0.25">
      <c r="B43" s="137">
        <v>41</v>
      </c>
      <c r="C43" s="135" t="s">
        <v>321</v>
      </c>
      <c r="D43" s="138" t="s">
        <v>306</v>
      </c>
      <c r="E43" s="139">
        <v>45331</v>
      </c>
      <c r="F43" s="140">
        <v>0.68263888888888891</v>
      </c>
      <c r="G43" s="138" t="s">
        <v>3728</v>
      </c>
      <c r="H43" s="141" t="s">
        <v>3726</v>
      </c>
      <c r="I43" s="141" t="s">
        <v>3729</v>
      </c>
      <c r="J43" s="142" t="s">
        <v>341</v>
      </c>
      <c r="K43" s="142" t="s">
        <v>341</v>
      </c>
      <c r="L43" s="141" t="s">
        <v>20</v>
      </c>
      <c r="M43" s="141" t="s">
        <v>20</v>
      </c>
      <c r="N43" s="141" t="s">
        <v>20</v>
      </c>
      <c r="O43" s="141" t="s">
        <v>20</v>
      </c>
      <c r="P43" s="141" t="s">
        <v>20</v>
      </c>
      <c r="Q43" s="141" t="s">
        <v>20</v>
      </c>
    </row>
    <row r="44" spans="2:17" ht="58.5" x14ac:dyDescent="0.25">
      <c r="B44" s="137">
        <v>42</v>
      </c>
      <c r="C44" s="135" t="s">
        <v>321</v>
      </c>
      <c r="D44" s="138" t="s">
        <v>306</v>
      </c>
      <c r="E44" s="139">
        <v>45333</v>
      </c>
      <c r="F44" s="140">
        <v>0.55000000000000004</v>
      </c>
      <c r="G44" s="138" t="s">
        <v>3728</v>
      </c>
      <c r="H44" s="141" t="s">
        <v>3726</v>
      </c>
      <c r="I44" s="138" t="s">
        <v>3730</v>
      </c>
      <c r="J44" s="142" t="s">
        <v>341</v>
      </c>
      <c r="K44" s="142" t="s">
        <v>341</v>
      </c>
      <c r="L44" s="141" t="s">
        <v>20</v>
      </c>
      <c r="M44" s="141" t="s">
        <v>20</v>
      </c>
      <c r="N44" s="141" t="s">
        <v>20</v>
      </c>
      <c r="O44" s="141" t="s">
        <v>20</v>
      </c>
      <c r="P44" s="141" t="s">
        <v>20</v>
      </c>
      <c r="Q44" s="141" t="s">
        <v>20</v>
      </c>
    </row>
    <row r="45" spans="2:17" ht="58.5" x14ac:dyDescent="0.25">
      <c r="B45" s="137">
        <v>43</v>
      </c>
      <c r="C45" s="135" t="s">
        <v>321</v>
      </c>
      <c r="D45" s="138" t="s">
        <v>306</v>
      </c>
      <c r="E45" s="139">
        <v>45334</v>
      </c>
      <c r="F45" s="140">
        <v>0.61458333333333337</v>
      </c>
      <c r="G45" s="138" t="s">
        <v>3731</v>
      </c>
      <c r="H45" s="141" t="s">
        <v>3726</v>
      </c>
      <c r="I45" s="138" t="s">
        <v>3732</v>
      </c>
      <c r="J45" s="142" t="s">
        <v>341</v>
      </c>
      <c r="K45" s="142" t="s">
        <v>341</v>
      </c>
      <c r="L45" s="141" t="s">
        <v>20</v>
      </c>
      <c r="M45" s="141" t="s">
        <v>20</v>
      </c>
      <c r="N45" s="141" t="s">
        <v>20</v>
      </c>
      <c r="O45" s="141" t="s">
        <v>20</v>
      </c>
      <c r="P45" s="141" t="s">
        <v>20</v>
      </c>
      <c r="Q45" s="141" t="s">
        <v>20</v>
      </c>
    </row>
    <row r="46" spans="2:17" ht="78" x14ac:dyDescent="0.25">
      <c r="B46" s="137">
        <v>44</v>
      </c>
      <c r="C46" s="135" t="s">
        <v>321</v>
      </c>
      <c r="D46" s="138" t="s">
        <v>306</v>
      </c>
      <c r="E46" s="139">
        <v>45336</v>
      </c>
      <c r="F46" s="140">
        <v>0.50069444444444444</v>
      </c>
      <c r="G46" s="138" t="s">
        <v>3733</v>
      </c>
      <c r="H46" s="141" t="s">
        <v>3649</v>
      </c>
      <c r="I46" s="138" t="s">
        <v>3734</v>
      </c>
      <c r="J46" s="142">
        <v>990000</v>
      </c>
      <c r="K46" s="142">
        <v>4010000</v>
      </c>
      <c r="L46" s="141" t="s">
        <v>20</v>
      </c>
      <c r="M46" s="141" t="s">
        <v>20</v>
      </c>
      <c r="N46" s="141" t="s">
        <v>20</v>
      </c>
      <c r="O46" s="141" t="s">
        <v>20</v>
      </c>
      <c r="P46" s="141" t="s">
        <v>20</v>
      </c>
      <c r="Q46" s="141" t="s">
        <v>20</v>
      </c>
    </row>
    <row r="47" spans="2:17" ht="78" x14ac:dyDescent="0.25">
      <c r="B47" s="137">
        <v>45</v>
      </c>
      <c r="C47" s="135" t="s">
        <v>321</v>
      </c>
      <c r="D47" s="138" t="s">
        <v>306</v>
      </c>
      <c r="E47" s="139">
        <v>45339</v>
      </c>
      <c r="F47" s="140">
        <v>0.99027777777777781</v>
      </c>
      <c r="G47" s="138" t="s">
        <v>3735</v>
      </c>
      <c r="H47" s="141" t="s">
        <v>3649</v>
      </c>
      <c r="I47" s="138" t="s">
        <v>3736</v>
      </c>
      <c r="J47" s="142">
        <v>600000</v>
      </c>
      <c r="K47" s="142">
        <v>400000</v>
      </c>
      <c r="L47" s="141" t="s">
        <v>20</v>
      </c>
      <c r="M47" s="141" t="s">
        <v>20</v>
      </c>
      <c r="N47" s="141" t="s">
        <v>20</v>
      </c>
      <c r="O47" s="141" t="s">
        <v>20</v>
      </c>
      <c r="P47" s="141" t="s">
        <v>20</v>
      </c>
      <c r="Q47" s="141" t="s">
        <v>20</v>
      </c>
    </row>
    <row r="48" spans="2:17" ht="58.5" x14ac:dyDescent="0.25">
      <c r="B48" s="137">
        <v>46</v>
      </c>
      <c r="C48" s="135" t="s">
        <v>321</v>
      </c>
      <c r="D48" s="138" t="s">
        <v>306</v>
      </c>
      <c r="E48" s="139">
        <v>45345</v>
      </c>
      <c r="F48" s="140">
        <v>0.58888888888888891</v>
      </c>
      <c r="G48" s="138" t="s">
        <v>3731</v>
      </c>
      <c r="H48" s="141" t="s">
        <v>3726</v>
      </c>
      <c r="I48" s="138" t="s">
        <v>3737</v>
      </c>
      <c r="J48" s="142" t="s">
        <v>341</v>
      </c>
      <c r="K48" s="142" t="s">
        <v>341</v>
      </c>
      <c r="L48" s="141" t="s">
        <v>20</v>
      </c>
      <c r="M48" s="141" t="s">
        <v>20</v>
      </c>
      <c r="N48" s="141" t="s">
        <v>20</v>
      </c>
      <c r="O48" s="141" t="s">
        <v>20</v>
      </c>
      <c r="P48" s="141" t="s">
        <v>20</v>
      </c>
      <c r="Q48" s="141" t="s">
        <v>20</v>
      </c>
    </row>
    <row r="49" spans="2:17" ht="58.5" x14ac:dyDescent="0.25">
      <c r="B49" s="137">
        <v>47</v>
      </c>
      <c r="C49" s="135" t="s">
        <v>321</v>
      </c>
      <c r="D49" s="138" t="s">
        <v>306</v>
      </c>
      <c r="E49" s="139">
        <v>45350</v>
      </c>
      <c r="F49" s="140">
        <v>0.56805555555555554</v>
      </c>
      <c r="G49" s="138" t="s">
        <v>3738</v>
      </c>
      <c r="H49" s="141" t="s">
        <v>3726</v>
      </c>
      <c r="I49" s="138" t="s">
        <v>3739</v>
      </c>
      <c r="J49" s="142" t="s">
        <v>341</v>
      </c>
      <c r="K49" s="142" t="s">
        <v>341</v>
      </c>
      <c r="L49" s="141" t="s">
        <v>20</v>
      </c>
      <c r="M49" s="141" t="s">
        <v>20</v>
      </c>
      <c r="N49" s="141" t="s">
        <v>20</v>
      </c>
      <c r="O49" s="141" t="s">
        <v>20</v>
      </c>
      <c r="P49" s="141" t="s">
        <v>20</v>
      </c>
      <c r="Q49" s="141" t="s">
        <v>20</v>
      </c>
    </row>
    <row r="50" spans="2:17" ht="58.5" x14ac:dyDescent="0.25">
      <c r="B50" s="137">
        <v>48</v>
      </c>
      <c r="C50" s="135" t="s">
        <v>321</v>
      </c>
      <c r="D50" s="138" t="s">
        <v>306</v>
      </c>
      <c r="E50" s="139">
        <v>45351</v>
      </c>
      <c r="F50" s="140">
        <v>0.62638888888888888</v>
      </c>
      <c r="G50" s="138" t="s">
        <v>3731</v>
      </c>
      <c r="H50" s="141" t="s">
        <v>3726</v>
      </c>
      <c r="I50" s="138" t="s">
        <v>3740</v>
      </c>
      <c r="J50" s="142" t="s">
        <v>341</v>
      </c>
      <c r="K50" s="142" t="s">
        <v>341</v>
      </c>
      <c r="L50" s="141" t="s">
        <v>20</v>
      </c>
      <c r="M50" s="141" t="s">
        <v>20</v>
      </c>
      <c r="N50" s="141" t="s">
        <v>20</v>
      </c>
      <c r="O50" s="141" t="s">
        <v>20</v>
      </c>
      <c r="P50" s="141" t="s">
        <v>20</v>
      </c>
      <c r="Q50" s="141" t="s">
        <v>20</v>
      </c>
    </row>
    <row r="51" spans="2:17" ht="39" x14ac:dyDescent="0.25">
      <c r="B51" s="137">
        <v>49</v>
      </c>
      <c r="C51" s="135" t="s">
        <v>321</v>
      </c>
      <c r="D51" s="138" t="s">
        <v>317</v>
      </c>
      <c r="E51" s="139">
        <v>45325</v>
      </c>
      <c r="F51" s="140">
        <v>0.54374999999999996</v>
      </c>
      <c r="G51" s="138" t="s">
        <v>325</v>
      </c>
      <c r="H51" s="138" t="s">
        <v>319</v>
      </c>
      <c r="I51" s="138" t="s">
        <v>326</v>
      </c>
      <c r="J51" s="143" t="s">
        <v>3741</v>
      </c>
      <c r="K51" s="143" t="s">
        <v>3742</v>
      </c>
      <c r="L51" s="141" t="s">
        <v>20</v>
      </c>
      <c r="M51" s="141" t="s">
        <v>20</v>
      </c>
      <c r="N51" s="141" t="s">
        <v>20</v>
      </c>
      <c r="O51" s="141" t="s">
        <v>20</v>
      </c>
      <c r="P51" s="141" t="s">
        <v>20</v>
      </c>
      <c r="Q51" s="141" t="s">
        <v>20</v>
      </c>
    </row>
    <row r="52" spans="2:17" ht="58.5" x14ac:dyDescent="0.25">
      <c r="B52" s="137">
        <v>50</v>
      </c>
      <c r="C52" s="135" t="s">
        <v>321</v>
      </c>
      <c r="D52" s="138" t="s">
        <v>317</v>
      </c>
      <c r="E52" s="139">
        <v>45341</v>
      </c>
      <c r="F52" s="140" t="s">
        <v>581</v>
      </c>
      <c r="G52" s="138" t="s">
        <v>327</v>
      </c>
      <c r="H52" s="138" t="s">
        <v>328</v>
      </c>
      <c r="I52" s="138" t="s">
        <v>329</v>
      </c>
      <c r="J52" s="142">
        <v>1000</v>
      </c>
      <c r="K52" s="143" t="s">
        <v>3743</v>
      </c>
      <c r="L52" s="141" t="s">
        <v>20</v>
      </c>
      <c r="M52" s="141" t="s">
        <v>20</v>
      </c>
      <c r="N52" s="141" t="s">
        <v>20</v>
      </c>
      <c r="O52" s="141" t="s">
        <v>20</v>
      </c>
      <c r="P52" s="141" t="s">
        <v>20</v>
      </c>
      <c r="Q52" s="141" t="s">
        <v>20</v>
      </c>
    </row>
    <row r="53" spans="2:17" ht="39" x14ac:dyDescent="0.25">
      <c r="B53" s="137">
        <v>51</v>
      </c>
      <c r="C53" s="135" t="s">
        <v>321</v>
      </c>
      <c r="D53" s="138" t="s">
        <v>317</v>
      </c>
      <c r="E53" s="139">
        <v>45342</v>
      </c>
      <c r="F53" s="140">
        <v>0.50902777777777775</v>
      </c>
      <c r="G53" s="138" t="s">
        <v>3744</v>
      </c>
      <c r="H53" s="138" t="s">
        <v>330</v>
      </c>
      <c r="I53" s="138" t="s">
        <v>331</v>
      </c>
      <c r="J53" s="142">
        <v>1000</v>
      </c>
      <c r="K53" s="143" t="s">
        <v>3745</v>
      </c>
      <c r="L53" s="141" t="s">
        <v>20</v>
      </c>
      <c r="M53" s="141" t="s">
        <v>20</v>
      </c>
      <c r="N53" s="141" t="s">
        <v>20</v>
      </c>
      <c r="O53" s="141" t="s">
        <v>20</v>
      </c>
      <c r="P53" s="141" t="s">
        <v>20</v>
      </c>
      <c r="Q53" s="141" t="s">
        <v>20</v>
      </c>
    </row>
    <row r="54" spans="2:17" ht="39" x14ac:dyDescent="0.25">
      <c r="B54" s="137">
        <v>52</v>
      </c>
      <c r="C54" s="135" t="s">
        <v>321</v>
      </c>
      <c r="D54" s="138" t="s">
        <v>317</v>
      </c>
      <c r="E54" s="139">
        <v>45345</v>
      </c>
      <c r="F54" s="140">
        <v>0.34375</v>
      </c>
      <c r="G54" s="138" t="s">
        <v>332</v>
      </c>
      <c r="H54" s="138" t="s">
        <v>309</v>
      </c>
      <c r="I54" s="138" t="s">
        <v>3746</v>
      </c>
      <c r="J54" s="143" t="s">
        <v>3741</v>
      </c>
      <c r="K54" s="143" t="s">
        <v>3747</v>
      </c>
      <c r="L54" s="141" t="s">
        <v>20</v>
      </c>
      <c r="M54" s="141" t="s">
        <v>20</v>
      </c>
      <c r="N54" s="141" t="s">
        <v>20</v>
      </c>
      <c r="O54" s="141" t="s">
        <v>20</v>
      </c>
      <c r="P54" s="141" t="s">
        <v>20</v>
      </c>
      <c r="Q54" s="141" t="s">
        <v>20</v>
      </c>
    </row>
    <row r="55" spans="2:17" ht="39" x14ac:dyDescent="0.25">
      <c r="B55" s="137">
        <v>53</v>
      </c>
      <c r="C55" s="135" t="s">
        <v>321</v>
      </c>
      <c r="D55" s="138" t="s">
        <v>3669</v>
      </c>
      <c r="E55" s="139">
        <v>45325</v>
      </c>
      <c r="F55" s="140">
        <v>0.75486111111111109</v>
      </c>
      <c r="G55" s="138" t="s">
        <v>3748</v>
      </c>
      <c r="H55" s="138" t="s">
        <v>2873</v>
      </c>
      <c r="I55" s="138" t="s">
        <v>390</v>
      </c>
      <c r="J55" s="142">
        <v>50000</v>
      </c>
      <c r="K55" s="142">
        <v>150000</v>
      </c>
      <c r="L55" s="137" t="s">
        <v>20</v>
      </c>
      <c r="M55" s="137" t="s">
        <v>20</v>
      </c>
      <c r="N55" s="137" t="s">
        <v>20</v>
      </c>
      <c r="O55" s="137" t="s">
        <v>20</v>
      </c>
      <c r="P55" s="141" t="s">
        <v>20</v>
      </c>
      <c r="Q55" s="137" t="s">
        <v>20</v>
      </c>
    </row>
    <row r="56" spans="2:17" ht="58.5" x14ac:dyDescent="0.25">
      <c r="B56" s="137">
        <v>54</v>
      </c>
      <c r="C56" s="135" t="s">
        <v>321</v>
      </c>
      <c r="D56" s="138" t="s">
        <v>3669</v>
      </c>
      <c r="E56" s="139">
        <v>45326</v>
      </c>
      <c r="F56" s="140">
        <v>5.4166666666666669E-2</v>
      </c>
      <c r="G56" s="138" t="s">
        <v>3749</v>
      </c>
      <c r="H56" s="138" t="s">
        <v>2873</v>
      </c>
      <c r="I56" s="138" t="s">
        <v>3750</v>
      </c>
      <c r="J56" s="142">
        <v>5000</v>
      </c>
      <c r="K56" s="142">
        <v>495000</v>
      </c>
      <c r="L56" s="137" t="s">
        <v>20</v>
      </c>
      <c r="M56" s="137" t="s">
        <v>20</v>
      </c>
      <c r="N56" s="137" t="s">
        <v>20</v>
      </c>
      <c r="O56" s="137" t="s">
        <v>20</v>
      </c>
      <c r="P56" s="137" t="s">
        <v>20</v>
      </c>
      <c r="Q56" s="137" t="s">
        <v>20</v>
      </c>
    </row>
    <row r="57" spans="2:17" ht="58.5" x14ac:dyDescent="0.25">
      <c r="B57" s="137">
        <v>55</v>
      </c>
      <c r="C57" s="135" t="s">
        <v>321</v>
      </c>
      <c r="D57" s="138" t="s">
        <v>3669</v>
      </c>
      <c r="E57" s="139">
        <v>45332</v>
      </c>
      <c r="F57" s="140">
        <v>0.58472222222222225</v>
      </c>
      <c r="G57" s="138" t="s">
        <v>3751</v>
      </c>
      <c r="H57" s="138" t="s">
        <v>3752</v>
      </c>
      <c r="I57" s="138" t="s">
        <v>3753</v>
      </c>
      <c r="J57" s="142">
        <v>10000</v>
      </c>
      <c r="K57" s="142">
        <v>40000</v>
      </c>
      <c r="L57" s="137" t="s">
        <v>20</v>
      </c>
      <c r="M57" s="137" t="s">
        <v>20</v>
      </c>
      <c r="N57" s="137" t="s">
        <v>20</v>
      </c>
      <c r="O57" s="137" t="s">
        <v>20</v>
      </c>
      <c r="P57" s="137" t="s">
        <v>20</v>
      </c>
      <c r="Q57" s="137" t="s">
        <v>20</v>
      </c>
    </row>
    <row r="58" spans="2:17" ht="39" x14ac:dyDescent="0.25">
      <c r="B58" s="137">
        <v>56</v>
      </c>
      <c r="C58" s="135" t="s">
        <v>321</v>
      </c>
      <c r="D58" s="138" t="s">
        <v>3669</v>
      </c>
      <c r="E58" s="139">
        <v>45334</v>
      </c>
      <c r="F58" s="140">
        <v>0.50138888888888888</v>
      </c>
      <c r="G58" s="138" t="s">
        <v>3754</v>
      </c>
      <c r="H58" s="138" t="s">
        <v>3755</v>
      </c>
      <c r="I58" s="138" t="s">
        <v>2210</v>
      </c>
      <c r="J58" s="142">
        <v>50000</v>
      </c>
      <c r="K58" s="142">
        <v>100000</v>
      </c>
      <c r="L58" s="137" t="s">
        <v>20</v>
      </c>
      <c r="M58" s="137" t="s">
        <v>20</v>
      </c>
      <c r="N58" s="141">
        <v>4</v>
      </c>
      <c r="O58" s="137" t="s">
        <v>20</v>
      </c>
      <c r="P58" s="137" t="s">
        <v>20</v>
      </c>
      <c r="Q58" s="137" t="s">
        <v>20</v>
      </c>
    </row>
    <row r="59" spans="2:17" ht="39" x14ac:dyDescent="0.25">
      <c r="B59" s="137">
        <v>57</v>
      </c>
      <c r="C59" s="135" t="s">
        <v>321</v>
      </c>
      <c r="D59" s="138" t="s">
        <v>3669</v>
      </c>
      <c r="E59" s="139">
        <v>45336</v>
      </c>
      <c r="F59" s="140">
        <v>0.85416666666666663</v>
      </c>
      <c r="G59" s="138" t="s">
        <v>3756</v>
      </c>
      <c r="H59" s="138" t="s">
        <v>2873</v>
      </c>
      <c r="I59" s="138" t="s">
        <v>3757</v>
      </c>
      <c r="J59" s="142" t="s">
        <v>3674</v>
      </c>
      <c r="K59" s="142" t="s">
        <v>3674</v>
      </c>
      <c r="L59" s="137" t="s">
        <v>20</v>
      </c>
      <c r="M59" s="137" t="s">
        <v>20</v>
      </c>
      <c r="N59" s="137" t="s">
        <v>20</v>
      </c>
      <c r="O59" s="137" t="s">
        <v>20</v>
      </c>
      <c r="P59" s="137" t="s">
        <v>20</v>
      </c>
      <c r="Q59" s="137" t="s">
        <v>20</v>
      </c>
    </row>
    <row r="60" spans="2:17" ht="58.5" x14ac:dyDescent="0.25">
      <c r="B60" s="137">
        <v>58</v>
      </c>
      <c r="C60" s="135" t="s">
        <v>321</v>
      </c>
      <c r="D60" s="138" t="s">
        <v>3669</v>
      </c>
      <c r="E60" s="139">
        <v>45337</v>
      </c>
      <c r="F60" s="140">
        <v>8.6805555555555552E-2</v>
      </c>
      <c r="G60" s="138" t="s">
        <v>3758</v>
      </c>
      <c r="H60" s="138" t="s">
        <v>3752</v>
      </c>
      <c r="I60" s="138" t="s">
        <v>3759</v>
      </c>
      <c r="J60" s="142">
        <v>40000</v>
      </c>
      <c r="K60" s="142">
        <v>60000</v>
      </c>
      <c r="L60" s="137" t="s">
        <v>20</v>
      </c>
      <c r="M60" s="137" t="s">
        <v>20</v>
      </c>
      <c r="N60" s="137" t="s">
        <v>20</v>
      </c>
      <c r="O60" s="137" t="s">
        <v>20</v>
      </c>
      <c r="P60" s="137" t="s">
        <v>20</v>
      </c>
      <c r="Q60" s="137" t="s">
        <v>20</v>
      </c>
    </row>
    <row r="61" spans="2:17" ht="39" x14ac:dyDescent="0.25">
      <c r="B61" s="137">
        <v>59</v>
      </c>
      <c r="C61" s="135" t="s">
        <v>321</v>
      </c>
      <c r="D61" s="138" t="s">
        <v>3669</v>
      </c>
      <c r="E61" s="139">
        <v>45337</v>
      </c>
      <c r="F61" s="140">
        <v>0.31388888888888888</v>
      </c>
      <c r="G61" s="138" t="s">
        <v>3760</v>
      </c>
      <c r="H61" s="138" t="s">
        <v>3761</v>
      </c>
      <c r="I61" s="138" t="s">
        <v>347</v>
      </c>
      <c r="J61" s="142">
        <v>20000</v>
      </c>
      <c r="K61" s="142">
        <v>80000</v>
      </c>
      <c r="L61" s="137" t="s">
        <v>20</v>
      </c>
      <c r="M61" s="137" t="s">
        <v>20</v>
      </c>
      <c r="N61" s="137" t="s">
        <v>20</v>
      </c>
      <c r="O61" s="137" t="s">
        <v>20</v>
      </c>
      <c r="P61" s="137" t="s">
        <v>20</v>
      </c>
      <c r="Q61" s="137" t="s">
        <v>20</v>
      </c>
    </row>
    <row r="62" spans="2:17" ht="39" x14ac:dyDescent="0.25">
      <c r="B62" s="137">
        <v>60</v>
      </c>
      <c r="C62" s="135" t="s">
        <v>321</v>
      </c>
      <c r="D62" s="138" t="s">
        <v>3669</v>
      </c>
      <c r="E62" s="139">
        <v>45338</v>
      </c>
      <c r="F62" s="140">
        <v>0.57638888888888884</v>
      </c>
      <c r="G62" s="138" t="s">
        <v>3762</v>
      </c>
      <c r="H62" s="138" t="s">
        <v>406</v>
      </c>
      <c r="I62" s="138" t="s">
        <v>3763</v>
      </c>
      <c r="J62" s="142" t="s">
        <v>354</v>
      </c>
      <c r="K62" s="142" t="s">
        <v>341</v>
      </c>
      <c r="L62" s="137" t="s">
        <v>20</v>
      </c>
      <c r="M62" s="137" t="s">
        <v>20</v>
      </c>
      <c r="N62" s="137" t="s">
        <v>20</v>
      </c>
      <c r="O62" s="137" t="s">
        <v>20</v>
      </c>
      <c r="P62" s="137" t="s">
        <v>20</v>
      </c>
      <c r="Q62" s="137" t="s">
        <v>20</v>
      </c>
    </row>
    <row r="63" spans="2:17" ht="58.5" x14ac:dyDescent="0.25">
      <c r="B63" s="137">
        <v>61</v>
      </c>
      <c r="C63" s="135" t="s">
        <v>321</v>
      </c>
      <c r="D63" s="138" t="s">
        <v>3685</v>
      </c>
      <c r="E63" s="139">
        <v>45340</v>
      </c>
      <c r="F63" s="140">
        <v>0.6645833333333333</v>
      </c>
      <c r="G63" s="138" t="s">
        <v>3764</v>
      </c>
      <c r="H63" s="138" t="s">
        <v>3752</v>
      </c>
      <c r="I63" s="138" t="s">
        <v>340</v>
      </c>
      <c r="J63" s="142" t="s">
        <v>354</v>
      </c>
      <c r="K63" s="142" t="s">
        <v>341</v>
      </c>
      <c r="L63" s="137" t="s">
        <v>20</v>
      </c>
      <c r="M63" s="137" t="s">
        <v>20</v>
      </c>
      <c r="N63" s="137" t="s">
        <v>20</v>
      </c>
      <c r="O63" s="137" t="s">
        <v>20</v>
      </c>
      <c r="P63" s="137" t="s">
        <v>20</v>
      </c>
      <c r="Q63" s="137" t="s">
        <v>20</v>
      </c>
    </row>
    <row r="64" spans="2:17" ht="39" x14ac:dyDescent="0.25">
      <c r="B64" s="137">
        <v>62</v>
      </c>
      <c r="C64" s="135" t="s">
        <v>321</v>
      </c>
      <c r="D64" s="138" t="s">
        <v>3669</v>
      </c>
      <c r="E64" s="139">
        <v>45340</v>
      </c>
      <c r="F64" s="140">
        <v>0.89027777777777772</v>
      </c>
      <c r="G64" s="138" t="s">
        <v>3765</v>
      </c>
      <c r="H64" s="138" t="s">
        <v>3766</v>
      </c>
      <c r="I64" s="138" t="s">
        <v>3767</v>
      </c>
      <c r="J64" s="142" t="s">
        <v>341</v>
      </c>
      <c r="K64" s="142" t="s">
        <v>341</v>
      </c>
      <c r="L64" s="137" t="s">
        <v>20</v>
      </c>
      <c r="M64" s="137" t="s">
        <v>20</v>
      </c>
      <c r="N64" s="137" t="s">
        <v>20</v>
      </c>
      <c r="O64" s="137" t="s">
        <v>20</v>
      </c>
      <c r="P64" s="137" t="s">
        <v>20</v>
      </c>
      <c r="Q64" s="137" t="s">
        <v>20</v>
      </c>
    </row>
    <row r="65" spans="2:17" ht="58.5" x14ac:dyDescent="0.25">
      <c r="B65" s="137">
        <v>63</v>
      </c>
      <c r="C65" s="135" t="s">
        <v>321</v>
      </c>
      <c r="D65" s="138" t="s">
        <v>3669</v>
      </c>
      <c r="E65" s="139">
        <v>45343</v>
      </c>
      <c r="F65" s="140">
        <v>0.78749999999999998</v>
      </c>
      <c r="G65" s="138" t="s">
        <v>3768</v>
      </c>
      <c r="H65" s="138" t="s">
        <v>3752</v>
      </c>
      <c r="I65" s="138" t="s">
        <v>353</v>
      </c>
      <c r="J65" s="142" t="s">
        <v>341</v>
      </c>
      <c r="K65" s="142" t="s">
        <v>341</v>
      </c>
      <c r="L65" s="137" t="s">
        <v>20</v>
      </c>
      <c r="M65" s="137" t="s">
        <v>20</v>
      </c>
      <c r="N65" s="137" t="s">
        <v>20</v>
      </c>
      <c r="O65" s="137" t="s">
        <v>20</v>
      </c>
      <c r="P65" s="137" t="s">
        <v>20</v>
      </c>
      <c r="Q65" s="137" t="s">
        <v>20</v>
      </c>
    </row>
    <row r="66" spans="2:17" ht="39" x14ac:dyDescent="0.25">
      <c r="B66" s="137">
        <v>64</v>
      </c>
      <c r="C66" s="135" t="s">
        <v>321</v>
      </c>
      <c r="D66" s="138" t="s">
        <v>3669</v>
      </c>
      <c r="E66" s="139">
        <v>45345</v>
      </c>
      <c r="F66" s="140">
        <v>0.28194444444444444</v>
      </c>
      <c r="G66" s="138" t="s">
        <v>3769</v>
      </c>
      <c r="H66" s="138" t="s">
        <v>3770</v>
      </c>
      <c r="I66" s="138" t="s">
        <v>3771</v>
      </c>
      <c r="J66" s="142" t="s">
        <v>341</v>
      </c>
      <c r="K66" s="142" t="s">
        <v>341</v>
      </c>
      <c r="L66" s="137" t="s">
        <v>20</v>
      </c>
      <c r="M66" s="137" t="s">
        <v>20</v>
      </c>
      <c r="N66" s="137" t="s">
        <v>20</v>
      </c>
      <c r="O66" s="137" t="s">
        <v>20</v>
      </c>
      <c r="P66" s="137" t="s">
        <v>20</v>
      </c>
      <c r="Q66" s="137" t="s">
        <v>20</v>
      </c>
    </row>
    <row r="67" spans="2:17" ht="39" x14ac:dyDescent="0.25">
      <c r="B67" s="137">
        <v>65</v>
      </c>
      <c r="C67" s="135" t="s">
        <v>321</v>
      </c>
      <c r="D67" s="138" t="s">
        <v>3669</v>
      </c>
      <c r="E67" s="139">
        <v>45345</v>
      </c>
      <c r="F67" s="140">
        <v>0.47569444444444442</v>
      </c>
      <c r="G67" s="138" t="s">
        <v>3772</v>
      </c>
      <c r="H67" s="138" t="s">
        <v>496</v>
      </c>
      <c r="I67" s="138" t="s">
        <v>496</v>
      </c>
      <c r="J67" s="142" t="s">
        <v>3674</v>
      </c>
      <c r="K67" s="142" t="s">
        <v>3674</v>
      </c>
      <c r="L67" s="137" t="s">
        <v>20</v>
      </c>
      <c r="M67" s="137" t="s">
        <v>20</v>
      </c>
      <c r="N67" s="137" t="s">
        <v>20</v>
      </c>
      <c r="O67" s="137" t="s">
        <v>20</v>
      </c>
      <c r="P67" s="137" t="s">
        <v>20</v>
      </c>
      <c r="Q67" s="137" t="s">
        <v>20</v>
      </c>
    </row>
    <row r="68" spans="2:17" ht="39" x14ac:dyDescent="0.25">
      <c r="B68" s="137">
        <v>66</v>
      </c>
      <c r="C68" s="135" t="s">
        <v>321</v>
      </c>
      <c r="D68" s="138" t="s">
        <v>3669</v>
      </c>
      <c r="E68" s="139">
        <v>45345</v>
      </c>
      <c r="F68" s="140">
        <v>0.59722222222222221</v>
      </c>
      <c r="G68" s="138" t="s">
        <v>3773</v>
      </c>
      <c r="H68" s="138" t="s">
        <v>3649</v>
      </c>
      <c r="I68" s="138" t="s">
        <v>3238</v>
      </c>
      <c r="J68" s="142">
        <v>600000</v>
      </c>
      <c r="K68" s="142">
        <v>900000</v>
      </c>
      <c r="L68" s="137" t="s">
        <v>20</v>
      </c>
      <c r="M68" s="137" t="s">
        <v>20</v>
      </c>
      <c r="N68" s="137" t="s">
        <v>20</v>
      </c>
      <c r="O68" s="137" t="s">
        <v>20</v>
      </c>
      <c r="P68" s="137" t="s">
        <v>20</v>
      </c>
      <c r="Q68" s="137" t="s">
        <v>20</v>
      </c>
    </row>
    <row r="69" spans="2:17" ht="58.5" x14ac:dyDescent="0.25">
      <c r="B69" s="137">
        <v>67</v>
      </c>
      <c r="C69" s="135" t="s">
        <v>321</v>
      </c>
      <c r="D69" s="138" t="s">
        <v>3669</v>
      </c>
      <c r="E69" s="139">
        <v>45346</v>
      </c>
      <c r="F69" s="140">
        <v>0.68472222222222223</v>
      </c>
      <c r="G69" s="138" t="s">
        <v>3774</v>
      </c>
      <c r="H69" s="138" t="s">
        <v>3752</v>
      </c>
      <c r="I69" s="138" t="s">
        <v>2019</v>
      </c>
      <c r="J69" s="142" t="s">
        <v>354</v>
      </c>
      <c r="K69" s="142" t="s">
        <v>341</v>
      </c>
      <c r="L69" s="137" t="s">
        <v>20</v>
      </c>
      <c r="M69" s="137" t="s">
        <v>20</v>
      </c>
      <c r="N69" s="137" t="s">
        <v>20</v>
      </c>
      <c r="O69" s="137" t="s">
        <v>20</v>
      </c>
      <c r="P69" s="137" t="s">
        <v>20</v>
      </c>
      <c r="Q69" s="137" t="s">
        <v>20</v>
      </c>
    </row>
    <row r="70" spans="2:17" ht="58.5" x14ac:dyDescent="0.25">
      <c r="B70" s="137">
        <v>68</v>
      </c>
      <c r="C70" s="135" t="s">
        <v>321</v>
      </c>
      <c r="D70" s="138" t="s">
        <v>3669</v>
      </c>
      <c r="E70" s="139">
        <v>45347</v>
      </c>
      <c r="F70" s="140">
        <v>0.5756944444444444</v>
      </c>
      <c r="G70" s="138" t="s">
        <v>3774</v>
      </c>
      <c r="H70" s="138" t="s">
        <v>3752</v>
      </c>
      <c r="I70" s="138" t="s">
        <v>2019</v>
      </c>
      <c r="J70" s="142" t="s">
        <v>354</v>
      </c>
      <c r="K70" s="142" t="s">
        <v>341</v>
      </c>
      <c r="L70" s="137" t="s">
        <v>20</v>
      </c>
      <c r="M70" s="137" t="s">
        <v>20</v>
      </c>
      <c r="N70" s="137" t="s">
        <v>20</v>
      </c>
      <c r="O70" s="137" t="s">
        <v>20</v>
      </c>
      <c r="P70" s="137" t="s">
        <v>20</v>
      </c>
      <c r="Q70" s="137" t="s">
        <v>20</v>
      </c>
    </row>
    <row r="71" spans="2:17" ht="58.5" x14ac:dyDescent="0.25">
      <c r="B71" s="137">
        <v>69</v>
      </c>
      <c r="C71" s="135" t="s">
        <v>321</v>
      </c>
      <c r="D71" s="138" t="s">
        <v>3669</v>
      </c>
      <c r="E71" s="139">
        <v>45349</v>
      </c>
      <c r="F71" s="140">
        <v>0.58819444444444446</v>
      </c>
      <c r="G71" s="138" t="s">
        <v>3775</v>
      </c>
      <c r="H71" s="138" t="s">
        <v>3752</v>
      </c>
      <c r="I71" s="138" t="s">
        <v>2800</v>
      </c>
      <c r="J71" s="142" t="s">
        <v>354</v>
      </c>
      <c r="K71" s="142" t="s">
        <v>341</v>
      </c>
      <c r="L71" s="137" t="s">
        <v>20</v>
      </c>
      <c r="M71" s="137" t="s">
        <v>20</v>
      </c>
      <c r="N71" s="137" t="s">
        <v>20</v>
      </c>
      <c r="O71" s="137" t="s">
        <v>20</v>
      </c>
      <c r="P71" s="137" t="s">
        <v>20</v>
      </c>
      <c r="Q71" s="137" t="s">
        <v>20</v>
      </c>
    </row>
    <row r="72" spans="2:17" ht="39" x14ac:dyDescent="0.25">
      <c r="B72" s="137">
        <v>70</v>
      </c>
      <c r="C72" s="135" t="s">
        <v>321</v>
      </c>
      <c r="D72" s="138" t="s">
        <v>3776</v>
      </c>
      <c r="E72" s="139">
        <v>45352</v>
      </c>
      <c r="F72" s="140">
        <v>0.2590277777777778</v>
      </c>
      <c r="G72" s="138" t="s">
        <v>3777</v>
      </c>
      <c r="H72" s="144" t="s">
        <v>3659</v>
      </c>
      <c r="I72" s="138" t="s">
        <v>3471</v>
      </c>
      <c r="J72" s="142">
        <v>950000</v>
      </c>
      <c r="K72" s="142">
        <v>4050000</v>
      </c>
      <c r="L72" s="141" t="s">
        <v>20</v>
      </c>
      <c r="M72" s="141" t="s">
        <v>20</v>
      </c>
      <c r="N72" s="141" t="s">
        <v>20</v>
      </c>
      <c r="O72" s="141" t="s">
        <v>20</v>
      </c>
      <c r="P72" s="141" t="s">
        <v>20</v>
      </c>
      <c r="Q72" s="141" t="s">
        <v>20</v>
      </c>
    </row>
    <row r="73" spans="2:17" ht="39" x14ac:dyDescent="0.25">
      <c r="B73" s="137">
        <v>71</v>
      </c>
      <c r="C73" s="135" t="s">
        <v>321</v>
      </c>
      <c r="D73" s="138" t="s">
        <v>3776</v>
      </c>
      <c r="E73" s="139">
        <v>45380</v>
      </c>
      <c r="F73" s="140">
        <v>0.27638888888888891</v>
      </c>
      <c r="G73" s="138" t="s">
        <v>3778</v>
      </c>
      <c r="H73" s="144" t="s">
        <v>3659</v>
      </c>
      <c r="I73" s="138" t="s">
        <v>3779</v>
      </c>
      <c r="J73" s="142">
        <v>650000</v>
      </c>
      <c r="K73" s="142">
        <v>4350000</v>
      </c>
      <c r="L73" s="141" t="s">
        <v>20</v>
      </c>
      <c r="M73" s="141" t="s">
        <v>20</v>
      </c>
      <c r="N73" s="141" t="s">
        <v>20</v>
      </c>
      <c r="O73" s="141" t="s">
        <v>20</v>
      </c>
      <c r="P73" s="141" t="s">
        <v>20</v>
      </c>
      <c r="Q73" s="141" t="s">
        <v>20</v>
      </c>
    </row>
    <row r="74" spans="2:17" ht="58.5" x14ac:dyDescent="0.25">
      <c r="B74" s="137">
        <v>72</v>
      </c>
      <c r="C74" s="135" t="s">
        <v>321</v>
      </c>
      <c r="D74" s="138" t="s">
        <v>3776</v>
      </c>
      <c r="E74" s="139">
        <v>45380</v>
      </c>
      <c r="F74" s="140">
        <v>0.71875</v>
      </c>
      <c r="G74" s="138" t="s">
        <v>3715</v>
      </c>
      <c r="H74" s="144" t="s">
        <v>3656</v>
      </c>
      <c r="I74" s="138" t="s">
        <v>3716</v>
      </c>
      <c r="J74" s="142" t="s">
        <v>341</v>
      </c>
      <c r="K74" s="142">
        <v>100000</v>
      </c>
      <c r="L74" s="141" t="s">
        <v>20</v>
      </c>
      <c r="M74" s="141" t="s">
        <v>20</v>
      </c>
      <c r="N74" s="141" t="s">
        <v>20</v>
      </c>
      <c r="O74" s="141" t="s">
        <v>20</v>
      </c>
      <c r="P74" s="141" t="s">
        <v>20</v>
      </c>
      <c r="Q74" s="141" t="s">
        <v>20</v>
      </c>
    </row>
    <row r="75" spans="2:17" ht="39" x14ac:dyDescent="0.25">
      <c r="B75" s="137">
        <v>73</v>
      </c>
      <c r="C75" s="135" t="s">
        <v>321</v>
      </c>
      <c r="D75" s="138" t="s">
        <v>3721</v>
      </c>
      <c r="E75" s="139">
        <v>45362</v>
      </c>
      <c r="F75" s="140">
        <v>0.80833333333333335</v>
      </c>
      <c r="G75" s="138" t="s">
        <v>3780</v>
      </c>
      <c r="H75" s="141" t="s">
        <v>3781</v>
      </c>
      <c r="I75" s="138" t="s">
        <v>3782</v>
      </c>
      <c r="J75" s="142">
        <v>50000</v>
      </c>
      <c r="K75" s="142">
        <v>950000</v>
      </c>
      <c r="L75" s="141" t="s">
        <v>20</v>
      </c>
      <c r="M75" s="141" t="s">
        <v>20</v>
      </c>
      <c r="N75" s="141" t="s">
        <v>20</v>
      </c>
      <c r="O75" s="141" t="s">
        <v>20</v>
      </c>
      <c r="P75" s="141" t="s">
        <v>20</v>
      </c>
      <c r="Q75" s="141" t="s">
        <v>20</v>
      </c>
    </row>
    <row r="76" spans="2:17" ht="39" x14ac:dyDescent="0.25">
      <c r="B76" s="137">
        <v>74</v>
      </c>
      <c r="C76" s="135" t="s">
        <v>321</v>
      </c>
      <c r="D76" s="138" t="s">
        <v>3721</v>
      </c>
      <c r="E76" s="139">
        <v>45366</v>
      </c>
      <c r="F76" s="140">
        <v>4.8611111111111112E-3</v>
      </c>
      <c r="G76" s="138" t="s">
        <v>3783</v>
      </c>
      <c r="H76" s="141" t="s">
        <v>3659</v>
      </c>
      <c r="I76" s="138" t="s">
        <v>422</v>
      </c>
      <c r="J76" s="142" t="s">
        <v>341</v>
      </c>
      <c r="K76" s="142">
        <v>1000000</v>
      </c>
      <c r="L76" s="141" t="s">
        <v>20</v>
      </c>
      <c r="M76" s="141" t="s">
        <v>20</v>
      </c>
      <c r="N76" s="141" t="s">
        <v>20</v>
      </c>
      <c r="O76" s="141" t="s">
        <v>20</v>
      </c>
      <c r="P76" s="141" t="s">
        <v>20</v>
      </c>
      <c r="Q76" s="141" t="s">
        <v>20</v>
      </c>
    </row>
    <row r="77" spans="2:17" ht="58.5" x14ac:dyDescent="0.25">
      <c r="B77" s="137">
        <v>75</v>
      </c>
      <c r="C77" s="135" t="s">
        <v>321</v>
      </c>
      <c r="D77" s="138" t="s">
        <v>3721</v>
      </c>
      <c r="E77" s="139">
        <v>45370</v>
      </c>
      <c r="F77" s="140">
        <v>0.9868055555555556</v>
      </c>
      <c r="G77" s="138" t="s">
        <v>3784</v>
      </c>
      <c r="H77" s="141" t="s">
        <v>3785</v>
      </c>
      <c r="I77" s="138" t="s">
        <v>3786</v>
      </c>
      <c r="J77" s="142">
        <v>50000</v>
      </c>
      <c r="K77" s="142">
        <v>200000</v>
      </c>
      <c r="L77" s="141" t="s">
        <v>20</v>
      </c>
      <c r="M77" s="141" t="s">
        <v>20</v>
      </c>
      <c r="N77" s="141" t="s">
        <v>20</v>
      </c>
      <c r="O77" s="141" t="s">
        <v>20</v>
      </c>
      <c r="P77" s="141" t="s">
        <v>20</v>
      </c>
      <c r="Q77" s="141" t="s">
        <v>20</v>
      </c>
    </row>
    <row r="78" spans="2:17" ht="58.5" x14ac:dyDescent="0.25">
      <c r="B78" s="137">
        <v>76</v>
      </c>
      <c r="C78" s="135" t="s">
        <v>321</v>
      </c>
      <c r="D78" s="138" t="s">
        <v>3721</v>
      </c>
      <c r="E78" s="139">
        <v>45379</v>
      </c>
      <c r="F78" s="140">
        <v>1.9444444444444445E-2</v>
      </c>
      <c r="G78" s="138" t="s">
        <v>3787</v>
      </c>
      <c r="H78" s="138" t="s">
        <v>3659</v>
      </c>
      <c r="I78" s="138" t="s">
        <v>3788</v>
      </c>
      <c r="J78" s="142">
        <v>400000</v>
      </c>
      <c r="K78" s="142">
        <v>4600000</v>
      </c>
      <c r="L78" s="141" t="s">
        <v>20</v>
      </c>
      <c r="M78" s="141" t="s">
        <v>20</v>
      </c>
      <c r="N78" s="141" t="s">
        <v>20</v>
      </c>
      <c r="O78" s="141" t="s">
        <v>20</v>
      </c>
      <c r="P78" s="141" t="s">
        <v>20</v>
      </c>
      <c r="Q78" s="141" t="s">
        <v>20</v>
      </c>
    </row>
    <row r="79" spans="2:17" ht="39" x14ac:dyDescent="0.25">
      <c r="B79" s="137">
        <v>77</v>
      </c>
      <c r="C79" s="135" t="s">
        <v>321</v>
      </c>
      <c r="D79" s="138" t="s">
        <v>3721</v>
      </c>
      <c r="E79" s="139">
        <v>45381</v>
      </c>
      <c r="F79" s="140">
        <v>0.9916666666666667</v>
      </c>
      <c r="G79" s="138" t="s">
        <v>3789</v>
      </c>
      <c r="H79" s="141" t="s">
        <v>3790</v>
      </c>
      <c r="I79" s="138" t="s">
        <v>3791</v>
      </c>
      <c r="J79" s="142">
        <v>20000</v>
      </c>
      <c r="K79" s="142">
        <v>10000</v>
      </c>
      <c r="L79" s="141" t="s">
        <v>20</v>
      </c>
      <c r="M79" s="141" t="s">
        <v>20</v>
      </c>
      <c r="N79" s="141" t="s">
        <v>20</v>
      </c>
      <c r="O79" s="141" t="s">
        <v>20</v>
      </c>
      <c r="P79" s="141" t="s">
        <v>20</v>
      </c>
      <c r="Q79" s="141" t="s">
        <v>20</v>
      </c>
    </row>
    <row r="80" spans="2:17" ht="58.5" x14ac:dyDescent="0.25">
      <c r="B80" s="137">
        <v>78</v>
      </c>
      <c r="C80" s="135" t="s">
        <v>321</v>
      </c>
      <c r="D80" s="138" t="s">
        <v>3721</v>
      </c>
      <c r="E80" s="139">
        <v>45382</v>
      </c>
      <c r="F80" s="140">
        <v>1.3888888888888888E-2</v>
      </c>
      <c r="G80" s="138" t="s">
        <v>3792</v>
      </c>
      <c r="H80" s="141" t="s">
        <v>3656</v>
      </c>
      <c r="I80" s="138" t="s">
        <v>3793</v>
      </c>
      <c r="J80" s="142">
        <v>5000</v>
      </c>
      <c r="K80" s="142">
        <v>95000</v>
      </c>
      <c r="L80" s="141" t="s">
        <v>20</v>
      </c>
      <c r="M80" s="141" t="s">
        <v>20</v>
      </c>
      <c r="N80" s="141" t="s">
        <v>20</v>
      </c>
      <c r="O80" s="141" t="s">
        <v>20</v>
      </c>
      <c r="P80" s="141" t="s">
        <v>20</v>
      </c>
      <c r="Q80" s="141" t="s">
        <v>20</v>
      </c>
    </row>
    <row r="81" spans="2:17" ht="58.5" x14ac:dyDescent="0.25">
      <c r="B81" s="137">
        <v>79</v>
      </c>
      <c r="C81" s="135" t="s">
        <v>321</v>
      </c>
      <c r="D81" s="138" t="s">
        <v>580</v>
      </c>
      <c r="E81" s="139">
        <v>45352</v>
      </c>
      <c r="F81" s="140">
        <v>0.51666666666666672</v>
      </c>
      <c r="G81" s="138" t="s">
        <v>3794</v>
      </c>
      <c r="H81" s="138" t="s">
        <v>3795</v>
      </c>
      <c r="I81" s="138" t="s">
        <v>3796</v>
      </c>
      <c r="J81" s="142" t="s">
        <v>583</v>
      </c>
      <c r="K81" s="142">
        <v>50000000</v>
      </c>
      <c r="L81" s="141" t="s">
        <v>20</v>
      </c>
      <c r="M81" s="141" t="s">
        <v>20</v>
      </c>
      <c r="N81" s="141" t="s">
        <v>20</v>
      </c>
      <c r="O81" s="141" t="s">
        <v>20</v>
      </c>
      <c r="P81" s="141" t="s">
        <v>20</v>
      </c>
      <c r="Q81" s="141" t="s">
        <v>20</v>
      </c>
    </row>
    <row r="82" spans="2:17" ht="39" x14ac:dyDescent="0.25">
      <c r="B82" s="137">
        <v>80</v>
      </c>
      <c r="C82" s="135" t="s">
        <v>321</v>
      </c>
      <c r="D82" s="138" t="s">
        <v>580</v>
      </c>
      <c r="E82" s="139">
        <v>45352</v>
      </c>
      <c r="F82" s="140">
        <v>0.89583333333333337</v>
      </c>
      <c r="G82" s="138" t="s">
        <v>3797</v>
      </c>
      <c r="H82" s="138" t="s">
        <v>3795</v>
      </c>
      <c r="I82" s="138" t="s">
        <v>3796</v>
      </c>
      <c r="J82" s="142" t="s">
        <v>583</v>
      </c>
      <c r="K82" s="142">
        <v>50000000</v>
      </c>
      <c r="L82" s="141" t="s">
        <v>20</v>
      </c>
      <c r="M82" s="141" t="s">
        <v>20</v>
      </c>
      <c r="N82" s="141" t="s">
        <v>20</v>
      </c>
      <c r="O82" s="141" t="s">
        <v>20</v>
      </c>
      <c r="P82" s="141" t="s">
        <v>20</v>
      </c>
      <c r="Q82" s="141" t="s">
        <v>20</v>
      </c>
    </row>
    <row r="83" spans="2:17" ht="78" x14ac:dyDescent="0.25">
      <c r="B83" s="137">
        <v>81</v>
      </c>
      <c r="C83" s="135" t="s">
        <v>321</v>
      </c>
      <c r="D83" s="138" t="s">
        <v>580</v>
      </c>
      <c r="E83" s="139">
        <v>45353</v>
      </c>
      <c r="F83" s="140">
        <v>0.65625</v>
      </c>
      <c r="G83" s="138" t="s">
        <v>3798</v>
      </c>
      <c r="H83" s="138" t="s">
        <v>3799</v>
      </c>
      <c r="I83" s="138" t="s">
        <v>3800</v>
      </c>
      <c r="J83" s="142" t="s">
        <v>3674</v>
      </c>
      <c r="K83" s="142" t="s">
        <v>3674</v>
      </c>
      <c r="L83" s="141" t="s">
        <v>20</v>
      </c>
      <c r="M83" s="141" t="s">
        <v>20</v>
      </c>
      <c r="N83" s="141" t="s">
        <v>20</v>
      </c>
      <c r="O83" s="141" t="s">
        <v>20</v>
      </c>
      <c r="P83" s="141" t="s">
        <v>20</v>
      </c>
      <c r="Q83" s="141" t="s">
        <v>20</v>
      </c>
    </row>
    <row r="84" spans="2:17" ht="58.5" x14ac:dyDescent="0.25">
      <c r="B84" s="137">
        <v>82</v>
      </c>
      <c r="C84" s="135" t="s">
        <v>321</v>
      </c>
      <c r="D84" s="138" t="s">
        <v>580</v>
      </c>
      <c r="E84" s="139">
        <v>45361</v>
      </c>
      <c r="F84" s="140">
        <v>0.6118055555555556</v>
      </c>
      <c r="G84" s="138" t="s">
        <v>3794</v>
      </c>
      <c r="H84" s="138" t="s">
        <v>3795</v>
      </c>
      <c r="I84" s="138" t="s">
        <v>3796</v>
      </c>
      <c r="J84" s="142"/>
      <c r="K84" s="142">
        <v>50000000</v>
      </c>
      <c r="L84" s="141" t="s">
        <v>20</v>
      </c>
      <c r="M84" s="141" t="s">
        <v>20</v>
      </c>
      <c r="N84" s="141" t="s">
        <v>20</v>
      </c>
      <c r="O84" s="141" t="s">
        <v>20</v>
      </c>
      <c r="P84" s="141" t="s">
        <v>20</v>
      </c>
      <c r="Q84" s="141" t="s">
        <v>20</v>
      </c>
    </row>
    <row r="85" spans="2:17" ht="58.5" x14ac:dyDescent="0.25">
      <c r="B85" s="137">
        <v>83</v>
      </c>
      <c r="C85" s="135" t="s">
        <v>321</v>
      </c>
      <c r="D85" s="138" t="s">
        <v>580</v>
      </c>
      <c r="E85" s="139">
        <v>45366</v>
      </c>
      <c r="F85" s="140">
        <v>0.4465277777777778</v>
      </c>
      <c r="G85" s="138" t="s">
        <v>3801</v>
      </c>
      <c r="H85" s="138" t="s">
        <v>3802</v>
      </c>
      <c r="I85" s="138" t="s">
        <v>3796</v>
      </c>
      <c r="J85" s="142"/>
      <c r="K85" s="142">
        <v>100000000</v>
      </c>
      <c r="L85" s="141" t="s">
        <v>20</v>
      </c>
      <c r="M85" s="141" t="s">
        <v>20</v>
      </c>
      <c r="N85" s="141" t="s">
        <v>20</v>
      </c>
      <c r="O85" s="141" t="s">
        <v>20</v>
      </c>
      <c r="P85" s="141" t="s">
        <v>20</v>
      </c>
      <c r="Q85" s="141" t="s">
        <v>20</v>
      </c>
    </row>
    <row r="86" spans="2:17" ht="58.5" x14ac:dyDescent="0.25">
      <c r="B86" s="137">
        <v>84</v>
      </c>
      <c r="C86" s="135" t="s">
        <v>321</v>
      </c>
      <c r="D86" s="138" t="s">
        <v>580</v>
      </c>
      <c r="E86" s="139">
        <v>45374</v>
      </c>
      <c r="F86" s="140">
        <v>0.59583333333333333</v>
      </c>
      <c r="G86" s="138" t="s">
        <v>3803</v>
      </c>
      <c r="H86" s="138" t="s">
        <v>3795</v>
      </c>
      <c r="I86" s="138" t="s">
        <v>3796</v>
      </c>
      <c r="J86" s="142"/>
      <c r="K86" s="142">
        <v>100000000</v>
      </c>
      <c r="L86" s="141" t="s">
        <v>20</v>
      </c>
      <c r="M86" s="141" t="s">
        <v>20</v>
      </c>
      <c r="N86" s="141" t="s">
        <v>20</v>
      </c>
      <c r="O86" s="141" t="s">
        <v>20</v>
      </c>
      <c r="P86" s="141" t="s">
        <v>20</v>
      </c>
      <c r="Q86" s="141" t="s">
        <v>20</v>
      </c>
    </row>
    <row r="87" spans="2:17" ht="21" x14ac:dyDescent="0.25">
      <c r="B87" s="137">
        <v>85</v>
      </c>
      <c r="C87" s="135" t="s">
        <v>321</v>
      </c>
      <c r="D87" s="138" t="s">
        <v>334</v>
      </c>
      <c r="E87" s="139">
        <v>45353</v>
      </c>
      <c r="F87" s="140">
        <v>0.79722222222222228</v>
      </c>
      <c r="G87" s="138" t="s">
        <v>335</v>
      </c>
      <c r="H87" s="138" t="s">
        <v>336</v>
      </c>
      <c r="I87" s="138" t="s">
        <v>337</v>
      </c>
      <c r="J87" s="142">
        <v>100000</v>
      </c>
      <c r="K87" s="142">
        <v>200000</v>
      </c>
      <c r="L87" s="141" t="s">
        <v>20</v>
      </c>
      <c r="M87" s="141" t="s">
        <v>20</v>
      </c>
      <c r="N87" s="141" t="s">
        <v>20</v>
      </c>
      <c r="O87" s="141" t="s">
        <v>20</v>
      </c>
      <c r="P87" s="141" t="s">
        <v>20</v>
      </c>
      <c r="Q87" s="141" t="s">
        <v>20</v>
      </c>
    </row>
    <row r="88" spans="2:17" ht="21" x14ac:dyDescent="0.25">
      <c r="B88" s="137">
        <v>86</v>
      </c>
      <c r="C88" s="135" t="s">
        <v>321</v>
      </c>
      <c r="D88" s="138" t="s">
        <v>334</v>
      </c>
      <c r="E88" s="139">
        <v>45357</v>
      </c>
      <c r="F88" s="140" t="s">
        <v>582</v>
      </c>
      <c r="G88" s="138" t="s">
        <v>338</v>
      </c>
      <c r="H88" s="138" t="s">
        <v>339</v>
      </c>
      <c r="I88" s="138" t="s">
        <v>340</v>
      </c>
      <c r="J88" s="142" t="s">
        <v>341</v>
      </c>
      <c r="K88" s="142">
        <v>500000</v>
      </c>
      <c r="L88" s="141" t="s">
        <v>20</v>
      </c>
      <c r="M88" s="141" t="s">
        <v>20</v>
      </c>
      <c r="N88" s="141" t="s">
        <v>20</v>
      </c>
      <c r="O88" s="141" t="s">
        <v>20</v>
      </c>
      <c r="P88" s="141" t="s">
        <v>20</v>
      </c>
      <c r="Q88" s="141" t="s">
        <v>20</v>
      </c>
    </row>
    <row r="89" spans="2:17" ht="39" x14ac:dyDescent="0.25">
      <c r="B89" s="137">
        <v>87</v>
      </c>
      <c r="C89" s="135" t="s">
        <v>321</v>
      </c>
      <c r="D89" s="138" t="s">
        <v>334</v>
      </c>
      <c r="E89" s="139">
        <v>45365</v>
      </c>
      <c r="F89" s="140">
        <v>3.9583333333333331E-2</v>
      </c>
      <c r="G89" s="138" t="s">
        <v>342</v>
      </c>
      <c r="H89" s="138" t="s">
        <v>339</v>
      </c>
      <c r="I89" s="138" t="s">
        <v>343</v>
      </c>
      <c r="J89" s="142" t="s">
        <v>341</v>
      </c>
      <c r="K89" s="142">
        <v>500000</v>
      </c>
      <c r="L89" s="141" t="s">
        <v>20</v>
      </c>
      <c r="M89" s="141" t="s">
        <v>20</v>
      </c>
      <c r="N89" s="141" t="s">
        <v>20</v>
      </c>
      <c r="O89" s="141" t="s">
        <v>20</v>
      </c>
      <c r="P89" s="141" t="s">
        <v>20</v>
      </c>
      <c r="Q89" s="141" t="s">
        <v>20</v>
      </c>
    </row>
    <row r="90" spans="2:17" ht="78" x14ac:dyDescent="0.25">
      <c r="B90" s="137">
        <v>88</v>
      </c>
      <c r="C90" s="135" t="s">
        <v>321</v>
      </c>
      <c r="D90" s="138" t="s">
        <v>334</v>
      </c>
      <c r="E90" s="139">
        <v>45369</v>
      </c>
      <c r="F90" s="140">
        <v>0.30277777777777776</v>
      </c>
      <c r="G90" s="138" t="s">
        <v>344</v>
      </c>
      <c r="H90" s="138" t="s">
        <v>309</v>
      </c>
      <c r="I90" s="138" t="s">
        <v>345</v>
      </c>
      <c r="J90" s="142">
        <v>800000</v>
      </c>
      <c r="K90" s="142">
        <v>4200000</v>
      </c>
      <c r="L90" s="141" t="s">
        <v>20</v>
      </c>
      <c r="M90" s="141" t="s">
        <v>20</v>
      </c>
      <c r="N90" s="141" t="s">
        <v>20</v>
      </c>
      <c r="O90" s="141" t="s">
        <v>20</v>
      </c>
      <c r="P90" s="141" t="s">
        <v>20</v>
      </c>
      <c r="Q90" s="141" t="s">
        <v>20</v>
      </c>
    </row>
    <row r="91" spans="2:17" ht="21" x14ac:dyDescent="0.25">
      <c r="B91" s="137">
        <v>89</v>
      </c>
      <c r="C91" s="135" t="s">
        <v>321</v>
      </c>
      <c r="D91" s="138" t="s">
        <v>334</v>
      </c>
      <c r="E91" s="139">
        <v>45378</v>
      </c>
      <c r="F91" s="140">
        <v>0.71458333333333335</v>
      </c>
      <c r="G91" s="138" t="s">
        <v>346</v>
      </c>
      <c r="H91" s="138" t="s">
        <v>309</v>
      </c>
      <c r="I91" s="138" t="s">
        <v>347</v>
      </c>
      <c r="J91" s="142">
        <v>200000</v>
      </c>
      <c r="K91" s="142">
        <v>400000</v>
      </c>
      <c r="L91" s="141" t="s">
        <v>20</v>
      </c>
      <c r="M91" s="141" t="s">
        <v>20</v>
      </c>
      <c r="N91" s="141" t="s">
        <v>20</v>
      </c>
      <c r="O91" s="141" t="s">
        <v>20</v>
      </c>
      <c r="P91" s="141" t="s">
        <v>20</v>
      </c>
      <c r="Q91" s="141" t="s">
        <v>20</v>
      </c>
    </row>
    <row r="92" spans="2:17" ht="58.5" x14ac:dyDescent="0.25">
      <c r="B92" s="137">
        <v>90</v>
      </c>
      <c r="C92" s="135" t="s">
        <v>321</v>
      </c>
      <c r="D92" s="138" t="s">
        <v>306</v>
      </c>
      <c r="E92" s="139">
        <v>45360</v>
      </c>
      <c r="F92" s="140">
        <v>0.46319444444444446</v>
      </c>
      <c r="G92" s="138" t="s">
        <v>3804</v>
      </c>
      <c r="H92" s="141" t="s">
        <v>3649</v>
      </c>
      <c r="I92" s="141" t="s">
        <v>3805</v>
      </c>
      <c r="J92" s="142">
        <v>100000</v>
      </c>
      <c r="K92" s="142">
        <v>4900000</v>
      </c>
      <c r="L92" s="141" t="s">
        <v>20</v>
      </c>
      <c r="M92" s="141" t="s">
        <v>20</v>
      </c>
      <c r="N92" s="141" t="s">
        <v>20</v>
      </c>
      <c r="O92" s="141" t="s">
        <v>20</v>
      </c>
      <c r="P92" s="141" t="s">
        <v>20</v>
      </c>
      <c r="Q92" s="141" t="s">
        <v>20</v>
      </c>
    </row>
    <row r="93" spans="2:17" ht="58.5" x14ac:dyDescent="0.25">
      <c r="B93" s="137">
        <v>91</v>
      </c>
      <c r="C93" s="135" t="s">
        <v>321</v>
      </c>
      <c r="D93" s="138" t="s">
        <v>306</v>
      </c>
      <c r="E93" s="139">
        <v>45361</v>
      </c>
      <c r="F93" s="140">
        <v>0.56944444444444442</v>
      </c>
      <c r="G93" s="138" t="s">
        <v>3806</v>
      </c>
      <c r="H93" s="141" t="s">
        <v>3649</v>
      </c>
      <c r="I93" s="141" t="s">
        <v>3807</v>
      </c>
      <c r="J93" s="142">
        <v>50000</v>
      </c>
      <c r="K93" s="142">
        <v>950000</v>
      </c>
      <c r="L93" s="141" t="s">
        <v>20</v>
      </c>
      <c r="M93" s="141" t="s">
        <v>20</v>
      </c>
      <c r="N93" s="141" t="s">
        <v>20</v>
      </c>
      <c r="O93" s="141" t="s">
        <v>20</v>
      </c>
      <c r="P93" s="141" t="s">
        <v>20</v>
      </c>
      <c r="Q93" s="141" t="s">
        <v>20</v>
      </c>
    </row>
    <row r="94" spans="2:17" ht="78" x14ac:dyDescent="0.25">
      <c r="B94" s="137">
        <v>92</v>
      </c>
      <c r="C94" s="135" t="s">
        <v>321</v>
      </c>
      <c r="D94" s="138" t="s">
        <v>306</v>
      </c>
      <c r="E94" s="139">
        <v>45362</v>
      </c>
      <c r="F94" s="140">
        <v>0.30902777777777779</v>
      </c>
      <c r="G94" s="138" t="s">
        <v>3808</v>
      </c>
      <c r="H94" s="141" t="s">
        <v>3649</v>
      </c>
      <c r="I94" s="141" t="s">
        <v>3809</v>
      </c>
      <c r="J94" s="142">
        <v>10000</v>
      </c>
      <c r="K94" s="142">
        <v>2990000</v>
      </c>
      <c r="L94" s="141" t="s">
        <v>20</v>
      </c>
      <c r="M94" s="141" t="s">
        <v>20</v>
      </c>
      <c r="N94" s="141" t="s">
        <v>20</v>
      </c>
      <c r="O94" s="141" t="s">
        <v>20</v>
      </c>
      <c r="P94" s="141" t="s">
        <v>20</v>
      </c>
      <c r="Q94" s="141" t="s">
        <v>20</v>
      </c>
    </row>
    <row r="95" spans="2:17" ht="58.5" x14ac:dyDescent="0.25">
      <c r="B95" s="137">
        <v>93</v>
      </c>
      <c r="C95" s="135" t="s">
        <v>321</v>
      </c>
      <c r="D95" s="138" t="s">
        <v>306</v>
      </c>
      <c r="E95" s="139">
        <v>45365</v>
      </c>
      <c r="F95" s="140">
        <v>0.65208333333333335</v>
      </c>
      <c r="G95" s="138" t="s">
        <v>3728</v>
      </c>
      <c r="H95" s="141" t="s">
        <v>3649</v>
      </c>
      <c r="I95" s="138" t="s">
        <v>3805</v>
      </c>
      <c r="J95" s="142">
        <v>10000</v>
      </c>
      <c r="K95" s="142">
        <v>990000</v>
      </c>
      <c r="L95" s="141" t="s">
        <v>20</v>
      </c>
      <c r="M95" s="141" t="s">
        <v>20</v>
      </c>
      <c r="N95" s="141" t="s">
        <v>20</v>
      </c>
      <c r="O95" s="141" t="s">
        <v>20</v>
      </c>
      <c r="P95" s="141" t="s">
        <v>20</v>
      </c>
      <c r="Q95" s="141" t="s">
        <v>20</v>
      </c>
    </row>
    <row r="96" spans="2:17" ht="58.5" x14ac:dyDescent="0.25">
      <c r="B96" s="137">
        <v>94</v>
      </c>
      <c r="C96" s="135" t="s">
        <v>321</v>
      </c>
      <c r="D96" s="138" t="s">
        <v>306</v>
      </c>
      <c r="E96" s="139">
        <v>45377</v>
      </c>
      <c r="F96" s="140">
        <v>0.94305555555555554</v>
      </c>
      <c r="G96" s="138" t="s">
        <v>3810</v>
      </c>
      <c r="H96" s="141" t="s">
        <v>3649</v>
      </c>
      <c r="I96" s="138" t="s">
        <v>3805</v>
      </c>
      <c r="J96" s="142">
        <v>50000</v>
      </c>
      <c r="K96" s="142">
        <v>450000</v>
      </c>
      <c r="L96" s="141" t="s">
        <v>20</v>
      </c>
      <c r="M96" s="141" t="s">
        <v>20</v>
      </c>
      <c r="N96" s="141" t="s">
        <v>20</v>
      </c>
      <c r="O96" s="141" t="s">
        <v>20</v>
      </c>
      <c r="P96" s="141" t="s">
        <v>20</v>
      </c>
      <c r="Q96" s="141" t="s">
        <v>20</v>
      </c>
    </row>
    <row r="97" spans="2:17" ht="58.5" x14ac:dyDescent="0.25">
      <c r="B97" s="137">
        <v>95</v>
      </c>
      <c r="C97" s="135" t="s">
        <v>321</v>
      </c>
      <c r="D97" s="138" t="s">
        <v>306</v>
      </c>
      <c r="E97" s="139">
        <v>45378</v>
      </c>
      <c r="F97" s="140">
        <v>0.9604166666666667</v>
      </c>
      <c r="G97" s="138" t="s">
        <v>3811</v>
      </c>
      <c r="H97" s="141" t="s">
        <v>3726</v>
      </c>
      <c r="I97" s="138" t="s">
        <v>3812</v>
      </c>
      <c r="J97" s="142" t="s">
        <v>341</v>
      </c>
      <c r="K97" s="142" t="s">
        <v>341</v>
      </c>
      <c r="L97" s="141" t="s">
        <v>20</v>
      </c>
      <c r="M97" s="141" t="s">
        <v>20</v>
      </c>
      <c r="N97" s="141" t="s">
        <v>20</v>
      </c>
      <c r="O97" s="141" t="s">
        <v>20</v>
      </c>
      <c r="P97" s="141" t="s">
        <v>20</v>
      </c>
      <c r="Q97" s="141" t="s">
        <v>20</v>
      </c>
    </row>
    <row r="98" spans="2:17" ht="78" x14ac:dyDescent="0.25">
      <c r="B98" s="137">
        <v>96</v>
      </c>
      <c r="C98" s="135" t="s">
        <v>321</v>
      </c>
      <c r="D98" s="138" t="s">
        <v>306</v>
      </c>
      <c r="E98" s="139">
        <v>45380</v>
      </c>
      <c r="F98" s="140">
        <v>0.64375000000000004</v>
      </c>
      <c r="G98" s="138" t="s">
        <v>3813</v>
      </c>
      <c r="H98" s="141" t="s">
        <v>3726</v>
      </c>
      <c r="I98" s="138" t="s">
        <v>3814</v>
      </c>
      <c r="J98" s="142" t="s">
        <v>341</v>
      </c>
      <c r="K98" s="142" t="s">
        <v>341</v>
      </c>
      <c r="L98" s="141" t="s">
        <v>20</v>
      </c>
      <c r="M98" s="141" t="s">
        <v>20</v>
      </c>
      <c r="N98" s="141" t="s">
        <v>20</v>
      </c>
      <c r="O98" s="141" t="s">
        <v>20</v>
      </c>
      <c r="P98" s="141" t="s">
        <v>20</v>
      </c>
      <c r="Q98" s="141" t="s">
        <v>20</v>
      </c>
    </row>
    <row r="99" spans="2:17" ht="21" x14ac:dyDescent="0.25">
      <c r="B99" s="137">
        <v>97</v>
      </c>
      <c r="C99" s="135" t="s">
        <v>321</v>
      </c>
      <c r="D99" s="138" t="s">
        <v>3685</v>
      </c>
      <c r="E99" s="139">
        <v>45356</v>
      </c>
      <c r="F99" s="140">
        <v>0.77083333333333337</v>
      </c>
      <c r="G99" s="138" t="s">
        <v>3815</v>
      </c>
      <c r="H99" s="138" t="s">
        <v>3816</v>
      </c>
      <c r="I99" s="138" t="s">
        <v>353</v>
      </c>
      <c r="J99" s="142" t="s">
        <v>341</v>
      </c>
      <c r="K99" s="142" t="s">
        <v>341</v>
      </c>
      <c r="L99" s="141" t="s">
        <v>20</v>
      </c>
      <c r="M99" s="141" t="s">
        <v>20</v>
      </c>
      <c r="N99" s="141" t="s">
        <v>20</v>
      </c>
      <c r="O99" s="141" t="s">
        <v>20</v>
      </c>
      <c r="P99" s="141" t="s">
        <v>20</v>
      </c>
      <c r="Q99" s="141" t="s">
        <v>20</v>
      </c>
    </row>
    <row r="100" spans="2:17" ht="58.5" x14ac:dyDescent="0.25">
      <c r="B100" s="137">
        <v>98</v>
      </c>
      <c r="C100" s="135" t="s">
        <v>321</v>
      </c>
      <c r="D100" s="138" t="s">
        <v>3685</v>
      </c>
      <c r="E100" s="139">
        <v>45362</v>
      </c>
      <c r="F100" s="140">
        <v>0.38333333333333336</v>
      </c>
      <c r="G100" s="138" t="s">
        <v>3817</v>
      </c>
      <c r="H100" s="138" t="s">
        <v>2873</v>
      </c>
      <c r="I100" s="138" t="s">
        <v>3818</v>
      </c>
      <c r="J100" s="142">
        <v>50000</v>
      </c>
      <c r="K100" s="142">
        <v>100000</v>
      </c>
      <c r="L100" s="141" t="s">
        <v>20</v>
      </c>
      <c r="M100" s="141" t="s">
        <v>20</v>
      </c>
      <c r="N100" s="141" t="s">
        <v>20</v>
      </c>
      <c r="O100" s="141" t="s">
        <v>20</v>
      </c>
      <c r="P100" s="141" t="s">
        <v>20</v>
      </c>
      <c r="Q100" s="141" t="s">
        <v>20</v>
      </c>
    </row>
    <row r="101" spans="2:17" ht="78" x14ac:dyDescent="0.25">
      <c r="B101" s="137">
        <v>99</v>
      </c>
      <c r="C101" s="135" t="s">
        <v>321</v>
      </c>
      <c r="D101" s="138" t="s">
        <v>3685</v>
      </c>
      <c r="E101" s="139">
        <v>45363</v>
      </c>
      <c r="F101" s="140">
        <v>0.69930555555555551</v>
      </c>
      <c r="G101" s="138" t="s">
        <v>3819</v>
      </c>
      <c r="H101" s="138" t="s">
        <v>3752</v>
      </c>
      <c r="I101" s="144" t="s">
        <v>3820</v>
      </c>
      <c r="J101" s="142" t="s">
        <v>3820</v>
      </c>
      <c r="K101" s="142" t="s">
        <v>3820</v>
      </c>
      <c r="L101" s="141" t="s">
        <v>20</v>
      </c>
      <c r="M101" s="141" t="s">
        <v>20</v>
      </c>
      <c r="N101" s="141" t="s">
        <v>20</v>
      </c>
      <c r="O101" s="141" t="s">
        <v>20</v>
      </c>
      <c r="P101" s="141" t="s">
        <v>20</v>
      </c>
      <c r="Q101" s="141" t="s">
        <v>20</v>
      </c>
    </row>
    <row r="102" spans="2:17" ht="39" x14ac:dyDescent="0.25">
      <c r="B102" s="137">
        <v>100</v>
      </c>
      <c r="C102" s="135" t="s">
        <v>321</v>
      </c>
      <c r="D102" s="138" t="s">
        <v>3685</v>
      </c>
      <c r="E102" s="139">
        <v>45363</v>
      </c>
      <c r="F102" s="140">
        <v>0.7416666666666667</v>
      </c>
      <c r="G102" s="138" t="s">
        <v>3821</v>
      </c>
      <c r="H102" s="138" t="s">
        <v>3755</v>
      </c>
      <c r="I102" s="138" t="s">
        <v>2210</v>
      </c>
      <c r="J102" s="142">
        <v>2000</v>
      </c>
      <c r="K102" s="142">
        <v>5000</v>
      </c>
      <c r="L102" s="141" t="s">
        <v>20</v>
      </c>
      <c r="M102" s="141" t="s">
        <v>20</v>
      </c>
      <c r="N102" s="141" t="s">
        <v>20</v>
      </c>
      <c r="O102" s="141" t="s">
        <v>20</v>
      </c>
      <c r="P102" s="141" t="s">
        <v>20</v>
      </c>
      <c r="Q102" s="141" t="s">
        <v>20</v>
      </c>
    </row>
    <row r="103" spans="2:17" ht="39" x14ac:dyDescent="0.25">
      <c r="B103" s="137">
        <v>101</v>
      </c>
      <c r="C103" s="135" t="s">
        <v>321</v>
      </c>
      <c r="D103" s="138" t="s">
        <v>3685</v>
      </c>
      <c r="E103" s="139">
        <v>45364</v>
      </c>
      <c r="F103" s="140">
        <v>0.30555555555555558</v>
      </c>
      <c r="G103" s="138" t="s">
        <v>3822</v>
      </c>
      <c r="H103" s="138" t="s">
        <v>3823</v>
      </c>
      <c r="I103" s="138" t="s">
        <v>3824</v>
      </c>
      <c r="J103" s="142" t="s">
        <v>354</v>
      </c>
      <c r="K103" s="142" t="s">
        <v>341</v>
      </c>
      <c r="L103" s="137" t="s">
        <v>20</v>
      </c>
      <c r="M103" s="137" t="s">
        <v>20</v>
      </c>
      <c r="N103" s="137" t="s">
        <v>20</v>
      </c>
      <c r="O103" s="137" t="s">
        <v>20</v>
      </c>
      <c r="P103" s="141" t="s">
        <v>20</v>
      </c>
      <c r="Q103" s="137" t="s">
        <v>20</v>
      </c>
    </row>
    <row r="104" spans="2:17" ht="39" x14ac:dyDescent="0.25">
      <c r="B104" s="137">
        <v>102</v>
      </c>
      <c r="C104" s="135" t="s">
        <v>321</v>
      </c>
      <c r="D104" s="138" t="s">
        <v>3685</v>
      </c>
      <c r="E104" s="139">
        <v>45335</v>
      </c>
      <c r="F104" s="140">
        <v>0.62222222222222223</v>
      </c>
      <c r="G104" s="138" t="s">
        <v>3822</v>
      </c>
      <c r="H104" s="138" t="s">
        <v>3823</v>
      </c>
      <c r="I104" s="138" t="s">
        <v>3824</v>
      </c>
      <c r="J104" s="142" t="s">
        <v>354</v>
      </c>
      <c r="K104" s="142" t="s">
        <v>341</v>
      </c>
      <c r="L104" s="137" t="s">
        <v>20</v>
      </c>
      <c r="M104" s="137" t="s">
        <v>20</v>
      </c>
      <c r="N104" s="137" t="s">
        <v>20</v>
      </c>
      <c r="O104" s="137" t="s">
        <v>20</v>
      </c>
      <c r="P104" s="137" t="s">
        <v>20</v>
      </c>
      <c r="Q104" s="137" t="s">
        <v>20</v>
      </c>
    </row>
    <row r="105" spans="2:17" ht="39" x14ac:dyDescent="0.25">
      <c r="B105" s="137">
        <v>103</v>
      </c>
      <c r="C105" s="135" t="s">
        <v>321</v>
      </c>
      <c r="D105" s="138" t="s">
        <v>3685</v>
      </c>
      <c r="E105" s="139">
        <v>45365</v>
      </c>
      <c r="F105" s="140">
        <v>0.91666666666666663</v>
      </c>
      <c r="G105" s="138" t="s">
        <v>3825</v>
      </c>
      <c r="H105" s="138" t="s">
        <v>496</v>
      </c>
      <c r="I105" s="138" t="s">
        <v>3826</v>
      </c>
      <c r="J105" s="142" t="s">
        <v>3674</v>
      </c>
      <c r="K105" s="142" t="s">
        <v>3674</v>
      </c>
      <c r="L105" s="137" t="s">
        <v>20</v>
      </c>
      <c r="M105" s="137" t="s">
        <v>20</v>
      </c>
      <c r="N105" s="137" t="s">
        <v>20</v>
      </c>
      <c r="O105" s="137" t="s">
        <v>20</v>
      </c>
      <c r="P105" s="137" t="s">
        <v>20</v>
      </c>
      <c r="Q105" s="137" t="s">
        <v>20</v>
      </c>
    </row>
    <row r="106" spans="2:17" ht="39" x14ac:dyDescent="0.25">
      <c r="B106" s="137">
        <v>104</v>
      </c>
      <c r="C106" s="135" t="s">
        <v>321</v>
      </c>
      <c r="D106" s="138" t="s">
        <v>3685</v>
      </c>
      <c r="E106" s="139">
        <v>45368</v>
      </c>
      <c r="F106" s="140">
        <v>0.49861111111111112</v>
      </c>
      <c r="G106" s="138" t="s">
        <v>3822</v>
      </c>
      <c r="H106" s="138" t="s">
        <v>3823</v>
      </c>
      <c r="I106" s="138" t="s">
        <v>3824</v>
      </c>
      <c r="J106" s="142" t="s">
        <v>354</v>
      </c>
      <c r="K106" s="142" t="s">
        <v>341</v>
      </c>
      <c r="L106" s="137" t="s">
        <v>20</v>
      </c>
      <c r="M106" s="137" t="s">
        <v>20</v>
      </c>
      <c r="N106" s="137" t="s">
        <v>20</v>
      </c>
      <c r="O106" s="137" t="s">
        <v>20</v>
      </c>
      <c r="P106" s="137" t="s">
        <v>20</v>
      </c>
      <c r="Q106" s="137" t="s">
        <v>20</v>
      </c>
    </row>
    <row r="107" spans="2:17" ht="58.5" x14ac:dyDescent="0.25">
      <c r="B107" s="137">
        <v>105</v>
      </c>
      <c r="C107" s="135" t="s">
        <v>321</v>
      </c>
      <c r="D107" s="138" t="s">
        <v>3685</v>
      </c>
      <c r="E107" s="139">
        <v>45368</v>
      </c>
      <c r="F107" s="140">
        <v>0.57222222222222219</v>
      </c>
      <c r="G107" s="138" t="s">
        <v>3827</v>
      </c>
      <c r="H107" s="138" t="s">
        <v>3752</v>
      </c>
      <c r="I107" s="138" t="s">
        <v>340</v>
      </c>
      <c r="J107" s="142" t="s">
        <v>354</v>
      </c>
      <c r="K107" s="142" t="s">
        <v>341</v>
      </c>
      <c r="L107" s="137" t="s">
        <v>20</v>
      </c>
      <c r="M107" s="137" t="s">
        <v>20</v>
      </c>
      <c r="N107" s="137" t="s">
        <v>20</v>
      </c>
      <c r="O107" s="137" t="s">
        <v>20</v>
      </c>
      <c r="P107" s="137" t="s">
        <v>20</v>
      </c>
      <c r="Q107" s="137" t="s">
        <v>20</v>
      </c>
    </row>
    <row r="108" spans="2:17" ht="58.5" x14ac:dyDescent="0.25">
      <c r="B108" s="137">
        <v>106</v>
      </c>
      <c r="C108" s="135" t="s">
        <v>321</v>
      </c>
      <c r="D108" s="138" t="s">
        <v>3685</v>
      </c>
      <c r="E108" s="139">
        <v>45372</v>
      </c>
      <c r="F108" s="140">
        <v>0.12152777777777778</v>
      </c>
      <c r="G108" s="138" t="s">
        <v>3828</v>
      </c>
      <c r="H108" s="138" t="s">
        <v>3162</v>
      </c>
      <c r="I108" s="138" t="s">
        <v>3829</v>
      </c>
      <c r="J108" s="142" t="s">
        <v>3674</v>
      </c>
      <c r="K108" s="142" t="s">
        <v>3674</v>
      </c>
      <c r="L108" s="137" t="s">
        <v>20</v>
      </c>
      <c r="M108" s="137" t="s">
        <v>20</v>
      </c>
      <c r="N108" s="137" t="s">
        <v>20</v>
      </c>
      <c r="O108" s="137" t="s">
        <v>20</v>
      </c>
      <c r="P108" s="137" t="s">
        <v>20</v>
      </c>
      <c r="Q108" s="137" t="s">
        <v>20</v>
      </c>
    </row>
    <row r="109" spans="2:17" ht="39" x14ac:dyDescent="0.25">
      <c r="B109" s="137">
        <v>107</v>
      </c>
      <c r="C109" s="135" t="s">
        <v>321</v>
      </c>
      <c r="D109" s="138" t="s">
        <v>3685</v>
      </c>
      <c r="E109" s="139">
        <v>45374</v>
      </c>
      <c r="F109" s="140">
        <v>0.82291666666666663</v>
      </c>
      <c r="G109" s="138" t="s">
        <v>3830</v>
      </c>
      <c r="H109" s="138" t="s">
        <v>3831</v>
      </c>
      <c r="I109" s="138" t="s">
        <v>3831</v>
      </c>
      <c r="J109" s="142" t="s">
        <v>3831</v>
      </c>
      <c r="K109" s="142" t="s">
        <v>3831</v>
      </c>
      <c r="L109" s="137" t="s">
        <v>20</v>
      </c>
      <c r="M109" s="137" t="s">
        <v>20</v>
      </c>
      <c r="N109" s="137" t="s">
        <v>20</v>
      </c>
      <c r="O109" s="137" t="s">
        <v>20</v>
      </c>
      <c r="P109" s="137" t="s">
        <v>20</v>
      </c>
      <c r="Q109" s="137" t="s">
        <v>20</v>
      </c>
    </row>
    <row r="110" spans="2:17" ht="58.5" x14ac:dyDescent="0.25">
      <c r="B110" s="137">
        <v>108</v>
      </c>
      <c r="C110" s="135" t="s">
        <v>321</v>
      </c>
      <c r="D110" s="138" t="s">
        <v>3685</v>
      </c>
      <c r="E110" s="139">
        <v>45375</v>
      </c>
      <c r="F110" s="140">
        <v>0.86041666666666672</v>
      </c>
      <c r="G110" s="138" t="s">
        <v>3832</v>
      </c>
      <c r="H110" s="138" t="s">
        <v>2873</v>
      </c>
      <c r="I110" s="138" t="s">
        <v>3833</v>
      </c>
      <c r="J110" s="142">
        <v>100000</v>
      </c>
      <c r="K110" s="142">
        <v>200000</v>
      </c>
      <c r="L110" s="137" t="s">
        <v>20</v>
      </c>
      <c r="M110" s="137" t="s">
        <v>20</v>
      </c>
      <c r="N110" s="137" t="s">
        <v>20</v>
      </c>
      <c r="O110" s="137" t="s">
        <v>20</v>
      </c>
      <c r="P110" s="137" t="s">
        <v>20</v>
      </c>
      <c r="Q110" s="137" t="s">
        <v>20</v>
      </c>
    </row>
    <row r="111" spans="2:17" ht="58.5" x14ac:dyDescent="0.25">
      <c r="B111" s="137">
        <v>109</v>
      </c>
      <c r="C111" s="135" t="s">
        <v>321</v>
      </c>
      <c r="D111" s="138" t="s">
        <v>317</v>
      </c>
      <c r="E111" s="139">
        <v>45387</v>
      </c>
      <c r="F111" s="140">
        <v>0.85277777777777775</v>
      </c>
      <c r="G111" s="138" t="s">
        <v>348</v>
      </c>
      <c r="H111" s="138" t="s">
        <v>349</v>
      </c>
      <c r="I111" s="138" t="s">
        <v>350</v>
      </c>
      <c r="J111" s="143" t="s">
        <v>3834</v>
      </c>
      <c r="K111" s="143" t="s">
        <v>3835</v>
      </c>
      <c r="L111" s="141" t="s">
        <v>20</v>
      </c>
      <c r="M111" s="141" t="s">
        <v>20</v>
      </c>
      <c r="N111" s="141" t="s">
        <v>20</v>
      </c>
      <c r="O111" s="141" t="s">
        <v>20</v>
      </c>
      <c r="P111" s="141" t="s">
        <v>20</v>
      </c>
      <c r="Q111" s="141" t="s">
        <v>20</v>
      </c>
    </row>
    <row r="112" spans="2:17" ht="21" x14ac:dyDescent="0.25">
      <c r="B112" s="137">
        <v>110</v>
      </c>
      <c r="C112" s="135" t="s">
        <v>321</v>
      </c>
      <c r="D112" s="138" t="s">
        <v>317</v>
      </c>
      <c r="E112" s="139">
        <v>45393</v>
      </c>
      <c r="F112" s="140">
        <v>0.72847222222222219</v>
      </c>
      <c r="G112" s="138" t="s">
        <v>351</v>
      </c>
      <c r="H112" s="138" t="s">
        <v>352</v>
      </c>
      <c r="I112" s="138" t="s">
        <v>353</v>
      </c>
      <c r="J112" s="142" t="s">
        <v>354</v>
      </c>
      <c r="K112" s="143" t="s">
        <v>3834</v>
      </c>
      <c r="L112" s="141" t="s">
        <v>20</v>
      </c>
      <c r="M112" s="141" t="s">
        <v>20</v>
      </c>
      <c r="N112" s="141" t="s">
        <v>20</v>
      </c>
      <c r="O112" s="141" t="s">
        <v>20</v>
      </c>
      <c r="P112" s="141" t="s">
        <v>20</v>
      </c>
      <c r="Q112" s="141" t="s">
        <v>20</v>
      </c>
    </row>
    <row r="113" spans="2:17" ht="21" x14ac:dyDescent="0.25">
      <c r="B113" s="137">
        <v>111</v>
      </c>
      <c r="C113" s="135" t="s">
        <v>321</v>
      </c>
      <c r="D113" s="138" t="s">
        <v>317</v>
      </c>
      <c r="E113" s="139">
        <v>45394</v>
      </c>
      <c r="F113" s="140">
        <v>0.39097222222222222</v>
      </c>
      <c r="G113" s="138" t="s">
        <v>355</v>
      </c>
      <c r="H113" s="138" t="s">
        <v>352</v>
      </c>
      <c r="I113" s="138" t="s">
        <v>353</v>
      </c>
      <c r="J113" s="142" t="s">
        <v>354</v>
      </c>
      <c r="K113" s="143" t="s">
        <v>3836</v>
      </c>
      <c r="L113" s="141" t="s">
        <v>20</v>
      </c>
      <c r="M113" s="141" t="s">
        <v>20</v>
      </c>
      <c r="N113" s="141" t="s">
        <v>20</v>
      </c>
      <c r="O113" s="141" t="s">
        <v>20</v>
      </c>
      <c r="P113" s="141" t="s">
        <v>20</v>
      </c>
      <c r="Q113" s="141" t="s">
        <v>20</v>
      </c>
    </row>
    <row r="114" spans="2:17" ht="21" x14ac:dyDescent="0.25">
      <c r="B114" s="137">
        <v>112</v>
      </c>
      <c r="C114" s="135" t="s">
        <v>321</v>
      </c>
      <c r="D114" s="138" t="s">
        <v>317</v>
      </c>
      <c r="E114" s="139">
        <v>45396</v>
      </c>
      <c r="F114" s="140">
        <v>8.5416666666666669E-2</v>
      </c>
      <c r="G114" s="138" t="s">
        <v>356</v>
      </c>
      <c r="H114" s="138" t="s">
        <v>357</v>
      </c>
      <c r="I114" s="138" t="s">
        <v>3837</v>
      </c>
      <c r="J114" s="143" t="s">
        <v>3838</v>
      </c>
      <c r="K114" s="143" t="s">
        <v>3839</v>
      </c>
      <c r="L114" s="141" t="s">
        <v>20</v>
      </c>
      <c r="M114" s="141" t="s">
        <v>20</v>
      </c>
      <c r="N114" s="141" t="s">
        <v>20</v>
      </c>
      <c r="O114" s="141" t="s">
        <v>20</v>
      </c>
      <c r="P114" s="141" t="s">
        <v>20</v>
      </c>
      <c r="Q114" s="141" t="s">
        <v>20</v>
      </c>
    </row>
    <row r="115" spans="2:17" ht="21" x14ac:dyDescent="0.25">
      <c r="B115" s="137">
        <v>113</v>
      </c>
      <c r="C115" s="135" t="s">
        <v>321</v>
      </c>
      <c r="D115" s="138" t="s">
        <v>317</v>
      </c>
      <c r="E115" s="139">
        <v>45397</v>
      </c>
      <c r="F115" s="140">
        <v>0.6333333333333333</v>
      </c>
      <c r="G115" s="138" t="s">
        <v>358</v>
      </c>
      <c r="H115" s="138" t="s">
        <v>352</v>
      </c>
      <c r="I115" s="138" t="s">
        <v>359</v>
      </c>
      <c r="J115" s="143" t="s">
        <v>3840</v>
      </c>
      <c r="K115" s="143" t="s">
        <v>3841</v>
      </c>
      <c r="L115" s="141" t="s">
        <v>20</v>
      </c>
      <c r="M115" s="141" t="s">
        <v>20</v>
      </c>
      <c r="N115" s="141" t="s">
        <v>20</v>
      </c>
      <c r="O115" s="141" t="s">
        <v>20</v>
      </c>
      <c r="P115" s="141" t="s">
        <v>20</v>
      </c>
      <c r="Q115" s="141" t="s">
        <v>20</v>
      </c>
    </row>
    <row r="116" spans="2:17" ht="21" x14ac:dyDescent="0.25">
      <c r="B116" s="137">
        <v>114</v>
      </c>
      <c r="C116" s="135" t="s">
        <v>321</v>
      </c>
      <c r="D116" s="138" t="s">
        <v>317</v>
      </c>
      <c r="E116" s="139">
        <v>45398</v>
      </c>
      <c r="F116" s="140">
        <v>0.7006944444444444</v>
      </c>
      <c r="G116" s="138" t="s">
        <v>360</v>
      </c>
      <c r="H116" s="138" t="s">
        <v>352</v>
      </c>
      <c r="I116" s="138" t="s">
        <v>359</v>
      </c>
      <c r="J116" s="143" t="s">
        <v>3838</v>
      </c>
      <c r="K116" s="143" t="s">
        <v>3839</v>
      </c>
      <c r="L116" s="141" t="s">
        <v>20</v>
      </c>
      <c r="M116" s="141" t="s">
        <v>20</v>
      </c>
      <c r="N116" s="141" t="s">
        <v>20</v>
      </c>
      <c r="O116" s="141" t="s">
        <v>20</v>
      </c>
      <c r="P116" s="141" t="s">
        <v>20</v>
      </c>
      <c r="Q116" s="141" t="s">
        <v>20</v>
      </c>
    </row>
    <row r="117" spans="2:17" ht="39" x14ac:dyDescent="0.25">
      <c r="B117" s="137">
        <v>115</v>
      </c>
      <c r="C117" s="135" t="s">
        <v>321</v>
      </c>
      <c r="D117" s="138" t="s">
        <v>317</v>
      </c>
      <c r="E117" s="139">
        <v>45398</v>
      </c>
      <c r="F117" s="140">
        <v>0.93541666666666667</v>
      </c>
      <c r="G117" s="138" t="s">
        <v>361</v>
      </c>
      <c r="H117" s="138" t="s">
        <v>362</v>
      </c>
      <c r="I117" s="138" t="s">
        <v>363</v>
      </c>
      <c r="J117" s="143" t="s">
        <v>3834</v>
      </c>
      <c r="K117" s="143" t="s">
        <v>3835</v>
      </c>
      <c r="L117" s="141" t="s">
        <v>20</v>
      </c>
      <c r="M117" s="141" t="s">
        <v>20</v>
      </c>
      <c r="N117" s="141" t="s">
        <v>20</v>
      </c>
      <c r="O117" s="141" t="s">
        <v>20</v>
      </c>
      <c r="P117" s="141" t="s">
        <v>20</v>
      </c>
      <c r="Q117" s="141" t="s">
        <v>20</v>
      </c>
    </row>
    <row r="118" spans="2:17" ht="21" x14ac:dyDescent="0.25">
      <c r="B118" s="137">
        <v>116</v>
      </c>
      <c r="C118" s="135" t="s">
        <v>321</v>
      </c>
      <c r="D118" s="138" t="s">
        <v>317</v>
      </c>
      <c r="E118" s="139">
        <v>45399</v>
      </c>
      <c r="F118" s="140">
        <v>0.58958333333333335</v>
      </c>
      <c r="G118" s="138" t="s">
        <v>364</v>
      </c>
      <c r="H118" s="138" t="s">
        <v>362</v>
      </c>
      <c r="I118" s="138" t="s">
        <v>365</v>
      </c>
      <c r="J118" s="143" t="s">
        <v>3842</v>
      </c>
      <c r="K118" s="143" t="s">
        <v>3843</v>
      </c>
      <c r="L118" s="141" t="s">
        <v>20</v>
      </c>
      <c r="M118" s="141" t="s">
        <v>20</v>
      </c>
      <c r="N118" s="141" t="s">
        <v>20</v>
      </c>
      <c r="O118" s="141" t="s">
        <v>20</v>
      </c>
      <c r="P118" s="141" t="s">
        <v>20</v>
      </c>
      <c r="Q118" s="141" t="s">
        <v>20</v>
      </c>
    </row>
    <row r="119" spans="2:17" ht="21" x14ac:dyDescent="0.25">
      <c r="B119" s="137">
        <v>117</v>
      </c>
      <c r="C119" s="135" t="s">
        <v>321</v>
      </c>
      <c r="D119" s="138" t="s">
        <v>317</v>
      </c>
      <c r="E119" s="139">
        <v>45399</v>
      </c>
      <c r="F119" s="140">
        <v>0.77847222222222223</v>
      </c>
      <c r="G119" s="138" t="s">
        <v>366</v>
      </c>
      <c r="H119" s="138" t="s">
        <v>352</v>
      </c>
      <c r="I119" s="138" t="s">
        <v>367</v>
      </c>
      <c r="J119" s="143" t="s">
        <v>3838</v>
      </c>
      <c r="K119" s="143" t="s">
        <v>3839</v>
      </c>
      <c r="L119" s="141" t="s">
        <v>20</v>
      </c>
      <c r="M119" s="141" t="s">
        <v>20</v>
      </c>
      <c r="N119" s="141" t="s">
        <v>20</v>
      </c>
      <c r="O119" s="141" t="s">
        <v>20</v>
      </c>
      <c r="P119" s="141" t="s">
        <v>20</v>
      </c>
      <c r="Q119" s="141" t="s">
        <v>20</v>
      </c>
    </row>
    <row r="120" spans="2:17" ht="21" x14ac:dyDescent="0.25">
      <c r="B120" s="137">
        <v>118</v>
      </c>
      <c r="C120" s="135" t="s">
        <v>321</v>
      </c>
      <c r="D120" s="138" t="s">
        <v>317</v>
      </c>
      <c r="E120" s="139">
        <v>45400</v>
      </c>
      <c r="F120" s="140">
        <v>0.42708333333333331</v>
      </c>
      <c r="G120" s="138" t="s">
        <v>368</v>
      </c>
      <c r="H120" s="138" t="s">
        <v>352</v>
      </c>
      <c r="I120" s="138" t="s">
        <v>367</v>
      </c>
      <c r="J120" s="143" t="s">
        <v>3838</v>
      </c>
      <c r="K120" s="143" t="s">
        <v>3844</v>
      </c>
      <c r="L120" s="141" t="s">
        <v>20</v>
      </c>
      <c r="M120" s="141" t="s">
        <v>20</v>
      </c>
      <c r="N120" s="141" t="s">
        <v>20</v>
      </c>
      <c r="O120" s="141" t="s">
        <v>20</v>
      </c>
      <c r="P120" s="141" t="s">
        <v>20</v>
      </c>
      <c r="Q120" s="141" t="s">
        <v>20</v>
      </c>
    </row>
    <row r="121" spans="2:17" ht="21" x14ac:dyDescent="0.25">
      <c r="B121" s="137">
        <v>119</v>
      </c>
      <c r="C121" s="135" t="s">
        <v>321</v>
      </c>
      <c r="D121" s="138" t="s">
        <v>317</v>
      </c>
      <c r="E121" s="139">
        <v>45400</v>
      </c>
      <c r="F121" s="140">
        <v>0.47569444444444442</v>
      </c>
      <c r="G121" s="138" t="s">
        <v>369</v>
      </c>
      <c r="H121" s="138" t="s">
        <v>352</v>
      </c>
      <c r="I121" s="138" t="s">
        <v>353</v>
      </c>
      <c r="J121" s="142" t="s">
        <v>354</v>
      </c>
      <c r="K121" s="143" t="s">
        <v>3836</v>
      </c>
      <c r="L121" s="141" t="s">
        <v>20</v>
      </c>
      <c r="M121" s="141" t="s">
        <v>20</v>
      </c>
      <c r="N121" s="141" t="s">
        <v>20</v>
      </c>
      <c r="O121" s="141" t="s">
        <v>20</v>
      </c>
      <c r="P121" s="141" t="s">
        <v>20</v>
      </c>
      <c r="Q121" s="141" t="s">
        <v>20</v>
      </c>
    </row>
    <row r="122" spans="2:17" ht="39" x14ac:dyDescent="0.25">
      <c r="B122" s="137">
        <v>120</v>
      </c>
      <c r="C122" s="135" t="s">
        <v>321</v>
      </c>
      <c r="D122" s="138" t="s">
        <v>317</v>
      </c>
      <c r="E122" s="139">
        <v>45401</v>
      </c>
      <c r="F122" s="140">
        <v>0.56597222222222221</v>
      </c>
      <c r="G122" s="138" t="s">
        <v>370</v>
      </c>
      <c r="H122" s="138" t="s">
        <v>371</v>
      </c>
      <c r="I122" s="138" t="s">
        <v>372</v>
      </c>
      <c r="J122" s="142" t="s">
        <v>354</v>
      </c>
      <c r="K122" s="143" t="s">
        <v>3845</v>
      </c>
      <c r="L122" s="141" t="s">
        <v>20</v>
      </c>
      <c r="M122" s="141" t="s">
        <v>20</v>
      </c>
      <c r="N122" s="141" t="s">
        <v>20</v>
      </c>
      <c r="O122" s="141" t="s">
        <v>20</v>
      </c>
      <c r="P122" s="141" t="s">
        <v>20</v>
      </c>
      <c r="Q122" s="141" t="s">
        <v>20</v>
      </c>
    </row>
    <row r="123" spans="2:17" ht="39" x14ac:dyDescent="0.25">
      <c r="B123" s="137">
        <v>121</v>
      </c>
      <c r="C123" s="135" t="s">
        <v>321</v>
      </c>
      <c r="D123" s="138" t="s">
        <v>317</v>
      </c>
      <c r="E123" s="139">
        <v>45401</v>
      </c>
      <c r="F123" s="140">
        <v>0.57499999999999996</v>
      </c>
      <c r="G123" s="138" t="s">
        <v>373</v>
      </c>
      <c r="H123" s="138" t="s">
        <v>374</v>
      </c>
      <c r="I123" s="138" t="s">
        <v>375</v>
      </c>
      <c r="J123" s="142" t="s">
        <v>354</v>
      </c>
      <c r="K123" s="143" t="s">
        <v>3836</v>
      </c>
      <c r="L123" s="141" t="s">
        <v>20</v>
      </c>
      <c r="M123" s="141" t="s">
        <v>20</v>
      </c>
      <c r="N123" s="141" t="s">
        <v>20</v>
      </c>
      <c r="O123" s="141" t="s">
        <v>20</v>
      </c>
      <c r="P123" s="141" t="s">
        <v>20</v>
      </c>
      <c r="Q123" s="141" t="s">
        <v>20</v>
      </c>
    </row>
    <row r="124" spans="2:17" ht="39" x14ac:dyDescent="0.25">
      <c r="B124" s="137">
        <v>122</v>
      </c>
      <c r="C124" s="135" t="s">
        <v>321</v>
      </c>
      <c r="D124" s="138" t="s">
        <v>317</v>
      </c>
      <c r="E124" s="139">
        <v>45402</v>
      </c>
      <c r="F124" s="140">
        <v>0.56388888888888888</v>
      </c>
      <c r="G124" s="138" t="s">
        <v>376</v>
      </c>
      <c r="H124" s="138" t="s">
        <v>352</v>
      </c>
      <c r="I124" s="138" t="s">
        <v>372</v>
      </c>
      <c r="J124" s="142" t="s">
        <v>354</v>
      </c>
      <c r="K124" s="143" t="s">
        <v>3836</v>
      </c>
      <c r="L124" s="141" t="s">
        <v>20</v>
      </c>
      <c r="M124" s="141" t="s">
        <v>20</v>
      </c>
      <c r="N124" s="141" t="s">
        <v>20</v>
      </c>
      <c r="O124" s="141" t="s">
        <v>20</v>
      </c>
      <c r="P124" s="141" t="s">
        <v>20</v>
      </c>
      <c r="Q124" s="141" t="s">
        <v>20</v>
      </c>
    </row>
    <row r="125" spans="2:17" ht="21" x14ac:dyDescent="0.25">
      <c r="B125" s="137">
        <v>123</v>
      </c>
      <c r="C125" s="135" t="s">
        <v>321</v>
      </c>
      <c r="D125" s="138" t="s">
        <v>317</v>
      </c>
      <c r="E125" s="139">
        <v>45403</v>
      </c>
      <c r="F125" s="140">
        <v>0.50347222222222221</v>
      </c>
      <c r="G125" s="138" t="s">
        <v>377</v>
      </c>
      <c r="H125" s="138" t="s">
        <v>352</v>
      </c>
      <c r="I125" s="138" t="s">
        <v>353</v>
      </c>
      <c r="J125" s="142" t="s">
        <v>354</v>
      </c>
      <c r="K125" s="143" t="s">
        <v>3834</v>
      </c>
      <c r="L125" s="141" t="s">
        <v>20</v>
      </c>
      <c r="M125" s="141" t="s">
        <v>20</v>
      </c>
      <c r="N125" s="141" t="s">
        <v>20</v>
      </c>
      <c r="O125" s="141" t="s">
        <v>20</v>
      </c>
      <c r="P125" s="141" t="s">
        <v>20</v>
      </c>
      <c r="Q125" s="141" t="s">
        <v>20</v>
      </c>
    </row>
    <row r="126" spans="2:17" ht="21" x14ac:dyDescent="0.25">
      <c r="B126" s="137">
        <v>124</v>
      </c>
      <c r="C126" s="135" t="s">
        <v>321</v>
      </c>
      <c r="D126" s="138" t="s">
        <v>317</v>
      </c>
      <c r="E126" s="139">
        <v>45403</v>
      </c>
      <c r="F126" s="140">
        <v>0.51527777777777772</v>
      </c>
      <c r="G126" s="138" t="s">
        <v>378</v>
      </c>
      <c r="H126" s="138" t="s">
        <v>352</v>
      </c>
      <c r="I126" s="138" t="s">
        <v>353</v>
      </c>
      <c r="J126" s="142" t="s">
        <v>354</v>
      </c>
      <c r="K126" s="143" t="s">
        <v>3836</v>
      </c>
      <c r="L126" s="141" t="s">
        <v>20</v>
      </c>
      <c r="M126" s="141" t="s">
        <v>20</v>
      </c>
      <c r="N126" s="141" t="s">
        <v>20</v>
      </c>
      <c r="O126" s="141" t="s">
        <v>20</v>
      </c>
      <c r="P126" s="141" t="s">
        <v>20</v>
      </c>
      <c r="Q126" s="141" t="s">
        <v>20</v>
      </c>
    </row>
    <row r="127" spans="2:17" ht="39" x14ac:dyDescent="0.25">
      <c r="B127" s="137">
        <v>125</v>
      </c>
      <c r="C127" s="135" t="s">
        <v>321</v>
      </c>
      <c r="D127" s="138" t="s">
        <v>317</v>
      </c>
      <c r="E127" s="139">
        <v>45403</v>
      </c>
      <c r="F127" s="140">
        <v>0.55902777777777779</v>
      </c>
      <c r="G127" s="138" t="s">
        <v>379</v>
      </c>
      <c r="H127" s="138" t="s">
        <v>362</v>
      </c>
      <c r="I127" s="138" t="s">
        <v>380</v>
      </c>
      <c r="J127" s="143" t="s">
        <v>3845</v>
      </c>
      <c r="K127" s="143" t="s">
        <v>3845</v>
      </c>
      <c r="L127" s="141" t="s">
        <v>20</v>
      </c>
      <c r="M127" s="141" t="s">
        <v>20</v>
      </c>
      <c r="N127" s="141" t="s">
        <v>20</v>
      </c>
      <c r="O127" s="141" t="s">
        <v>20</v>
      </c>
      <c r="P127" s="141" t="s">
        <v>20</v>
      </c>
      <c r="Q127" s="141" t="s">
        <v>20</v>
      </c>
    </row>
    <row r="128" spans="2:17" ht="39" x14ac:dyDescent="0.25">
      <c r="B128" s="137">
        <v>126</v>
      </c>
      <c r="C128" s="135" t="s">
        <v>321</v>
      </c>
      <c r="D128" s="138" t="s">
        <v>317</v>
      </c>
      <c r="E128" s="139">
        <v>45403</v>
      </c>
      <c r="F128" s="140">
        <v>0.67152777777777772</v>
      </c>
      <c r="G128" s="138" t="s">
        <v>381</v>
      </c>
      <c r="H128" s="138" t="s">
        <v>382</v>
      </c>
      <c r="I128" s="138" t="s">
        <v>380</v>
      </c>
      <c r="J128" s="143" t="s">
        <v>3834</v>
      </c>
      <c r="K128" s="143" t="s">
        <v>3835</v>
      </c>
      <c r="L128" s="141" t="s">
        <v>20</v>
      </c>
      <c r="M128" s="141" t="s">
        <v>20</v>
      </c>
      <c r="N128" s="141" t="s">
        <v>20</v>
      </c>
      <c r="O128" s="141" t="s">
        <v>20</v>
      </c>
      <c r="P128" s="141" t="s">
        <v>20</v>
      </c>
      <c r="Q128" s="141" t="s">
        <v>20</v>
      </c>
    </row>
    <row r="129" spans="2:17" ht="21" x14ac:dyDescent="0.25">
      <c r="B129" s="137">
        <v>127</v>
      </c>
      <c r="C129" s="135" t="s">
        <v>321</v>
      </c>
      <c r="D129" s="138" t="s">
        <v>317</v>
      </c>
      <c r="E129" s="139">
        <v>45404</v>
      </c>
      <c r="F129" s="140">
        <v>0.39027777777777778</v>
      </c>
      <c r="G129" s="138" t="s">
        <v>383</v>
      </c>
      <c r="H129" s="138" t="s">
        <v>352</v>
      </c>
      <c r="I129" s="138" t="s">
        <v>367</v>
      </c>
      <c r="J129" s="143" t="s">
        <v>3846</v>
      </c>
      <c r="K129" s="143" t="s">
        <v>3847</v>
      </c>
      <c r="L129" s="141" t="s">
        <v>20</v>
      </c>
      <c r="M129" s="141" t="s">
        <v>20</v>
      </c>
      <c r="N129" s="141" t="s">
        <v>20</v>
      </c>
      <c r="O129" s="141" t="s">
        <v>20</v>
      </c>
      <c r="P129" s="141" t="s">
        <v>20</v>
      </c>
      <c r="Q129" s="141" t="s">
        <v>20</v>
      </c>
    </row>
    <row r="130" spans="2:17" ht="39" x14ac:dyDescent="0.25">
      <c r="B130" s="137">
        <v>128</v>
      </c>
      <c r="C130" s="135" t="s">
        <v>321</v>
      </c>
      <c r="D130" s="138" t="s">
        <v>317</v>
      </c>
      <c r="E130" s="139">
        <v>45404</v>
      </c>
      <c r="F130" s="140">
        <v>0.50347222222222221</v>
      </c>
      <c r="G130" s="138" t="s">
        <v>384</v>
      </c>
      <c r="H130" s="138" t="s">
        <v>385</v>
      </c>
      <c r="I130" s="138" t="s">
        <v>386</v>
      </c>
      <c r="J130" s="143" t="s">
        <v>3848</v>
      </c>
      <c r="K130" s="143" t="s">
        <v>3849</v>
      </c>
      <c r="L130" s="141" t="s">
        <v>20</v>
      </c>
      <c r="M130" s="141" t="s">
        <v>20</v>
      </c>
      <c r="N130" s="141" t="s">
        <v>20</v>
      </c>
      <c r="O130" s="141" t="s">
        <v>20</v>
      </c>
      <c r="P130" s="141" t="s">
        <v>20</v>
      </c>
      <c r="Q130" s="141" t="s">
        <v>20</v>
      </c>
    </row>
    <row r="131" spans="2:17" ht="21" x14ac:dyDescent="0.25">
      <c r="B131" s="137">
        <v>129</v>
      </c>
      <c r="C131" s="135" t="s">
        <v>321</v>
      </c>
      <c r="D131" s="138" t="s">
        <v>317</v>
      </c>
      <c r="E131" s="139">
        <v>45404</v>
      </c>
      <c r="F131" s="140">
        <v>0.8569444444444444</v>
      </c>
      <c r="G131" s="138" t="s">
        <v>387</v>
      </c>
      <c r="H131" s="138" t="s">
        <v>352</v>
      </c>
      <c r="I131" s="138" t="s">
        <v>353</v>
      </c>
      <c r="J131" s="142" t="s">
        <v>354</v>
      </c>
      <c r="K131" s="143" t="s">
        <v>3741</v>
      </c>
      <c r="L131" s="141" t="s">
        <v>20</v>
      </c>
      <c r="M131" s="141" t="s">
        <v>20</v>
      </c>
      <c r="N131" s="141" t="s">
        <v>20</v>
      </c>
      <c r="O131" s="141" t="s">
        <v>20</v>
      </c>
      <c r="P131" s="141" t="s">
        <v>20</v>
      </c>
      <c r="Q131" s="141" t="s">
        <v>20</v>
      </c>
    </row>
    <row r="132" spans="2:17" ht="39" x14ac:dyDescent="0.25">
      <c r="B132" s="137">
        <v>130</v>
      </c>
      <c r="C132" s="135" t="s">
        <v>321</v>
      </c>
      <c r="D132" s="138" t="s">
        <v>317</v>
      </c>
      <c r="E132" s="139">
        <v>45405</v>
      </c>
      <c r="F132" s="140">
        <v>0.28680555555555554</v>
      </c>
      <c r="G132" s="138" t="s">
        <v>388</v>
      </c>
      <c r="H132" s="138" t="s">
        <v>385</v>
      </c>
      <c r="I132" s="138" t="s">
        <v>386</v>
      </c>
      <c r="J132" s="143" t="s">
        <v>3845</v>
      </c>
      <c r="K132" s="143" t="s">
        <v>3850</v>
      </c>
      <c r="L132" s="141" t="s">
        <v>20</v>
      </c>
      <c r="M132" s="141" t="s">
        <v>20</v>
      </c>
      <c r="N132" s="141" t="s">
        <v>20</v>
      </c>
      <c r="O132" s="141" t="s">
        <v>20</v>
      </c>
      <c r="P132" s="141">
        <v>1</v>
      </c>
      <c r="Q132" s="141" t="s">
        <v>20</v>
      </c>
    </row>
    <row r="133" spans="2:17" ht="21" x14ac:dyDescent="0.25">
      <c r="B133" s="137">
        <v>131</v>
      </c>
      <c r="C133" s="135" t="s">
        <v>321</v>
      </c>
      <c r="D133" s="138" t="s">
        <v>317</v>
      </c>
      <c r="E133" s="139">
        <v>45407</v>
      </c>
      <c r="F133" s="140">
        <v>0.45416666666666666</v>
      </c>
      <c r="G133" s="138" t="s">
        <v>389</v>
      </c>
      <c r="H133" s="138" t="s">
        <v>385</v>
      </c>
      <c r="I133" s="138" t="s">
        <v>390</v>
      </c>
      <c r="J133" s="143" t="s">
        <v>3834</v>
      </c>
      <c r="K133" s="143" t="s">
        <v>3835</v>
      </c>
      <c r="L133" s="141" t="s">
        <v>20</v>
      </c>
      <c r="M133" s="141" t="s">
        <v>20</v>
      </c>
      <c r="N133" s="141" t="s">
        <v>20</v>
      </c>
      <c r="O133" s="141" t="s">
        <v>20</v>
      </c>
      <c r="P133" s="141" t="s">
        <v>20</v>
      </c>
      <c r="Q133" s="141" t="s">
        <v>20</v>
      </c>
    </row>
    <row r="134" spans="2:17" ht="21" x14ac:dyDescent="0.25">
      <c r="B134" s="137">
        <v>132</v>
      </c>
      <c r="C134" s="135" t="s">
        <v>321</v>
      </c>
      <c r="D134" s="138" t="s">
        <v>317</v>
      </c>
      <c r="E134" s="139">
        <v>45408</v>
      </c>
      <c r="F134" s="140">
        <v>0.4465277777777778</v>
      </c>
      <c r="G134" s="138" t="s">
        <v>391</v>
      </c>
      <c r="H134" s="138" t="s">
        <v>362</v>
      </c>
      <c r="I134" s="138" t="s">
        <v>392</v>
      </c>
      <c r="J134" s="143" t="s">
        <v>3842</v>
      </c>
      <c r="K134" s="143" t="s">
        <v>3843</v>
      </c>
      <c r="L134" s="141" t="s">
        <v>20</v>
      </c>
      <c r="M134" s="141" t="s">
        <v>20</v>
      </c>
      <c r="N134" s="141" t="s">
        <v>20</v>
      </c>
      <c r="O134" s="141" t="s">
        <v>20</v>
      </c>
      <c r="P134" s="141" t="s">
        <v>20</v>
      </c>
      <c r="Q134" s="141" t="s">
        <v>20</v>
      </c>
    </row>
    <row r="135" spans="2:17" ht="39" x14ac:dyDescent="0.25">
      <c r="B135" s="137">
        <v>133</v>
      </c>
      <c r="C135" s="135" t="s">
        <v>321</v>
      </c>
      <c r="D135" s="138" t="s">
        <v>317</v>
      </c>
      <c r="E135" s="139">
        <v>45408</v>
      </c>
      <c r="F135" s="140">
        <v>0.72986111111111107</v>
      </c>
      <c r="G135" s="138" t="s">
        <v>393</v>
      </c>
      <c r="H135" s="138" t="s">
        <v>394</v>
      </c>
      <c r="I135" s="138" t="s">
        <v>380</v>
      </c>
      <c r="J135" s="143" t="s">
        <v>3848</v>
      </c>
      <c r="K135" s="143" t="s">
        <v>3851</v>
      </c>
      <c r="L135" s="141" t="s">
        <v>20</v>
      </c>
      <c r="M135" s="141" t="s">
        <v>20</v>
      </c>
      <c r="N135" s="141" t="s">
        <v>20</v>
      </c>
      <c r="O135" s="141" t="s">
        <v>20</v>
      </c>
      <c r="P135" s="141" t="s">
        <v>20</v>
      </c>
      <c r="Q135" s="141" t="s">
        <v>20</v>
      </c>
    </row>
    <row r="136" spans="2:17" ht="21" x14ac:dyDescent="0.25">
      <c r="B136" s="137">
        <v>134</v>
      </c>
      <c r="C136" s="135" t="s">
        <v>321</v>
      </c>
      <c r="D136" s="138" t="s">
        <v>317</v>
      </c>
      <c r="E136" s="139">
        <v>45408</v>
      </c>
      <c r="F136" s="140">
        <v>0.74513888888888891</v>
      </c>
      <c r="G136" s="138" t="s">
        <v>395</v>
      </c>
      <c r="H136" s="138" t="s">
        <v>362</v>
      </c>
      <c r="I136" s="138" t="s">
        <v>396</v>
      </c>
      <c r="J136" s="143" t="s">
        <v>3852</v>
      </c>
      <c r="K136" s="143" t="s">
        <v>3853</v>
      </c>
      <c r="L136" s="141" t="s">
        <v>20</v>
      </c>
      <c r="M136" s="141" t="s">
        <v>20</v>
      </c>
      <c r="N136" s="141" t="s">
        <v>20</v>
      </c>
      <c r="O136" s="141" t="s">
        <v>20</v>
      </c>
      <c r="P136" s="141" t="s">
        <v>20</v>
      </c>
      <c r="Q136" s="141" t="s">
        <v>20</v>
      </c>
    </row>
    <row r="137" spans="2:17" ht="39" x14ac:dyDescent="0.25">
      <c r="B137" s="137">
        <v>135</v>
      </c>
      <c r="C137" s="135" t="s">
        <v>321</v>
      </c>
      <c r="D137" s="138" t="s">
        <v>317</v>
      </c>
      <c r="E137" s="139">
        <v>45409</v>
      </c>
      <c r="F137" s="140">
        <v>0.54513888888888884</v>
      </c>
      <c r="G137" s="138" t="s">
        <v>3854</v>
      </c>
      <c r="H137" s="138" t="s">
        <v>352</v>
      </c>
      <c r="I137" s="138" t="s">
        <v>397</v>
      </c>
      <c r="J137" s="142" t="s">
        <v>354</v>
      </c>
      <c r="K137" s="143" t="s">
        <v>3834</v>
      </c>
      <c r="L137" s="141" t="s">
        <v>20</v>
      </c>
      <c r="M137" s="141" t="s">
        <v>20</v>
      </c>
      <c r="N137" s="141" t="s">
        <v>20</v>
      </c>
      <c r="O137" s="141" t="s">
        <v>20</v>
      </c>
      <c r="P137" s="141" t="s">
        <v>20</v>
      </c>
      <c r="Q137" s="141" t="s">
        <v>20</v>
      </c>
    </row>
    <row r="138" spans="2:17" ht="21" x14ac:dyDescent="0.25">
      <c r="B138" s="137">
        <v>136</v>
      </c>
      <c r="C138" s="135" t="s">
        <v>321</v>
      </c>
      <c r="D138" s="138" t="s">
        <v>317</v>
      </c>
      <c r="E138" s="139">
        <v>45410</v>
      </c>
      <c r="F138" s="140">
        <v>0.44166666666666665</v>
      </c>
      <c r="G138" s="138" t="s">
        <v>398</v>
      </c>
      <c r="H138" s="138" t="s">
        <v>352</v>
      </c>
      <c r="I138" s="138" t="s">
        <v>359</v>
      </c>
      <c r="J138" s="143" t="s">
        <v>3855</v>
      </c>
      <c r="K138" s="143" t="s">
        <v>3856</v>
      </c>
      <c r="L138" s="141" t="s">
        <v>20</v>
      </c>
      <c r="M138" s="141" t="s">
        <v>20</v>
      </c>
      <c r="N138" s="141" t="s">
        <v>20</v>
      </c>
      <c r="O138" s="141" t="s">
        <v>20</v>
      </c>
      <c r="P138" s="141" t="s">
        <v>20</v>
      </c>
      <c r="Q138" s="141" t="s">
        <v>20</v>
      </c>
    </row>
    <row r="139" spans="2:17" ht="58.5" x14ac:dyDescent="0.25">
      <c r="B139" s="137">
        <v>137</v>
      </c>
      <c r="C139" s="135" t="s">
        <v>321</v>
      </c>
      <c r="D139" s="138" t="s">
        <v>317</v>
      </c>
      <c r="E139" s="139">
        <v>45411</v>
      </c>
      <c r="F139" s="140">
        <v>1.2500000000000001E-2</v>
      </c>
      <c r="G139" s="138" t="s">
        <v>399</v>
      </c>
      <c r="H139" s="138" t="s">
        <v>357</v>
      </c>
      <c r="I139" s="138" t="s">
        <v>400</v>
      </c>
      <c r="J139" s="143" t="s">
        <v>3840</v>
      </c>
      <c r="K139" s="143" t="s">
        <v>3857</v>
      </c>
      <c r="L139" s="141" t="s">
        <v>20</v>
      </c>
      <c r="M139" s="141" t="s">
        <v>20</v>
      </c>
      <c r="N139" s="141" t="s">
        <v>20</v>
      </c>
      <c r="O139" s="141" t="s">
        <v>20</v>
      </c>
      <c r="P139" s="141" t="s">
        <v>20</v>
      </c>
      <c r="Q139" s="141" t="s">
        <v>20</v>
      </c>
    </row>
    <row r="140" spans="2:17" ht="21" x14ac:dyDescent="0.25">
      <c r="B140" s="137">
        <v>138</v>
      </c>
      <c r="C140" s="135" t="s">
        <v>321</v>
      </c>
      <c r="D140" s="138" t="s">
        <v>317</v>
      </c>
      <c r="E140" s="139">
        <v>45411</v>
      </c>
      <c r="F140" s="140">
        <v>2.5000000000000001E-2</v>
      </c>
      <c r="G140" s="138" t="s">
        <v>401</v>
      </c>
      <c r="H140" s="138" t="s">
        <v>385</v>
      </c>
      <c r="I140" s="138" t="s">
        <v>402</v>
      </c>
      <c r="J140" s="143" t="s">
        <v>3858</v>
      </c>
      <c r="K140" s="143" t="s">
        <v>3859</v>
      </c>
      <c r="L140" s="141" t="s">
        <v>20</v>
      </c>
      <c r="M140" s="141" t="s">
        <v>20</v>
      </c>
      <c r="N140" s="141" t="s">
        <v>20</v>
      </c>
      <c r="O140" s="141" t="s">
        <v>20</v>
      </c>
      <c r="P140" s="141" t="s">
        <v>20</v>
      </c>
      <c r="Q140" s="141" t="s">
        <v>20</v>
      </c>
    </row>
    <row r="141" spans="2:17" ht="58.5" x14ac:dyDescent="0.25">
      <c r="B141" s="137">
        <v>139</v>
      </c>
      <c r="C141" s="135" t="s">
        <v>321</v>
      </c>
      <c r="D141" s="138" t="s">
        <v>3654</v>
      </c>
      <c r="E141" s="139">
        <v>45384</v>
      </c>
      <c r="F141" s="140">
        <v>0.56736111111111109</v>
      </c>
      <c r="G141" s="138" t="s">
        <v>3860</v>
      </c>
      <c r="H141" s="138" t="s">
        <v>3656</v>
      </c>
      <c r="I141" s="138" t="s">
        <v>3662</v>
      </c>
      <c r="J141" s="142">
        <v>10000</v>
      </c>
      <c r="K141" s="142">
        <v>1990000</v>
      </c>
      <c r="L141" s="141" t="s">
        <v>20</v>
      </c>
      <c r="M141" s="141" t="s">
        <v>20</v>
      </c>
      <c r="N141" s="141" t="s">
        <v>20</v>
      </c>
      <c r="O141" s="141" t="s">
        <v>20</v>
      </c>
      <c r="P141" s="141" t="s">
        <v>20</v>
      </c>
      <c r="Q141" s="141" t="s">
        <v>20</v>
      </c>
    </row>
    <row r="142" spans="2:17" ht="58.5" x14ac:dyDescent="0.25">
      <c r="B142" s="137">
        <v>140</v>
      </c>
      <c r="C142" s="135" t="s">
        <v>321</v>
      </c>
      <c r="D142" s="138" t="s">
        <v>3654</v>
      </c>
      <c r="E142" s="139">
        <v>45387</v>
      </c>
      <c r="F142" s="140">
        <v>0.74305555555555558</v>
      </c>
      <c r="G142" s="138" t="s">
        <v>3715</v>
      </c>
      <c r="H142" s="138" t="s">
        <v>3656</v>
      </c>
      <c r="I142" s="138" t="s">
        <v>3716</v>
      </c>
      <c r="J142" s="142" t="s">
        <v>341</v>
      </c>
      <c r="K142" s="142">
        <v>100000</v>
      </c>
      <c r="L142" s="141" t="s">
        <v>20</v>
      </c>
      <c r="M142" s="141" t="s">
        <v>20</v>
      </c>
      <c r="N142" s="141" t="s">
        <v>20</v>
      </c>
      <c r="O142" s="141" t="s">
        <v>20</v>
      </c>
      <c r="P142" s="141" t="s">
        <v>20</v>
      </c>
      <c r="Q142" s="141" t="s">
        <v>20</v>
      </c>
    </row>
    <row r="143" spans="2:17" ht="58.5" x14ac:dyDescent="0.25">
      <c r="B143" s="137">
        <v>141</v>
      </c>
      <c r="C143" s="135" t="s">
        <v>321</v>
      </c>
      <c r="D143" s="138" t="s">
        <v>3654</v>
      </c>
      <c r="E143" s="139">
        <v>45387</v>
      </c>
      <c r="F143" s="140">
        <v>0.82361111111111107</v>
      </c>
      <c r="G143" s="138" t="s">
        <v>3861</v>
      </c>
      <c r="H143" s="138" t="s">
        <v>3862</v>
      </c>
      <c r="I143" s="138" t="s">
        <v>3863</v>
      </c>
      <c r="J143" s="142">
        <v>3000</v>
      </c>
      <c r="K143" s="142">
        <v>997000</v>
      </c>
      <c r="L143" s="141" t="s">
        <v>20</v>
      </c>
      <c r="M143" s="141" t="s">
        <v>20</v>
      </c>
      <c r="N143" s="141" t="s">
        <v>20</v>
      </c>
      <c r="O143" s="141" t="s">
        <v>20</v>
      </c>
      <c r="P143" s="141" t="s">
        <v>20</v>
      </c>
      <c r="Q143" s="141" t="s">
        <v>20</v>
      </c>
    </row>
    <row r="144" spans="2:17" ht="58.5" x14ac:dyDescent="0.25">
      <c r="B144" s="137">
        <v>142</v>
      </c>
      <c r="C144" s="135" t="s">
        <v>321</v>
      </c>
      <c r="D144" s="138" t="s">
        <v>3654</v>
      </c>
      <c r="E144" s="139">
        <v>45388</v>
      </c>
      <c r="F144" s="140">
        <v>3.4722222222222224E-2</v>
      </c>
      <c r="G144" s="138" t="s">
        <v>3864</v>
      </c>
      <c r="H144" s="138" t="s">
        <v>3865</v>
      </c>
      <c r="I144" s="138" t="s">
        <v>3866</v>
      </c>
      <c r="J144" s="142" t="s">
        <v>3867</v>
      </c>
      <c r="K144" s="142" t="s">
        <v>3867</v>
      </c>
      <c r="L144" s="141" t="s">
        <v>20</v>
      </c>
      <c r="M144" s="141" t="s">
        <v>20</v>
      </c>
      <c r="N144" s="141" t="s">
        <v>20</v>
      </c>
      <c r="O144" s="141" t="s">
        <v>20</v>
      </c>
      <c r="P144" s="141" t="s">
        <v>20</v>
      </c>
      <c r="Q144" s="141" t="s">
        <v>20</v>
      </c>
    </row>
    <row r="145" spans="2:17" ht="78" x14ac:dyDescent="0.25">
      <c r="B145" s="137">
        <v>143</v>
      </c>
      <c r="C145" s="135" t="s">
        <v>321</v>
      </c>
      <c r="D145" s="138" t="s">
        <v>3654</v>
      </c>
      <c r="E145" s="139">
        <v>45390</v>
      </c>
      <c r="F145" s="140">
        <v>0.89097222222222228</v>
      </c>
      <c r="G145" s="138" t="s">
        <v>3868</v>
      </c>
      <c r="H145" s="138" t="s">
        <v>3656</v>
      </c>
      <c r="I145" s="138" t="s">
        <v>3869</v>
      </c>
      <c r="J145" s="142">
        <v>2000</v>
      </c>
      <c r="K145" s="142">
        <v>4998000</v>
      </c>
      <c r="L145" s="141" t="s">
        <v>20</v>
      </c>
      <c r="M145" s="141" t="s">
        <v>20</v>
      </c>
      <c r="N145" s="141" t="s">
        <v>20</v>
      </c>
      <c r="O145" s="141" t="s">
        <v>20</v>
      </c>
      <c r="P145" s="141" t="s">
        <v>20</v>
      </c>
      <c r="Q145" s="141" t="s">
        <v>20</v>
      </c>
    </row>
    <row r="146" spans="2:17" ht="58.5" x14ac:dyDescent="0.25">
      <c r="B146" s="137">
        <v>144</v>
      </c>
      <c r="C146" s="135" t="s">
        <v>321</v>
      </c>
      <c r="D146" s="138" t="s">
        <v>3654</v>
      </c>
      <c r="E146" s="139">
        <v>45391</v>
      </c>
      <c r="F146" s="140">
        <v>0.56180555555555556</v>
      </c>
      <c r="G146" s="138" t="s">
        <v>3870</v>
      </c>
      <c r="H146" s="138" t="s">
        <v>3871</v>
      </c>
      <c r="I146" s="138" t="s">
        <v>3872</v>
      </c>
      <c r="J146" s="142">
        <v>70000</v>
      </c>
      <c r="K146" s="142">
        <v>930000</v>
      </c>
      <c r="L146" s="137" t="s">
        <v>20</v>
      </c>
      <c r="M146" s="137" t="s">
        <v>20</v>
      </c>
      <c r="N146" s="137" t="s">
        <v>20</v>
      </c>
      <c r="O146" s="137" t="s">
        <v>20</v>
      </c>
      <c r="P146" s="141" t="s">
        <v>20</v>
      </c>
      <c r="Q146" s="137" t="s">
        <v>20</v>
      </c>
    </row>
    <row r="147" spans="2:17" ht="58.5" x14ac:dyDescent="0.25">
      <c r="B147" s="137">
        <v>145</v>
      </c>
      <c r="C147" s="135" t="s">
        <v>321</v>
      </c>
      <c r="D147" s="138" t="s">
        <v>3654</v>
      </c>
      <c r="E147" s="139">
        <v>45391</v>
      </c>
      <c r="F147" s="140">
        <v>0.87361111111111112</v>
      </c>
      <c r="G147" s="138" t="s">
        <v>3873</v>
      </c>
      <c r="H147" s="138" t="s">
        <v>3656</v>
      </c>
      <c r="I147" s="138" t="s">
        <v>3874</v>
      </c>
      <c r="J147" s="142">
        <v>10000</v>
      </c>
      <c r="K147" s="142">
        <v>490000</v>
      </c>
      <c r="L147" s="137" t="s">
        <v>20</v>
      </c>
      <c r="M147" s="137" t="s">
        <v>20</v>
      </c>
      <c r="N147" s="137" t="s">
        <v>20</v>
      </c>
      <c r="O147" s="137" t="s">
        <v>20</v>
      </c>
      <c r="P147" s="137" t="s">
        <v>20</v>
      </c>
      <c r="Q147" s="137" t="s">
        <v>20</v>
      </c>
    </row>
    <row r="148" spans="2:17" ht="39" x14ac:dyDescent="0.25">
      <c r="B148" s="137">
        <v>146</v>
      </c>
      <c r="C148" s="135" t="s">
        <v>321</v>
      </c>
      <c r="D148" s="138" t="s">
        <v>3654</v>
      </c>
      <c r="E148" s="139">
        <v>45393</v>
      </c>
      <c r="F148" s="140">
        <v>0.57986111111111116</v>
      </c>
      <c r="G148" s="138" t="s">
        <v>3875</v>
      </c>
      <c r="H148" s="138" t="s">
        <v>3876</v>
      </c>
      <c r="I148" s="138" t="s">
        <v>3877</v>
      </c>
      <c r="J148" s="142">
        <v>500000</v>
      </c>
      <c r="K148" s="142">
        <v>4500000</v>
      </c>
      <c r="L148" s="137" t="s">
        <v>20</v>
      </c>
      <c r="M148" s="137" t="s">
        <v>20</v>
      </c>
      <c r="N148" s="137" t="s">
        <v>20</v>
      </c>
      <c r="O148" s="137" t="s">
        <v>20</v>
      </c>
      <c r="P148" s="137" t="s">
        <v>20</v>
      </c>
      <c r="Q148" s="137" t="s">
        <v>20</v>
      </c>
    </row>
    <row r="149" spans="2:17" ht="58.5" x14ac:dyDescent="0.25">
      <c r="B149" s="137">
        <v>147</v>
      </c>
      <c r="C149" s="135" t="s">
        <v>321</v>
      </c>
      <c r="D149" s="138" t="s">
        <v>3654</v>
      </c>
      <c r="E149" s="139">
        <v>45393</v>
      </c>
      <c r="F149" s="140">
        <v>0.63749999999999996</v>
      </c>
      <c r="G149" s="138" t="s">
        <v>3878</v>
      </c>
      <c r="H149" s="138" t="s">
        <v>3656</v>
      </c>
      <c r="I149" s="138" t="s">
        <v>3662</v>
      </c>
      <c r="J149" s="142">
        <v>2000</v>
      </c>
      <c r="K149" s="142">
        <v>998000</v>
      </c>
      <c r="L149" s="137" t="s">
        <v>20</v>
      </c>
      <c r="M149" s="137" t="s">
        <v>20</v>
      </c>
      <c r="N149" s="137" t="s">
        <v>20</v>
      </c>
      <c r="O149" s="137" t="s">
        <v>20</v>
      </c>
      <c r="P149" s="137" t="s">
        <v>20</v>
      </c>
      <c r="Q149" s="137" t="s">
        <v>20</v>
      </c>
    </row>
    <row r="150" spans="2:17" ht="58.5" x14ac:dyDescent="0.25">
      <c r="B150" s="137">
        <v>148</v>
      </c>
      <c r="C150" s="135" t="s">
        <v>321</v>
      </c>
      <c r="D150" s="138" t="s">
        <v>3654</v>
      </c>
      <c r="E150" s="139">
        <v>45394</v>
      </c>
      <c r="F150" s="140">
        <v>0.60902777777777772</v>
      </c>
      <c r="G150" s="138" t="s">
        <v>3879</v>
      </c>
      <c r="H150" s="138" t="s">
        <v>3656</v>
      </c>
      <c r="I150" s="138" t="s">
        <v>3724</v>
      </c>
      <c r="J150" s="142">
        <v>1000</v>
      </c>
      <c r="K150" s="142">
        <v>999000</v>
      </c>
      <c r="L150" s="137" t="s">
        <v>20</v>
      </c>
      <c r="M150" s="137" t="s">
        <v>20</v>
      </c>
      <c r="N150" s="137" t="s">
        <v>20</v>
      </c>
      <c r="O150" s="137" t="s">
        <v>20</v>
      </c>
      <c r="P150" s="137" t="s">
        <v>20</v>
      </c>
      <c r="Q150" s="137" t="s">
        <v>20</v>
      </c>
    </row>
    <row r="151" spans="2:17" ht="58.5" x14ac:dyDescent="0.25">
      <c r="B151" s="137">
        <v>149</v>
      </c>
      <c r="C151" s="135" t="s">
        <v>321</v>
      </c>
      <c r="D151" s="138" t="s">
        <v>3654</v>
      </c>
      <c r="E151" s="139">
        <v>45396</v>
      </c>
      <c r="F151" s="140">
        <v>0.54166666666666663</v>
      </c>
      <c r="G151" s="138" t="s">
        <v>3880</v>
      </c>
      <c r="H151" s="138" t="s">
        <v>3881</v>
      </c>
      <c r="I151" s="138" t="s">
        <v>3882</v>
      </c>
      <c r="J151" s="142" t="s">
        <v>341</v>
      </c>
      <c r="K151" s="142" t="s">
        <v>341</v>
      </c>
      <c r="L151" s="137" t="s">
        <v>20</v>
      </c>
      <c r="M151" s="137" t="s">
        <v>20</v>
      </c>
      <c r="N151" s="137" t="s">
        <v>20</v>
      </c>
      <c r="O151" s="137" t="s">
        <v>20</v>
      </c>
      <c r="P151" s="137" t="s">
        <v>20</v>
      </c>
      <c r="Q151" s="137" t="s">
        <v>20</v>
      </c>
    </row>
    <row r="152" spans="2:17" ht="58.5" x14ac:dyDescent="0.25">
      <c r="B152" s="137">
        <v>150</v>
      </c>
      <c r="C152" s="135" t="s">
        <v>321</v>
      </c>
      <c r="D152" s="138" t="s">
        <v>3654</v>
      </c>
      <c r="E152" s="139">
        <v>45398</v>
      </c>
      <c r="F152" s="140">
        <v>0.95902777777777781</v>
      </c>
      <c r="G152" s="138" t="s">
        <v>3883</v>
      </c>
      <c r="H152" s="138" t="s">
        <v>3884</v>
      </c>
      <c r="I152" s="138" t="s">
        <v>3885</v>
      </c>
      <c r="J152" s="142" t="s">
        <v>341</v>
      </c>
      <c r="K152" s="142">
        <v>1000000</v>
      </c>
      <c r="L152" s="137" t="s">
        <v>20</v>
      </c>
      <c r="M152" s="137" t="s">
        <v>20</v>
      </c>
      <c r="N152" s="137" t="s">
        <v>20</v>
      </c>
      <c r="O152" s="137" t="s">
        <v>20</v>
      </c>
      <c r="P152" s="137" t="s">
        <v>20</v>
      </c>
      <c r="Q152" s="137" t="s">
        <v>20</v>
      </c>
    </row>
    <row r="153" spans="2:17" ht="39" x14ac:dyDescent="0.25">
      <c r="B153" s="137">
        <v>151</v>
      </c>
      <c r="C153" s="135" t="s">
        <v>321</v>
      </c>
      <c r="D153" s="138" t="s">
        <v>3654</v>
      </c>
      <c r="E153" s="139">
        <v>45399</v>
      </c>
      <c r="F153" s="140">
        <v>0.25972222222222224</v>
      </c>
      <c r="G153" s="138" t="s">
        <v>3886</v>
      </c>
      <c r="H153" s="138" t="s">
        <v>3881</v>
      </c>
      <c r="I153" s="138" t="s">
        <v>3887</v>
      </c>
      <c r="J153" s="142" t="s">
        <v>341</v>
      </c>
      <c r="K153" s="142" t="s">
        <v>341</v>
      </c>
      <c r="L153" s="137" t="s">
        <v>20</v>
      </c>
      <c r="M153" s="137" t="s">
        <v>20</v>
      </c>
      <c r="N153" s="137" t="s">
        <v>20</v>
      </c>
      <c r="O153" s="137" t="s">
        <v>20</v>
      </c>
      <c r="P153" s="137" t="s">
        <v>20</v>
      </c>
      <c r="Q153" s="137" t="s">
        <v>20</v>
      </c>
    </row>
    <row r="154" spans="2:17" ht="58.5" x14ac:dyDescent="0.25">
      <c r="B154" s="137">
        <v>152</v>
      </c>
      <c r="C154" s="135" t="s">
        <v>321</v>
      </c>
      <c r="D154" s="138" t="s">
        <v>3654</v>
      </c>
      <c r="E154" s="139">
        <v>45399</v>
      </c>
      <c r="F154" s="140">
        <v>0.59722222222222221</v>
      </c>
      <c r="G154" s="138" t="s">
        <v>3888</v>
      </c>
      <c r="H154" s="138" t="s">
        <v>3889</v>
      </c>
      <c r="I154" s="138" t="s">
        <v>3890</v>
      </c>
      <c r="J154" s="142">
        <v>670000</v>
      </c>
      <c r="K154" s="142">
        <v>1330000</v>
      </c>
      <c r="L154" s="137" t="s">
        <v>20</v>
      </c>
      <c r="M154" s="137" t="s">
        <v>20</v>
      </c>
      <c r="N154" s="137" t="s">
        <v>20</v>
      </c>
      <c r="O154" s="137" t="s">
        <v>20</v>
      </c>
      <c r="P154" s="137" t="s">
        <v>20</v>
      </c>
      <c r="Q154" s="137" t="s">
        <v>20</v>
      </c>
    </row>
    <row r="155" spans="2:17" ht="58.5" x14ac:dyDescent="0.25">
      <c r="B155" s="137">
        <v>153</v>
      </c>
      <c r="C155" s="135" t="s">
        <v>321</v>
      </c>
      <c r="D155" s="138" t="s">
        <v>3654</v>
      </c>
      <c r="E155" s="139">
        <v>45399</v>
      </c>
      <c r="F155" s="140">
        <v>0.65833333333333333</v>
      </c>
      <c r="G155" s="138" t="s">
        <v>3715</v>
      </c>
      <c r="H155" s="138" t="s">
        <v>3656</v>
      </c>
      <c r="I155" s="138" t="s">
        <v>3724</v>
      </c>
      <c r="J155" s="142" t="s">
        <v>341</v>
      </c>
      <c r="K155" s="142">
        <v>100000</v>
      </c>
      <c r="L155" s="137" t="s">
        <v>20</v>
      </c>
      <c r="M155" s="137" t="s">
        <v>20</v>
      </c>
      <c r="N155" s="137" t="s">
        <v>20</v>
      </c>
      <c r="O155" s="137" t="s">
        <v>20</v>
      </c>
      <c r="P155" s="137" t="s">
        <v>20</v>
      </c>
      <c r="Q155" s="137" t="s">
        <v>20</v>
      </c>
    </row>
    <row r="156" spans="2:17" ht="58.5" x14ac:dyDescent="0.25">
      <c r="B156" s="137">
        <v>154</v>
      </c>
      <c r="C156" s="135" t="s">
        <v>321</v>
      </c>
      <c r="D156" s="138" t="s">
        <v>3654</v>
      </c>
      <c r="E156" s="139">
        <v>45400</v>
      </c>
      <c r="F156" s="140">
        <v>0.37847222222222221</v>
      </c>
      <c r="G156" s="138" t="s">
        <v>3715</v>
      </c>
      <c r="H156" s="138" t="s">
        <v>3656</v>
      </c>
      <c r="I156" s="138" t="s">
        <v>3724</v>
      </c>
      <c r="J156" s="142" t="s">
        <v>341</v>
      </c>
      <c r="K156" s="142">
        <v>100000</v>
      </c>
      <c r="L156" s="137" t="s">
        <v>20</v>
      </c>
      <c r="M156" s="137" t="s">
        <v>20</v>
      </c>
      <c r="N156" s="137" t="s">
        <v>20</v>
      </c>
      <c r="O156" s="137" t="s">
        <v>20</v>
      </c>
      <c r="P156" s="137" t="s">
        <v>20</v>
      </c>
      <c r="Q156" s="137" t="s">
        <v>20</v>
      </c>
    </row>
    <row r="157" spans="2:17" ht="58.5" x14ac:dyDescent="0.25">
      <c r="B157" s="137">
        <v>155</v>
      </c>
      <c r="C157" s="135" t="s">
        <v>321</v>
      </c>
      <c r="D157" s="138" t="s">
        <v>3654</v>
      </c>
      <c r="E157" s="139">
        <v>45400</v>
      </c>
      <c r="F157" s="140">
        <v>0.47499999999999998</v>
      </c>
      <c r="G157" s="138" t="s">
        <v>3891</v>
      </c>
      <c r="H157" s="138" t="s">
        <v>3889</v>
      </c>
      <c r="I157" s="138" t="s">
        <v>3890</v>
      </c>
      <c r="J157" s="142">
        <v>403200</v>
      </c>
      <c r="K157" s="142">
        <v>5968000</v>
      </c>
      <c r="L157" s="137" t="s">
        <v>20</v>
      </c>
      <c r="M157" s="137" t="s">
        <v>20</v>
      </c>
      <c r="N157" s="137" t="s">
        <v>20</v>
      </c>
      <c r="O157" s="137" t="s">
        <v>20</v>
      </c>
      <c r="P157" s="137" t="s">
        <v>20</v>
      </c>
      <c r="Q157" s="137" t="s">
        <v>20</v>
      </c>
    </row>
    <row r="158" spans="2:17" ht="58.5" x14ac:dyDescent="0.25">
      <c r="B158" s="137">
        <v>156</v>
      </c>
      <c r="C158" s="135" t="s">
        <v>321</v>
      </c>
      <c r="D158" s="138" t="s">
        <v>3654</v>
      </c>
      <c r="E158" s="139">
        <v>45400</v>
      </c>
      <c r="F158" s="140">
        <v>0.63194444444444442</v>
      </c>
      <c r="G158" s="138" t="s">
        <v>3892</v>
      </c>
      <c r="H158" s="138" t="s">
        <v>3656</v>
      </c>
      <c r="I158" s="138" t="s">
        <v>3893</v>
      </c>
      <c r="J158" s="142">
        <v>1000</v>
      </c>
      <c r="K158" s="142">
        <v>999000</v>
      </c>
      <c r="L158" s="137" t="s">
        <v>20</v>
      </c>
      <c r="M158" s="137" t="s">
        <v>20</v>
      </c>
      <c r="N158" s="137" t="s">
        <v>20</v>
      </c>
      <c r="O158" s="137" t="s">
        <v>20</v>
      </c>
      <c r="P158" s="137" t="s">
        <v>20</v>
      </c>
      <c r="Q158" s="137" t="s">
        <v>20</v>
      </c>
    </row>
    <row r="159" spans="2:17" ht="58.5" x14ac:dyDescent="0.25">
      <c r="B159" s="137">
        <v>157</v>
      </c>
      <c r="C159" s="135" t="s">
        <v>321</v>
      </c>
      <c r="D159" s="138" t="s">
        <v>3654</v>
      </c>
      <c r="E159" s="139">
        <v>45400</v>
      </c>
      <c r="F159" s="140">
        <v>0.7416666666666667</v>
      </c>
      <c r="G159" s="138" t="s">
        <v>3894</v>
      </c>
      <c r="H159" s="138" t="s">
        <v>3656</v>
      </c>
      <c r="I159" s="138" t="s">
        <v>3895</v>
      </c>
      <c r="J159" s="142">
        <v>1000</v>
      </c>
      <c r="K159" s="142">
        <v>999000</v>
      </c>
      <c r="L159" s="137" t="s">
        <v>20</v>
      </c>
      <c r="M159" s="137" t="s">
        <v>20</v>
      </c>
      <c r="N159" s="137" t="s">
        <v>20</v>
      </c>
      <c r="O159" s="137" t="s">
        <v>20</v>
      </c>
      <c r="P159" s="137" t="s">
        <v>20</v>
      </c>
      <c r="Q159" s="137" t="s">
        <v>20</v>
      </c>
    </row>
    <row r="160" spans="2:17" ht="58.5" x14ac:dyDescent="0.25">
      <c r="B160" s="137">
        <v>158</v>
      </c>
      <c r="C160" s="135" t="s">
        <v>321</v>
      </c>
      <c r="D160" s="138" t="s">
        <v>3654</v>
      </c>
      <c r="E160" s="139">
        <v>45401</v>
      </c>
      <c r="F160" s="140">
        <v>0.34375</v>
      </c>
      <c r="G160" s="138" t="s">
        <v>3715</v>
      </c>
      <c r="H160" s="138" t="s">
        <v>3656</v>
      </c>
      <c r="I160" s="138" t="s">
        <v>3724</v>
      </c>
      <c r="J160" s="142" t="s">
        <v>341</v>
      </c>
      <c r="K160" s="142">
        <v>100000</v>
      </c>
      <c r="L160" s="137" t="s">
        <v>20</v>
      </c>
      <c r="M160" s="137" t="s">
        <v>20</v>
      </c>
      <c r="N160" s="137" t="s">
        <v>20</v>
      </c>
      <c r="O160" s="137" t="s">
        <v>20</v>
      </c>
      <c r="P160" s="137" t="s">
        <v>20</v>
      </c>
      <c r="Q160" s="137" t="s">
        <v>20</v>
      </c>
    </row>
    <row r="161" spans="2:17" ht="58.5" x14ac:dyDescent="0.25">
      <c r="B161" s="137">
        <v>159</v>
      </c>
      <c r="C161" s="135" t="s">
        <v>321</v>
      </c>
      <c r="D161" s="138" t="s">
        <v>3654</v>
      </c>
      <c r="E161" s="139">
        <v>45401</v>
      </c>
      <c r="F161" s="140">
        <v>0.40625</v>
      </c>
      <c r="G161" s="138" t="s">
        <v>3896</v>
      </c>
      <c r="H161" s="138" t="s">
        <v>3656</v>
      </c>
      <c r="I161" s="138" t="s">
        <v>3897</v>
      </c>
      <c r="J161" s="142">
        <v>1000</v>
      </c>
      <c r="K161" s="142">
        <v>999000</v>
      </c>
      <c r="L161" s="137" t="s">
        <v>20</v>
      </c>
      <c r="M161" s="137" t="s">
        <v>20</v>
      </c>
      <c r="N161" s="137" t="s">
        <v>20</v>
      </c>
      <c r="O161" s="137" t="s">
        <v>20</v>
      </c>
      <c r="P161" s="137" t="s">
        <v>20</v>
      </c>
      <c r="Q161" s="137" t="s">
        <v>20</v>
      </c>
    </row>
    <row r="162" spans="2:17" ht="78" x14ac:dyDescent="0.25">
      <c r="B162" s="137">
        <v>160</v>
      </c>
      <c r="C162" s="135" t="s">
        <v>321</v>
      </c>
      <c r="D162" s="138" t="s">
        <v>3654</v>
      </c>
      <c r="E162" s="139">
        <v>45401</v>
      </c>
      <c r="F162" s="140">
        <v>0.44791666666666669</v>
      </c>
      <c r="G162" s="138" t="s">
        <v>3898</v>
      </c>
      <c r="H162" s="138" t="s">
        <v>3899</v>
      </c>
      <c r="I162" s="138" t="s">
        <v>3900</v>
      </c>
      <c r="J162" s="142">
        <v>50000</v>
      </c>
      <c r="K162" s="142">
        <v>950000</v>
      </c>
      <c r="L162" s="137" t="s">
        <v>20</v>
      </c>
      <c r="M162" s="137" t="s">
        <v>20</v>
      </c>
      <c r="N162" s="137" t="s">
        <v>20</v>
      </c>
      <c r="O162" s="137" t="s">
        <v>20</v>
      </c>
      <c r="P162" s="137" t="s">
        <v>20</v>
      </c>
      <c r="Q162" s="137" t="s">
        <v>20</v>
      </c>
    </row>
    <row r="163" spans="2:17" ht="39" x14ac:dyDescent="0.25">
      <c r="B163" s="137">
        <v>161</v>
      </c>
      <c r="C163" s="135" t="s">
        <v>321</v>
      </c>
      <c r="D163" s="138" t="s">
        <v>3654</v>
      </c>
      <c r="E163" s="139">
        <v>45401</v>
      </c>
      <c r="F163" s="140">
        <v>0.49722222222222223</v>
      </c>
      <c r="G163" s="138" t="s">
        <v>3901</v>
      </c>
      <c r="H163" s="138" t="s">
        <v>3902</v>
      </c>
      <c r="I163" s="138" t="s">
        <v>3903</v>
      </c>
      <c r="J163" s="142">
        <v>10000</v>
      </c>
      <c r="K163" s="142">
        <v>990000</v>
      </c>
      <c r="L163" s="137" t="s">
        <v>20</v>
      </c>
      <c r="M163" s="137" t="s">
        <v>20</v>
      </c>
      <c r="N163" s="137" t="s">
        <v>20</v>
      </c>
      <c r="O163" s="137" t="s">
        <v>20</v>
      </c>
      <c r="P163" s="137" t="s">
        <v>20</v>
      </c>
      <c r="Q163" s="137" t="s">
        <v>20</v>
      </c>
    </row>
    <row r="164" spans="2:17" ht="58.5" x14ac:dyDescent="0.25">
      <c r="B164" s="137">
        <v>162</v>
      </c>
      <c r="C164" s="135" t="s">
        <v>321</v>
      </c>
      <c r="D164" s="138" t="s">
        <v>3654</v>
      </c>
      <c r="E164" s="139">
        <v>45401</v>
      </c>
      <c r="F164" s="140">
        <v>0.53472222222222221</v>
      </c>
      <c r="G164" s="138" t="s">
        <v>3904</v>
      </c>
      <c r="H164" s="138" t="s">
        <v>3889</v>
      </c>
      <c r="I164" s="138" t="s">
        <v>3905</v>
      </c>
      <c r="J164" s="142">
        <v>30000</v>
      </c>
      <c r="K164" s="142">
        <v>970000</v>
      </c>
      <c r="L164" s="137" t="s">
        <v>20</v>
      </c>
      <c r="M164" s="137" t="s">
        <v>20</v>
      </c>
      <c r="N164" s="137" t="s">
        <v>20</v>
      </c>
      <c r="O164" s="137" t="s">
        <v>20</v>
      </c>
      <c r="P164" s="137" t="s">
        <v>20</v>
      </c>
      <c r="Q164" s="137" t="s">
        <v>20</v>
      </c>
    </row>
    <row r="165" spans="2:17" ht="39" x14ac:dyDescent="0.25">
      <c r="B165" s="137">
        <v>163</v>
      </c>
      <c r="C165" s="135" t="s">
        <v>321</v>
      </c>
      <c r="D165" s="138" t="s">
        <v>3654</v>
      </c>
      <c r="E165" s="139">
        <v>45401</v>
      </c>
      <c r="F165" s="140">
        <v>0.99722222222222223</v>
      </c>
      <c r="G165" s="138" t="s">
        <v>3906</v>
      </c>
      <c r="H165" s="138" t="s">
        <v>3902</v>
      </c>
      <c r="I165" s="138" t="s">
        <v>3863</v>
      </c>
      <c r="J165" s="142">
        <v>250000</v>
      </c>
      <c r="K165" s="142">
        <v>4750000</v>
      </c>
      <c r="L165" s="137" t="s">
        <v>20</v>
      </c>
      <c r="M165" s="137" t="s">
        <v>20</v>
      </c>
      <c r="N165" s="137" t="s">
        <v>20</v>
      </c>
      <c r="O165" s="137" t="s">
        <v>20</v>
      </c>
      <c r="P165" s="137" t="s">
        <v>20</v>
      </c>
      <c r="Q165" s="137" t="s">
        <v>20</v>
      </c>
    </row>
    <row r="166" spans="2:17" ht="58.5" x14ac:dyDescent="0.25">
      <c r="B166" s="137">
        <v>164</v>
      </c>
      <c r="C166" s="135" t="s">
        <v>321</v>
      </c>
      <c r="D166" s="138" t="s">
        <v>3654</v>
      </c>
      <c r="E166" s="139">
        <v>45402</v>
      </c>
      <c r="F166" s="140">
        <v>0.51180555555555551</v>
      </c>
      <c r="G166" s="138" t="s">
        <v>3907</v>
      </c>
      <c r="H166" s="138" t="s">
        <v>3908</v>
      </c>
      <c r="I166" s="138" t="s">
        <v>3909</v>
      </c>
      <c r="J166" s="142">
        <v>1000</v>
      </c>
      <c r="K166" s="142">
        <v>999000</v>
      </c>
      <c r="L166" s="137" t="s">
        <v>20</v>
      </c>
      <c r="M166" s="137" t="s">
        <v>20</v>
      </c>
      <c r="N166" s="137" t="s">
        <v>20</v>
      </c>
      <c r="O166" s="137" t="s">
        <v>20</v>
      </c>
      <c r="P166" s="137" t="s">
        <v>20</v>
      </c>
      <c r="Q166" s="137" t="s">
        <v>20</v>
      </c>
    </row>
    <row r="167" spans="2:17" ht="58.5" x14ac:dyDescent="0.25">
      <c r="B167" s="137">
        <v>165</v>
      </c>
      <c r="C167" s="135" t="s">
        <v>321</v>
      </c>
      <c r="D167" s="138" t="s">
        <v>3654</v>
      </c>
      <c r="E167" s="139">
        <v>45402</v>
      </c>
      <c r="F167" s="140">
        <v>0.68472222222222223</v>
      </c>
      <c r="G167" s="138" t="s">
        <v>3910</v>
      </c>
      <c r="H167" s="138" t="s">
        <v>3656</v>
      </c>
      <c r="I167" s="138" t="s">
        <v>3911</v>
      </c>
      <c r="J167" s="142">
        <v>1000</v>
      </c>
      <c r="K167" s="142">
        <v>999000</v>
      </c>
      <c r="L167" s="137" t="s">
        <v>20</v>
      </c>
      <c r="M167" s="137" t="s">
        <v>20</v>
      </c>
      <c r="N167" s="137" t="s">
        <v>20</v>
      </c>
      <c r="O167" s="137" t="s">
        <v>20</v>
      </c>
      <c r="P167" s="137" t="s">
        <v>20</v>
      </c>
      <c r="Q167" s="137" t="s">
        <v>20</v>
      </c>
    </row>
    <row r="168" spans="2:17" ht="58.5" x14ac:dyDescent="0.25">
      <c r="B168" s="137">
        <v>166</v>
      </c>
      <c r="C168" s="135" t="s">
        <v>321</v>
      </c>
      <c r="D168" s="138" t="s">
        <v>3654</v>
      </c>
      <c r="E168" s="139">
        <v>45403</v>
      </c>
      <c r="F168" s="140">
        <v>0.47222222222222221</v>
      </c>
      <c r="G168" s="138" t="s">
        <v>3912</v>
      </c>
      <c r="H168" s="138" t="s">
        <v>3656</v>
      </c>
      <c r="I168" s="138" t="s">
        <v>3913</v>
      </c>
      <c r="J168" s="142">
        <v>1000</v>
      </c>
      <c r="K168" s="142">
        <v>999000</v>
      </c>
      <c r="L168" s="137" t="s">
        <v>20</v>
      </c>
      <c r="M168" s="137" t="s">
        <v>20</v>
      </c>
      <c r="N168" s="137" t="s">
        <v>20</v>
      </c>
      <c r="O168" s="137" t="s">
        <v>20</v>
      </c>
      <c r="P168" s="137" t="s">
        <v>20</v>
      </c>
      <c r="Q168" s="137" t="s">
        <v>20</v>
      </c>
    </row>
    <row r="169" spans="2:17" ht="58.5" x14ac:dyDescent="0.25">
      <c r="B169" s="137">
        <v>167</v>
      </c>
      <c r="C169" s="135" t="s">
        <v>321</v>
      </c>
      <c r="D169" s="138" t="s">
        <v>3654</v>
      </c>
      <c r="E169" s="139">
        <v>45403</v>
      </c>
      <c r="F169" s="140">
        <v>0.79513888888888884</v>
      </c>
      <c r="G169" s="138" t="s">
        <v>3914</v>
      </c>
      <c r="H169" s="138" t="s">
        <v>3656</v>
      </c>
      <c r="I169" s="138" t="s">
        <v>3911</v>
      </c>
      <c r="J169" s="142">
        <v>1000</v>
      </c>
      <c r="K169" s="142">
        <v>999000</v>
      </c>
      <c r="L169" s="137" t="s">
        <v>20</v>
      </c>
      <c r="M169" s="137" t="s">
        <v>20</v>
      </c>
      <c r="N169" s="137" t="s">
        <v>20</v>
      </c>
      <c r="O169" s="137" t="s">
        <v>20</v>
      </c>
      <c r="P169" s="137" t="s">
        <v>20</v>
      </c>
      <c r="Q169" s="137" t="s">
        <v>20</v>
      </c>
    </row>
    <row r="170" spans="2:17" ht="58.5" x14ac:dyDescent="0.25">
      <c r="B170" s="137">
        <v>168</v>
      </c>
      <c r="C170" s="135" t="s">
        <v>321</v>
      </c>
      <c r="D170" s="138" t="s">
        <v>3654</v>
      </c>
      <c r="E170" s="139">
        <v>45403</v>
      </c>
      <c r="F170" s="140">
        <v>0.80972222222222223</v>
      </c>
      <c r="G170" s="138" t="s">
        <v>3915</v>
      </c>
      <c r="H170" s="138" t="s">
        <v>3656</v>
      </c>
      <c r="I170" s="138" t="s">
        <v>3911</v>
      </c>
      <c r="J170" s="142" t="s">
        <v>341</v>
      </c>
      <c r="K170" s="142" t="s">
        <v>341</v>
      </c>
      <c r="L170" s="137" t="s">
        <v>20</v>
      </c>
      <c r="M170" s="137" t="s">
        <v>20</v>
      </c>
      <c r="N170" s="137" t="s">
        <v>20</v>
      </c>
      <c r="O170" s="137" t="s">
        <v>20</v>
      </c>
      <c r="P170" s="137" t="s">
        <v>20</v>
      </c>
      <c r="Q170" s="137" t="s">
        <v>20</v>
      </c>
    </row>
    <row r="171" spans="2:17" ht="58.5" x14ac:dyDescent="0.25">
      <c r="B171" s="137">
        <v>169</v>
      </c>
      <c r="C171" s="135" t="s">
        <v>321</v>
      </c>
      <c r="D171" s="138" t="s">
        <v>3654</v>
      </c>
      <c r="E171" s="139">
        <v>45403</v>
      </c>
      <c r="F171" s="140">
        <v>0.87152777777777779</v>
      </c>
      <c r="G171" s="138" t="s">
        <v>3715</v>
      </c>
      <c r="H171" s="138" t="s">
        <v>3656</v>
      </c>
      <c r="I171" s="138" t="s">
        <v>3724</v>
      </c>
      <c r="J171" s="142" t="s">
        <v>341</v>
      </c>
      <c r="K171" s="142">
        <v>100000</v>
      </c>
      <c r="L171" s="137" t="s">
        <v>20</v>
      </c>
      <c r="M171" s="137" t="s">
        <v>20</v>
      </c>
      <c r="N171" s="137" t="s">
        <v>20</v>
      </c>
      <c r="O171" s="137" t="s">
        <v>20</v>
      </c>
      <c r="P171" s="137" t="s">
        <v>20</v>
      </c>
      <c r="Q171" s="137" t="s">
        <v>20</v>
      </c>
    </row>
    <row r="172" spans="2:17" ht="78" x14ac:dyDescent="0.25">
      <c r="B172" s="137">
        <v>170</v>
      </c>
      <c r="C172" s="135" t="s">
        <v>321</v>
      </c>
      <c r="D172" s="138" t="s">
        <v>3654</v>
      </c>
      <c r="E172" s="139">
        <v>45406</v>
      </c>
      <c r="F172" s="140">
        <v>0.57847222222222228</v>
      </c>
      <c r="G172" s="138" t="s">
        <v>3916</v>
      </c>
      <c r="H172" s="138" t="s">
        <v>3899</v>
      </c>
      <c r="I172" s="138" t="s">
        <v>3917</v>
      </c>
      <c r="J172" s="142">
        <v>450000</v>
      </c>
      <c r="K172" s="142">
        <v>550000</v>
      </c>
      <c r="L172" s="137" t="s">
        <v>20</v>
      </c>
      <c r="M172" s="137" t="s">
        <v>20</v>
      </c>
      <c r="N172" s="137" t="s">
        <v>20</v>
      </c>
      <c r="O172" s="137" t="s">
        <v>20</v>
      </c>
      <c r="P172" s="137" t="s">
        <v>20</v>
      </c>
      <c r="Q172" s="137" t="s">
        <v>20</v>
      </c>
    </row>
    <row r="173" spans="2:17" ht="58.5" x14ac:dyDescent="0.25">
      <c r="B173" s="137">
        <v>171</v>
      </c>
      <c r="C173" s="135" t="s">
        <v>321</v>
      </c>
      <c r="D173" s="138" t="s">
        <v>3654</v>
      </c>
      <c r="E173" s="139">
        <v>45406</v>
      </c>
      <c r="F173" s="140">
        <v>0.90277777777777779</v>
      </c>
      <c r="G173" s="138" t="s">
        <v>3918</v>
      </c>
      <c r="H173" s="138" t="s">
        <v>3656</v>
      </c>
      <c r="I173" s="138" t="s">
        <v>3662</v>
      </c>
      <c r="J173" s="142" t="s">
        <v>341</v>
      </c>
      <c r="K173" s="142">
        <v>50000</v>
      </c>
      <c r="L173" s="137" t="s">
        <v>20</v>
      </c>
      <c r="M173" s="137" t="s">
        <v>20</v>
      </c>
      <c r="N173" s="137" t="s">
        <v>20</v>
      </c>
      <c r="O173" s="137" t="s">
        <v>20</v>
      </c>
      <c r="P173" s="137" t="s">
        <v>20</v>
      </c>
      <c r="Q173" s="137" t="s">
        <v>20</v>
      </c>
    </row>
    <row r="174" spans="2:17" ht="58.5" x14ac:dyDescent="0.25">
      <c r="B174" s="137">
        <v>172</v>
      </c>
      <c r="C174" s="135" t="s">
        <v>321</v>
      </c>
      <c r="D174" s="138" t="s">
        <v>3654</v>
      </c>
      <c r="E174" s="139">
        <v>45407</v>
      </c>
      <c r="F174" s="140">
        <v>0.57638888888888884</v>
      </c>
      <c r="G174" s="138" t="s">
        <v>3919</v>
      </c>
      <c r="H174" s="138" t="s">
        <v>3656</v>
      </c>
      <c r="I174" s="138" t="s">
        <v>3874</v>
      </c>
      <c r="J174" s="142">
        <v>30000</v>
      </c>
      <c r="K174" s="142">
        <v>970000</v>
      </c>
      <c r="L174" s="137" t="s">
        <v>20</v>
      </c>
      <c r="M174" s="137" t="s">
        <v>20</v>
      </c>
      <c r="N174" s="137" t="s">
        <v>20</v>
      </c>
      <c r="O174" s="137" t="s">
        <v>20</v>
      </c>
      <c r="P174" s="137" t="s">
        <v>20</v>
      </c>
      <c r="Q174" s="137" t="s">
        <v>20</v>
      </c>
    </row>
    <row r="175" spans="2:17" ht="39" x14ac:dyDescent="0.25">
      <c r="B175" s="137">
        <v>173</v>
      </c>
      <c r="C175" s="135" t="s">
        <v>321</v>
      </c>
      <c r="D175" s="138" t="s">
        <v>3654</v>
      </c>
      <c r="E175" s="139">
        <v>45407</v>
      </c>
      <c r="F175" s="140">
        <v>0.87708333333333333</v>
      </c>
      <c r="G175" s="138" t="s">
        <v>3920</v>
      </c>
      <c r="H175" s="138" t="s">
        <v>3921</v>
      </c>
      <c r="I175" s="138" t="s">
        <v>3922</v>
      </c>
      <c r="J175" s="142">
        <v>10000</v>
      </c>
      <c r="K175" s="142">
        <v>490000</v>
      </c>
      <c r="L175" s="137" t="s">
        <v>20</v>
      </c>
      <c r="M175" s="137" t="s">
        <v>20</v>
      </c>
      <c r="N175" s="137" t="s">
        <v>20</v>
      </c>
      <c r="O175" s="137" t="s">
        <v>20</v>
      </c>
      <c r="P175" s="137" t="s">
        <v>20</v>
      </c>
      <c r="Q175" s="137" t="s">
        <v>20</v>
      </c>
    </row>
    <row r="176" spans="2:17" ht="58.5" x14ac:dyDescent="0.25">
      <c r="B176" s="137">
        <v>174</v>
      </c>
      <c r="C176" s="135" t="s">
        <v>321</v>
      </c>
      <c r="D176" s="138" t="s">
        <v>3654</v>
      </c>
      <c r="E176" s="139">
        <v>45408</v>
      </c>
      <c r="F176" s="140">
        <v>0.17847222222222223</v>
      </c>
      <c r="G176" s="138" t="s">
        <v>3923</v>
      </c>
      <c r="H176" s="138" t="s">
        <v>3656</v>
      </c>
      <c r="I176" s="138" t="s">
        <v>3924</v>
      </c>
      <c r="J176" s="142">
        <v>2000</v>
      </c>
      <c r="K176" s="142">
        <v>8000</v>
      </c>
      <c r="L176" s="137" t="s">
        <v>20</v>
      </c>
      <c r="M176" s="137" t="s">
        <v>20</v>
      </c>
      <c r="N176" s="137" t="s">
        <v>20</v>
      </c>
      <c r="O176" s="137" t="s">
        <v>20</v>
      </c>
      <c r="P176" s="137" t="s">
        <v>20</v>
      </c>
      <c r="Q176" s="137" t="s">
        <v>20</v>
      </c>
    </row>
    <row r="177" spans="2:17" ht="58.5" x14ac:dyDescent="0.25">
      <c r="B177" s="137">
        <v>175</v>
      </c>
      <c r="C177" s="135" t="s">
        <v>321</v>
      </c>
      <c r="D177" s="138" t="s">
        <v>3654</v>
      </c>
      <c r="E177" s="139">
        <v>45408</v>
      </c>
      <c r="F177" s="140">
        <v>0.50902777777777775</v>
      </c>
      <c r="G177" s="138" t="s">
        <v>3925</v>
      </c>
      <c r="H177" s="138" t="s">
        <v>3656</v>
      </c>
      <c r="I177" s="138" t="s">
        <v>3662</v>
      </c>
      <c r="J177" s="142" t="s">
        <v>341</v>
      </c>
      <c r="K177" s="142">
        <v>100000</v>
      </c>
      <c r="L177" s="137" t="s">
        <v>20</v>
      </c>
      <c r="M177" s="137" t="s">
        <v>20</v>
      </c>
      <c r="N177" s="137" t="s">
        <v>20</v>
      </c>
      <c r="O177" s="137" t="s">
        <v>20</v>
      </c>
      <c r="P177" s="137" t="s">
        <v>20</v>
      </c>
      <c r="Q177" s="137" t="s">
        <v>20</v>
      </c>
    </row>
    <row r="178" spans="2:17" ht="39" x14ac:dyDescent="0.25">
      <c r="B178" s="137">
        <v>176</v>
      </c>
      <c r="C178" s="135" t="s">
        <v>321</v>
      </c>
      <c r="D178" s="138" t="s">
        <v>3654</v>
      </c>
      <c r="E178" s="139">
        <v>45408</v>
      </c>
      <c r="F178" s="140">
        <v>0.72847222222222219</v>
      </c>
      <c r="G178" s="138" t="s">
        <v>3926</v>
      </c>
      <c r="H178" s="138" t="s">
        <v>3927</v>
      </c>
      <c r="I178" s="138" t="s">
        <v>3662</v>
      </c>
      <c r="J178" s="142" t="s">
        <v>341</v>
      </c>
      <c r="K178" s="142" t="s">
        <v>341</v>
      </c>
      <c r="L178" s="137" t="s">
        <v>20</v>
      </c>
      <c r="M178" s="137" t="s">
        <v>20</v>
      </c>
      <c r="N178" s="137" t="s">
        <v>20</v>
      </c>
      <c r="O178" s="137" t="s">
        <v>20</v>
      </c>
      <c r="P178" s="137" t="s">
        <v>20</v>
      </c>
      <c r="Q178" s="137" t="s">
        <v>20</v>
      </c>
    </row>
    <row r="179" spans="2:17" ht="58.5" x14ac:dyDescent="0.25">
      <c r="B179" s="137">
        <v>177</v>
      </c>
      <c r="C179" s="135" t="s">
        <v>321</v>
      </c>
      <c r="D179" s="138" t="s">
        <v>3654</v>
      </c>
      <c r="E179" s="139">
        <v>45408</v>
      </c>
      <c r="F179" s="140">
        <v>0.96111111111111114</v>
      </c>
      <c r="G179" s="138" t="s">
        <v>3928</v>
      </c>
      <c r="H179" s="138" t="s">
        <v>3656</v>
      </c>
      <c r="I179" s="138" t="s">
        <v>3929</v>
      </c>
      <c r="J179" s="142">
        <v>1000</v>
      </c>
      <c r="K179" s="142">
        <v>9000</v>
      </c>
      <c r="L179" s="137" t="s">
        <v>20</v>
      </c>
      <c r="M179" s="137" t="s">
        <v>20</v>
      </c>
      <c r="N179" s="137" t="s">
        <v>20</v>
      </c>
      <c r="O179" s="137" t="s">
        <v>20</v>
      </c>
      <c r="P179" s="137" t="s">
        <v>20</v>
      </c>
      <c r="Q179" s="137" t="s">
        <v>20</v>
      </c>
    </row>
    <row r="180" spans="2:17" ht="39" x14ac:dyDescent="0.25">
      <c r="B180" s="137">
        <v>178</v>
      </c>
      <c r="C180" s="135" t="s">
        <v>321</v>
      </c>
      <c r="D180" s="138" t="s">
        <v>3654</v>
      </c>
      <c r="E180" s="139">
        <v>45410</v>
      </c>
      <c r="F180" s="140">
        <v>0.47152777777777777</v>
      </c>
      <c r="G180" s="138" t="s">
        <v>3930</v>
      </c>
      <c r="H180" s="138" t="s">
        <v>3931</v>
      </c>
      <c r="I180" s="138" t="s">
        <v>3932</v>
      </c>
      <c r="J180" s="142" t="s">
        <v>341</v>
      </c>
      <c r="K180" s="142" t="s">
        <v>341</v>
      </c>
      <c r="L180" s="137" t="s">
        <v>20</v>
      </c>
      <c r="M180" s="137" t="s">
        <v>20</v>
      </c>
      <c r="N180" s="137" t="s">
        <v>20</v>
      </c>
      <c r="O180" s="137" t="s">
        <v>20</v>
      </c>
      <c r="P180" s="137" t="s">
        <v>20</v>
      </c>
      <c r="Q180" s="137" t="s">
        <v>20</v>
      </c>
    </row>
    <row r="181" spans="2:17" ht="58.5" x14ac:dyDescent="0.25">
      <c r="B181" s="137">
        <v>179</v>
      </c>
      <c r="C181" s="135" t="s">
        <v>321</v>
      </c>
      <c r="D181" s="138" t="s">
        <v>3654</v>
      </c>
      <c r="E181" s="139">
        <v>45410</v>
      </c>
      <c r="F181" s="140">
        <v>0.51736111111111116</v>
      </c>
      <c r="G181" s="138" t="s">
        <v>3933</v>
      </c>
      <c r="H181" s="138" t="s">
        <v>3934</v>
      </c>
      <c r="I181" s="138" t="s">
        <v>3935</v>
      </c>
      <c r="J181" s="142">
        <v>150000</v>
      </c>
      <c r="K181" s="142">
        <v>4985000</v>
      </c>
      <c r="L181" s="137" t="s">
        <v>20</v>
      </c>
      <c r="M181" s="137" t="s">
        <v>20</v>
      </c>
      <c r="N181" s="137" t="s">
        <v>20</v>
      </c>
      <c r="O181" s="137" t="s">
        <v>20</v>
      </c>
      <c r="P181" s="137" t="s">
        <v>20</v>
      </c>
      <c r="Q181" s="137" t="s">
        <v>20</v>
      </c>
    </row>
    <row r="182" spans="2:17" ht="58.5" x14ac:dyDescent="0.25">
      <c r="B182" s="137">
        <v>180</v>
      </c>
      <c r="C182" s="135" t="s">
        <v>321</v>
      </c>
      <c r="D182" s="138" t="s">
        <v>3654</v>
      </c>
      <c r="E182" s="139">
        <v>45410</v>
      </c>
      <c r="F182" s="140">
        <v>0.7319444444444444</v>
      </c>
      <c r="G182" s="138" t="s">
        <v>3936</v>
      </c>
      <c r="H182" s="138" t="s">
        <v>3656</v>
      </c>
      <c r="I182" s="138" t="s">
        <v>3937</v>
      </c>
      <c r="J182" s="142">
        <v>50000</v>
      </c>
      <c r="K182" s="142">
        <v>950000</v>
      </c>
      <c r="L182" s="137" t="s">
        <v>20</v>
      </c>
      <c r="M182" s="137" t="s">
        <v>20</v>
      </c>
      <c r="N182" s="137" t="s">
        <v>20</v>
      </c>
      <c r="O182" s="137" t="s">
        <v>20</v>
      </c>
      <c r="P182" s="137" t="s">
        <v>20</v>
      </c>
      <c r="Q182" s="137" t="s">
        <v>20</v>
      </c>
    </row>
    <row r="183" spans="2:17" ht="58.5" x14ac:dyDescent="0.25">
      <c r="B183" s="137">
        <v>181</v>
      </c>
      <c r="C183" s="135" t="s">
        <v>321</v>
      </c>
      <c r="D183" s="138" t="s">
        <v>3654</v>
      </c>
      <c r="E183" s="139">
        <v>45411</v>
      </c>
      <c r="F183" s="140">
        <v>0.93819444444444444</v>
      </c>
      <c r="G183" s="138" t="s">
        <v>3938</v>
      </c>
      <c r="H183" s="138" t="s">
        <v>3656</v>
      </c>
      <c r="I183" s="138" t="s">
        <v>3939</v>
      </c>
      <c r="J183" s="142">
        <v>50000</v>
      </c>
      <c r="K183" s="142">
        <v>950000</v>
      </c>
      <c r="L183" s="137" t="s">
        <v>20</v>
      </c>
      <c r="M183" s="137" t="s">
        <v>20</v>
      </c>
      <c r="N183" s="137" t="s">
        <v>20</v>
      </c>
      <c r="O183" s="137" t="s">
        <v>20</v>
      </c>
      <c r="P183" s="137" t="s">
        <v>20</v>
      </c>
      <c r="Q183" s="137" t="s">
        <v>20</v>
      </c>
    </row>
    <row r="184" spans="2:17" ht="58.5" x14ac:dyDescent="0.25">
      <c r="B184" s="137">
        <v>182</v>
      </c>
      <c r="C184" s="135" t="s">
        <v>321</v>
      </c>
      <c r="D184" s="138" t="s">
        <v>3654</v>
      </c>
      <c r="E184" s="139">
        <v>45412</v>
      </c>
      <c r="F184" s="140">
        <v>0.8256944444444444</v>
      </c>
      <c r="G184" s="138" t="s">
        <v>3940</v>
      </c>
      <c r="H184" s="138" t="s">
        <v>3941</v>
      </c>
      <c r="I184" s="138" t="s">
        <v>3872</v>
      </c>
      <c r="J184" s="142">
        <v>80000</v>
      </c>
      <c r="K184" s="142">
        <v>920000</v>
      </c>
      <c r="L184" s="137" t="s">
        <v>20</v>
      </c>
      <c r="M184" s="137" t="s">
        <v>20</v>
      </c>
      <c r="N184" s="137" t="s">
        <v>20</v>
      </c>
      <c r="O184" s="137" t="s">
        <v>20</v>
      </c>
      <c r="P184" s="137" t="s">
        <v>20</v>
      </c>
      <c r="Q184" s="137" t="s">
        <v>20</v>
      </c>
    </row>
    <row r="185" spans="2:17" ht="58.5" x14ac:dyDescent="0.25">
      <c r="B185" s="137">
        <v>183</v>
      </c>
      <c r="C185" s="135" t="s">
        <v>321</v>
      </c>
      <c r="D185" s="138" t="s">
        <v>3721</v>
      </c>
      <c r="E185" s="139">
        <v>45384</v>
      </c>
      <c r="F185" s="140">
        <v>0.54722222222222228</v>
      </c>
      <c r="G185" s="138" t="s">
        <v>3942</v>
      </c>
      <c r="H185" s="141" t="s">
        <v>3943</v>
      </c>
      <c r="I185" s="138" t="s">
        <v>3863</v>
      </c>
      <c r="J185" s="142">
        <v>25000</v>
      </c>
      <c r="K185" s="142">
        <v>475000</v>
      </c>
      <c r="L185" s="137" t="s">
        <v>20</v>
      </c>
      <c r="M185" s="141">
        <v>1</v>
      </c>
      <c r="N185" s="141" t="s">
        <v>20</v>
      </c>
      <c r="O185" s="141">
        <v>2</v>
      </c>
      <c r="P185" s="141" t="s">
        <v>20</v>
      </c>
      <c r="Q185" s="141">
        <v>2</v>
      </c>
    </row>
    <row r="186" spans="2:17" ht="58.5" x14ac:dyDescent="0.25">
      <c r="B186" s="137">
        <v>184</v>
      </c>
      <c r="C186" s="135" t="s">
        <v>321</v>
      </c>
      <c r="D186" s="138" t="s">
        <v>3721</v>
      </c>
      <c r="E186" s="139">
        <v>45392</v>
      </c>
      <c r="F186" s="140">
        <v>0.69513888888888886</v>
      </c>
      <c r="G186" s="138" t="s">
        <v>3944</v>
      </c>
      <c r="H186" s="141" t="s">
        <v>3656</v>
      </c>
      <c r="I186" s="138" t="s">
        <v>3945</v>
      </c>
      <c r="J186" s="142">
        <v>4000</v>
      </c>
      <c r="K186" s="142">
        <v>96000</v>
      </c>
      <c r="L186" s="137" t="s">
        <v>20</v>
      </c>
      <c r="M186" s="137" t="s">
        <v>20</v>
      </c>
      <c r="N186" s="137" t="s">
        <v>20</v>
      </c>
      <c r="O186" s="137" t="s">
        <v>20</v>
      </c>
      <c r="P186" s="137" t="s">
        <v>20</v>
      </c>
      <c r="Q186" s="137" t="s">
        <v>20</v>
      </c>
    </row>
    <row r="187" spans="2:17" ht="39" x14ac:dyDescent="0.25">
      <c r="B187" s="137">
        <v>185</v>
      </c>
      <c r="C187" s="135" t="s">
        <v>321</v>
      </c>
      <c r="D187" s="138" t="s">
        <v>3721</v>
      </c>
      <c r="E187" s="139">
        <v>45394</v>
      </c>
      <c r="F187" s="140">
        <v>0.45902777777777776</v>
      </c>
      <c r="G187" s="138" t="s">
        <v>3946</v>
      </c>
      <c r="H187" s="141" t="s">
        <v>3947</v>
      </c>
      <c r="I187" s="138" t="s">
        <v>3948</v>
      </c>
      <c r="J187" s="142" t="s">
        <v>341</v>
      </c>
      <c r="K187" s="142">
        <v>200000</v>
      </c>
      <c r="L187" s="137" t="s">
        <v>20</v>
      </c>
      <c r="M187" s="137" t="s">
        <v>20</v>
      </c>
      <c r="N187" s="137" t="s">
        <v>20</v>
      </c>
      <c r="O187" s="137" t="s">
        <v>20</v>
      </c>
      <c r="P187" s="137" t="s">
        <v>20</v>
      </c>
      <c r="Q187" s="137" t="s">
        <v>20</v>
      </c>
    </row>
    <row r="188" spans="2:17" ht="39" x14ac:dyDescent="0.25">
      <c r="B188" s="137">
        <v>186</v>
      </c>
      <c r="C188" s="135" t="s">
        <v>321</v>
      </c>
      <c r="D188" s="138" t="s">
        <v>3721</v>
      </c>
      <c r="E188" s="139">
        <v>45394</v>
      </c>
      <c r="F188" s="140">
        <v>0.51180555555555551</v>
      </c>
      <c r="G188" s="138" t="s">
        <v>3949</v>
      </c>
      <c r="H188" s="138" t="s">
        <v>3950</v>
      </c>
      <c r="I188" s="138" t="s">
        <v>3716</v>
      </c>
      <c r="J188" s="142" t="s">
        <v>341</v>
      </c>
      <c r="K188" s="142">
        <v>200000</v>
      </c>
      <c r="L188" s="137" t="s">
        <v>20</v>
      </c>
      <c r="M188" s="137" t="s">
        <v>20</v>
      </c>
      <c r="N188" s="137" t="s">
        <v>20</v>
      </c>
      <c r="O188" s="137" t="s">
        <v>20</v>
      </c>
      <c r="P188" s="137" t="s">
        <v>20</v>
      </c>
      <c r="Q188" s="137" t="s">
        <v>20</v>
      </c>
    </row>
    <row r="189" spans="2:17" ht="39" x14ac:dyDescent="0.25">
      <c r="B189" s="137">
        <v>187</v>
      </c>
      <c r="C189" s="135" t="s">
        <v>321</v>
      </c>
      <c r="D189" s="138" t="s">
        <v>3721</v>
      </c>
      <c r="E189" s="139">
        <v>45398</v>
      </c>
      <c r="F189" s="140">
        <v>0.39583333333333331</v>
      </c>
      <c r="G189" s="138" t="s">
        <v>3951</v>
      </c>
      <c r="H189" s="138" t="s">
        <v>3952</v>
      </c>
      <c r="I189" s="138" t="s">
        <v>3953</v>
      </c>
      <c r="J189" s="142">
        <v>10000</v>
      </c>
      <c r="K189" s="142">
        <v>990000</v>
      </c>
      <c r="L189" s="137" t="s">
        <v>20</v>
      </c>
      <c r="M189" s="137" t="s">
        <v>20</v>
      </c>
      <c r="N189" s="137" t="s">
        <v>20</v>
      </c>
      <c r="O189" s="137" t="s">
        <v>20</v>
      </c>
      <c r="P189" s="137" t="s">
        <v>20</v>
      </c>
      <c r="Q189" s="137" t="s">
        <v>20</v>
      </c>
    </row>
    <row r="190" spans="2:17" ht="39" x14ac:dyDescent="0.25">
      <c r="B190" s="137">
        <v>188</v>
      </c>
      <c r="C190" s="135" t="s">
        <v>321</v>
      </c>
      <c r="D190" s="138" t="s">
        <v>3721</v>
      </c>
      <c r="E190" s="139">
        <v>45398</v>
      </c>
      <c r="F190" s="140">
        <v>0.60416666666666663</v>
      </c>
      <c r="G190" s="138" t="s">
        <v>3954</v>
      </c>
      <c r="H190" s="138" t="s">
        <v>3955</v>
      </c>
      <c r="I190" s="138" t="s">
        <v>3863</v>
      </c>
      <c r="J190" s="142">
        <v>50000</v>
      </c>
      <c r="K190" s="142">
        <v>450000</v>
      </c>
      <c r="L190" s="137" t="s">
        <v>20</v>
      </c>
      <c r="M190" s="137" t="s">
        <v>20</v>
      </c>
      <c r="N190" s="137" t="s">
        <v>20</v>
      </c>
      <c r="O190" s="137" t="s">
        <v>20</v>
      </c>
      <c r="P190" s="137" t="s">
        <v>20</v>
      </c>
      <c r="Q190" s="137" t="s">
        <v>20</v>
      </c>
    </row>
    <row r="191" spans="2:17" ht="39" x14ac:dyDescent="0.25">
      <c r="B191" s="137">
        <v>189</v>
      </c>
      <c r="C191" s="135" t="s">
        <v>321</v>
      </c>
      <c r="D191" s="138" t="s">
        <v>3721</v>
      </c>
      <c r="E191" s="139">
        <v>45400</v>
      </c>
      <c r="F191" s="140">
        <v>0.50347222222222221</v>
      </c>
      <c r="G191" s="138" t="s">
        <v>3956</v>
      </c>
      <c r="H191" s="138" t="s">
        <v>3950</v>
      </c>
      <c r="I191" s="138" t="s">
        <v>3662</v>
      </c>
      <c r="J191" s="142" t="s">
        <v>341</v>
      </c>
      <c r="K191" s="142">
        <v>5000000</v>
      </c>
      <c r="L191" s="137" t="s">
        <v>20</v>
      </c>
      <c r="M191" s="137" t="s">
        <v>20</v>
      </c>
      <c r="N191" s="137" t="s">
        <v>20</v>
      </c>
      <c r="O191" s="137" t="s">
        <v>20</v>
      </c>
      <c r="P191" s="137" t="s">
        <v>20</v>
      </c>
      <c r="Q191" s="137" t="s">
        <v>20</v>
      </c>
    </row>
    <row r="192" spans="2:17" ht="58.5" x14ac:dyDescent="0.25">
      <c r="B192" s="137">
        <v>190</v>
      </c>
      <c r="C192" s="135" t="s">
        <v>321</v>
      </c>
      <c r="D192" s="138" t="s">
        <v>3721</v>
      </c>
      <c r="E192" s="139">
        <v>45400</v>
      </c>
      <c r="F192" s="140">
        <v>0.76736111111111116</v>
      </c>
      <c r="G192" s="138" t="s">
        <v>3957</v>
      </c>
      <c r="H192" s="138" t="s">
        <v>3950</v>
      </c>
      <c r="I192" s="138" t="s">
        <v>3958</v>
      </c>
      <c r="J192" s="142">
        <v>150000</v>
      </c>
      <c r="K192" s="142">
        <v>650000</v>
      </c>
      <c r="L192" s="137" t="s">
        <v>20</v>
      </c>
      <c r="M192" s="137" t="s">
        <v>20</v>
      </c>
      <c r="N192" s="137" t="s">
        <v>20</v>
      </c>
      <c r="O192" s="137" t="s">
        <v>20</v>
      </c>
      <c r="P192" s="137" t="s">
        <v>20</v>
      </c>
      <c r="Q192" s="137" t="s">
        <v>20</v>
      </c>
    </row>
    <row r="193" spans="2:17" ht="58.5" x14ac:dyDescent="0.25">
      <c r="B193" s="137">
        <v>191</v>
      </c>
      <c r="C193" s="135" t="s">
        <v>321</v>
      </c>
      <c r="D193" s="138" t="s">
        <v>3721</v>
      </c>
      <c r="E193" s="139">
        <v>45401</v>
      </c>
      <c r="F193" s="140">
        <v>0.56597222222222221</v>
      </c>
      <c r="G193" s="138" t="s">
        <v>3959</v>
      </c>
      <c r="H193" s="138" t="s">
        <v>3902</v>
      </c>
      <c r="I193" s="138" t="s">
        <v>3917</v>
      </c>
      <c r="J193" s="142">
        <v>1000</v>
      </c>
      <c r="K193" s="142">
        <v>499000</v>
      </c>
      <c r="L193" s="137" t="s">
        <v>20</v>
      </c>
      <c r="M193" s="137" t="s">
        <v>20</v>
      </c>
      <c r="N193" s="137" t="s">
        <v>20</v>
      </c>
      <c r="O193" s="137" t="s">
        <v>20</v>
      </c>
      <c r="P193" s="137" t="s">
        <v>20</v>
      </c>
      <c r="Q193" s="137" t="s">
        <v>20</v>
      </c>
    </row>
    <row r="194" spans="2:17" ht="58.5" x14ac:dyDescent="0.25">
      <c r="B194" s="137">
        <v>192</v>
      </c>
      <c r="C194" s="135" t="s">
        <v>321</v>
      </c>
      <c r="D194" s="138" t="s">
        <v>3721</v>
      </c>
      <c r="E194" s="139">
        <v>45404</v>
      </c>
      <c r="F194" s="140">
        <v>0.90069444444444446</v>
      </c>
      <c r="G194" s="138" t="s">
        <v>3960</v>
      </c>
      <c r="H194" s="138" t="s">
        <v>3961</v>
      </c>
      <c r="I194" s="138" t="s">
        <v>3890</v>
      </c>
      <c r="J194" s="142">
        <v>100000</v>
      </c>
      <c r="K194" s="142">
        <v>900000</v>
      </c>
      <c r="L194" s="137" t="s">
        <v>20</v>
      </c>
      <c r="M194" s="137" t="s">
        <v>20</v>
      </c>
      <c r="N194" s="137" t="s">
        <v>20</v>
      </c>
      <c r="O194" s="137" t="s">
        <v>20</v>
      </c>
      <c r="P194" s="137" t="s">
        <v>20</v>
      </c>
      <c r="Q194" s="137" t="s">
        <v>20</v>
      </c>
    </row>
    <row r="195" spans="2:17" ht="58.5" x14ac:dyDescent="0.25">
      <c r="B195" s="137">
        <v>193</v>
      </c>
      <c r="C195" s="135" t="s">
        <v>321</v>
      </c>
      <c r="D195" s="138" t="s">
        <v>3721</v>
      </c>
      <c r="E195" s="139">
        <v>45404</v>
      </c>
      <c r="F195" s="140">
        <v>0.98055555555555551</v>
      </c>
      <c r="G195" s="138" t="s">
        <v>3962</v>
      </c>
      <c r="H195" s="138" t="s">
        <v>3656</v>
      </c>
      <c r="I195" s="138" t="s">
        <v>3963</v>
      </c>
      <c r="J195" s="142">
        <v>30000</v>
      </c>
      <c r="K195" s="142">
        <v>470000</v>
      </c>
      <c r="L195" s="137" t="s">
        <v>20</v>
      </c>
      <c r="M195" s="137" t="s">
        <v>20</v>
      </c>
      <c r="N195" s="137" t="s">
        <v>20</v>
      </c>
      <c r="O195" s="137" t="s">
        <v>20</v>
      </c>
      <c r="P195" s="137" t="s">
        <v>20</v>
      </c>
      <c r="Q195" s="137" t="s">
        <v>20</v>
      </c>
    </row>
    <row r="196" spans="2:17" ht="58.5" x14ac:dyDescent="0.25">
      <c r="B196" s="137">
        <v>194</v>
      </c>
      <c r="C196" s="135" t="s">
        <v>321</v>
      </c>
      <c r="D196" s="138" t="s">
        <v>3721</v>
      </c>
      <c r="E196" s="139">
        <v>45408</v>
      </c>
      <c r="F196" s="140">
        <v>0.50555555555555554</v>
      </c>
      <c r="G196" s="138" t="s">
        <v>3964</v>
      </c>
      <c r="H196" s="138" t="s">
        <v>3656</v>
      </c>
      <c r="I196" s="138" t="s">
        <v>3662</v>
      </c>
      <c r="J196" s="142" t="s">
        <v>341</v>
      </c>
      <c r="K196" s="142">
        <v>500000</v>
      </c>
      <c r="L196" s="137" t="s">
        <v>20</v>
      </c>
      <c r="M196" s="137" t="s">
        <v>20</v>
      </c>
      <c r="N196" s="137" t="s">
        <v>20</v>
      </c>
      <c r="O196" s="137" t="s">
        <v>20</v>
      </c>
      <c r="P196" s="137" t="s">
        <v>20</v>
      </c>
      <c r="Q196" s="137" t="s">
        <v>20</v>
      </c>
    </row>
    <row r="197" spans="2:17" ht="58.5" x14ac:dyDescent="0.25">
      <c r="B197" s="137">
        <v>195</v>
      </c>
      <c r="C197" s="135" t="s">
        <v>321</v>
      </c>
      <c r="D197" s="138" t="s">
        <v>3721</v>
      </c>
      <c r="E197" s="139">
        <v>45409</v>
      </c>
      <c r="F197" s="140">
        <v>2.6388888888888889E-2</v>
      </c>
      <c r="G197" s="138" t="s">
        <v>3965</v>
      </c>
      <c r="H197" s="138" t="s">
        <v>3902</v>
      </c>
      <c r="I197" s="138" t="s">
        <v>3966</v>
      </c>
      <c r="J197" s="142">
        <v>400000</v>
      </c>
      <c r="K197" s="142">
        <v>1100000</v>
      </c>
      <c r="L197" s="137" t="s">
        <v>20</v>
      </c>
      <c r="M197" s="141">
        <v>5</v>
      </c>
      <c r="N197" s="137" t="s">
        <v>20</v>
      </c>
      <c r="O197" s="137" t="s">
        <v>20</v>
      </c>
      <c r="P197" s="137" t="s">
        <v>20</v>
      </c>
      <c r="Q197" s="137" t="s">
        <v>20</v>
      </c>
    </row>
    <row r="198" spans="2:17" ht="58.5" x14ac:dyDescent="0.25">
      <c r="B198" s="137">
        <v>196</v>
      </c>
      <c r="C198" s="135" t="s">
        <v>321</v>
      </c>
      <c r="D198" s="138" t="s">
        <v>3721</v>
      </c>
      <c r="E198" s="139">
        <v>45412</v>
      </c>
      <c r="F198" s="140">
        <v>0.68263888888888891</v>
      </c>
      <c r="G198" s="138" t="s">
        <v>3967</v>
      </c>
      <c r="H198" s="138" t="s">
        <v>3902</v>
      </c>
      <c r="I198" s="138" t="s">
        <v>3968</v>
      </c>
      <c r="J198" s="142">
        <v>20000</v>
      </c>
      <c r="K198" s="142">
        <v>4800000</v>
      </c>
      <c r="L198" s="137" t="s">
        <v>20</v>
      </c>
      <c r="M198" s="137" t="s">
        <v>20</v>
      </c>
      <c r="N198" s="137" t="s">
        <v>20</v>
      </c>
      <c r="O198" s="137" t="s">
        <v>20</v>
      </c>
      <c r="P198" s="137" t="s">
        <v>20</v>
      </c>
      <c r="Q198" s="137" t="s">
        <v>20</v>
      </c>
    </row>
    <row r="199" spans="2:17" ht="21" x14ac:dyDescent="0.25">
      <c r="B199" s="137">
        <v>197</v>
      </c>
      <c r="C199" s="135" t="s">
        <v>321</v>
      </c>
      <c r="D199" s="138" t="s">
        <v>307</v>
      </c>
      <c r="E199" s="139">
        <v>45385</v>
      </c>
      <c r="F199" s="140">
        <v>0.68194444444444446</v>
      </c>
      <c r="G199" s="141" t="s">
        <v>3969</v>
      </c>
      <c r="H199" s="141" t="s">
        <v>403</v>
      </c>
      <c r="I199" s="141" t="s">
        <v>404</v>
      </c>
      <c r="J199" s="142">
        <v>15000</v>
      </c>
      <c r="K199" s="142">
        <v>65000</v>
      </c>
      <c r="L199" s="137" t="s">
        <v>20</v>
      </c>
      <c r="M199" s="137" t="s">
        <v>20</v>
      </c>
      <c r="N199" s="137" t="s">
        <v>20</v>
      </c>
      <c r="O199" s="137" t="s">
        <v>20</v>
      </c>
      <c r="P199" s="137" t="s">
        <v>20</v>
      </c>
      <c r="Q199" s="137" t="s">
        <v>20</v>
      </c>
    </row>
    <row r="200" spans="2:17" ht="21" x14ac:dyDescent="0.25">
      <c r="B200" s="137">
        <v>198</v>
      </c>
      <c r="C200" s="135" t="s">
        <v>321</v>
      </c>
      <c r="D200" s="138" t="s">
        <v>307</v>
      </c>
      <c r="E200" s="139">
        <v>45386</v>
      </c>
      <c r="F200" s="140">
        <v>0.52708333333333335</v>
      </c>
      <c r="G200" s="141" t="s">
        <v>3970</v>
      </c>
      <c r="H200" s="141" t="s">
        <v>403</v>
      </c>
      <c r="I200" s="141" t="s">
        <v>405</v>
      </c>
      <c r="J200" s="142">
        <v>40000</v>
      </c>
      <c r="K200" s="142">
        <v>80000</v>
      </c>
      <c r="L200" s="137" t="s">
        <v>20</v>
      </c>
      <c r="M200" s="137" t="s">
        <v>20</v>
      </c>
      <c r="N200" s="137" t="s">
        <v>20</v>
      </c>
      <c r="O200" s="137" t="s">
        <v>20</v>
      </c>
      <c r="P200" s="137" t="s">
        <v>20</v>
      </c>
      <c r="Q200" s="137" t="s">
        <v>20</v>
      </c>
    </row>
    <row r="201" spans="2:17" ht="21" x14ac:dyDescent="0.25">
      <c r="B201" s="137">
        <v>199</v>
      </c>
      <c r="C201" s="135" t="s">
        <v>321</v>
      </c>
      <c r="D201" s="138" t="s">
        <v>307</v>
      </c>
      <c r="E201" s="139">
        <v>45387</v>
      </c>
      <c r="F201" s="140">
        <v>0.82222222222222219</v>
      </c>
      <c r="G201" s="141" t="s">
        <v>3971</v>
      </c>
      <c r="H201" s="141" t="s">
        <v>406</v>
      </c>
      <c r="I201" s="141" t="s">
        <v>343</v>
      </c>
      <c r="J201" s="142" t="s">
        <v>341</v>
      </c>
      <c r="K201" s="142" t="s">
        <v>341</v>
      </c>
      <c r="L201" s="137" t="s">
        <v>20</v>
      </c>
      <c r="M201" s="137" t="s">
        <v>20</v>
      </c>
      <c r="N201" s="137" t="s">
        <v>20</v>
      </c>
      <c r="O201" s="137" t="s">
        <v>20</v>
      </c>
      <c r="P201" s="137" t="s">
        <v>20</v>
      </c>
      <c r="Q201" s="137" t="s">
        <v>20</v>
      </c>
    </row>
    <row r="202" spans="2:17" ht="21" x14ac:dyDescent="0.25">
      <c r="B202" s="137">
        <v>200</v>
      </c>
      <c r="C202" s="135" t="s">
        <v>321</v>
      </c>
      <c r="D202" s="138" t="s">
        <v>307</v>
      </c>
      <c r="E202" s="139">
        <v>45388</v>
      </c>
      <c r="F202" s="140">
        <v>0.9375</v>
      </c>
      <c r="G202" s="141" t="s">
        <v>407</v>
      </c>
      <c r="H202" s="141" t="s">
        <v>309</v>
      </c>
      <c r="I202" s="141" t="s">
        <v>408</v>
      </c>
      <c r="J202" s="142">
        <v>10000</v>
      </c>
      <c r="K202" s="142">
        <v>990000</v>
      </c>
      <c r="L202" s="137" t="s">
        <v>20</v>
      </c>
      <c r="M202" s="137" t="s">
        <v>20</v>
      </c>
      <c r="N202" s="137" t="s">
        <v>20</v>
      </c>
      <c r="O202" s="137" t="s">
        <v>20</v>
      </c>
      <c r="P202" s="137" t="s">
        <v>20</v>
      </c>
      <c r="Q202" s="137" t="s">
        <v>20</v>
      </c>
    </row>
    <row r="203" spans="2:17" ht="21" x14ac:dyDescent="0.25">
      <c r="B203" s="137">
        <v>201</v>
      </c>
      <c r="C203" s="135" t="s">
        <v>321</v>
      </c>
      <c r="D203" s="138" t="s">
        <v>307</v>
      </c>
      <c r="E203" s="139">
        <v>45389</v>
      </c>
      <c r="F203" s="140">
        <v>0.6875</v>
      </c>
      <c r="G203" s="141" t="s">
        <v>3972</v>
      </c>
      <c r="H203" s="141" t="s">
        <v>309</v>
      </c>
      <c r="I203" s="141" t="s">
        <v>409</v>
      </c>
      <c r="J203" s="142">
        <v>200000</v>
      </c>
      <c r="K203" s="142">
        <v>500000</v>
      </c>
      <c r="L203" s="137" t="s">
        <v>20</v>
      </c>
      <c r="M203" s="137" t="s">
        <v>20</v>
      </c>
      <c r="N203" s="137" t="s">
        <v>20</v>
      </c>
      <c r="O203" s="137" t="s">
        <v>20</v>
      </c>
      <c r="P203" s="137" t="s">
        <v>20</v>
      </c>
      <c r="Q203" s="141">
        <v>1</v>
      </c>
    </row>
    <row r="204" spans="2:17" ht="21" x14ac:dyDescent="0.25">
      <c r="B204" s="137">
        <v>202</v>
      </c>
      <c r="C204" s="135" t="s">
        <v>321</v>
      </c>
      <c r="D204" s="138" t="s">
        <v>307</v>
      </c>
      <c r="E204" s="139">
        <v>45390</v>
      </c>
      <c r="F204" s="140">
        <v>0.81944444444444442</v>
      </c>
      <c r="G204" s="141" t="s">
        <v>3973</v>
      </c>
      <c r="H204" s="141" t="s">
        <v>403</v>
      </c>
      <c r="I204" s="141" t="s">
        <v>410</v>
      </c>
      <c r="J204" s="142">
        <v>100000</v>
      </c>
      <c r="K204" s="142">
        <v>100000</v>
      </c>
      <c r="L204" s="137" t="s">
        <v>20</v>
      </c>
      <c r="M204" s="137" t="s">
        <v>20</v>
      </c>
      <c r="N204" s="137" t="s">
        <v>20</v>
      </c>
      <c r="O204" s="137" t="s">
        <v>20</v>
      </c>
      <c r="P204" s="137" t="s">
        <v>20</v>
      </c>
      <c r="Q204" s="137" t="s">
        <v>20</v>
      </c>
    </row>
    <row r="205" spans="2:17" ht="21" x14ac:dyDescent="0.25">
      <c r="B205" s="137">
        <v>203</v>
      </c>
      <c r="C205" s="135" t="s">
        <v>321</v>
      </c>
      <c r="D205" s="138" t="s">
        <v>307</v>
      </c>
      <c r="E205" s="139">
        <v>45393</v>
      </c>
      <c r="F205" s="140">
        <v>0.57986111111111116</v>
      </c>
      <c r="G205" s="141" t="s">
        <v>3974</v>
      </c>
      <c r="H205" s="141" t="s">
        <v>309</v>
      </c>
      <c r="I205" s="141" t="s">
        <v>411</v>
      </c>
      <c r="J205" s="142">
        <v>250000</v>
      </c>
      <c r="K205" s="142">
        <v>250000</v>
      </c>
      <c r="L205" s="137" t="s">
        <v>20</v>
      </c>
      <c r="M205" s="137" t="s">
        <v>20</v>
      </c>
      <c r="N205" s="137" t="s">
        <v>20</v>
      </c>
      <c r="O205" s="137" t="s">
        <v>20</v>
      </c>
      <c r="P205" s="137" t="s">
        <v>20</v>
      </c>
      <c r="Q205" s="137" t="s">
        <v>20</v>
      </c>
    </row>
    <row r="206" spans="2:17" ht="21" x14ac:dyDescent="0.25">
      <c r="B206" s="137">
        <v>204</v>
      </c>
      <c r="C206" s="135" t="s">
        <v>321</v>
      </c>
      <c r="D206" s="138" t="s">
        <v>307</v>
      </c>
      <c r="E206" s="139">
        <v>45395</v>
      </c>
      <c r="F206" s="140">
        <v>0.46180555555555558</v>
      </c>
      <c r="G206" s="141" t="s">
        <v>3975</v>
      </c>
      <c r="H206" s="141" t="s">
        <v>309</v>
      </c>
      <c r="I206" s="141" t="s">
        <v>412</v>
      </c>
      <c r="J206" s="142">
        <v>50000</v>
      </c>
      <c r="K206" s="142">
        <v>50000</v>
      </c>
      <c r="L206" s="137" t="s">
        <v>20</v>
      </c>
      <c r="M206" s="137" t="s">
        <v>20</v>
      </c>
      <c r="N206" s="137" t="s">
        <v>20</v>
      </c>
      <c r="O206" s="137" t="s">
        <v>20</v>
      </c>
      <c r="P206" s="137" t="s">
        <v>20</v>
      </c>
      <c r="Q206" s="137" t="s">
        <v>20</v>
      </c>
    </row>
    <row r="207" spans="2:17" ht="21" x14ac:dyDescent="0.25">
      <c r="B207" s="137">
        <v>205</v>
      </c>
      <c r="C207" s="135" t="s">
        <v>321</v>
      </c>
      <c r="D207" s="138" t="s">
        <v>307</v>
      </c>
      <c r="E207" s="139">
        <v>45395</v>
      </c>
      <c r="F207" s="140">
        <v>0.55138888888888893</v>
      </c>
      <c r="G207" s="141" t="s">
        <v>3976</v>
      </c>
      <c r="H207" s="141" t="s">
        <v>403</v>
      </c>
      <c r="I207" s="141" t="s">
        <v>404</v>
      </c>
      <c r="J207" s="142">
        <v>5000</v>
      </c>
      <c r="K207" s="142">
        <v>25000</v>
      </c>
      <c r="L207" s="137" t="s">
        <v>20</v>
      </c>
      <c r="M207" s="137" t="s">
        <v>20</v>
      </c>
      <c r="N207" s="137" t="s">
        <v>20</v>
      </c>
      <c r="O207" s="137" t="s">
        <v>20</v>
      </c>
      <c r="P207" s="137" t="s">
        <v>20</v>
      </c>
      <c r="Q207" s="137" t="s">
        <v>20</v>
      </c>
    </row>
    <row r="208" spans="2:17" ht="21" x14ac:dyDescent="0.25">
      <c r="B208" s="137">
        <v>206</v>
      </c>
      <c r="C208" s="135" t="s">
        <v>321</v>
      </c>
      <c r="D208" s="138" t="s">
        <v>307</v>
      </c>
      <c r="E208" s="139">
        <v>45397</v>
      </c>
      <c r="F208" s="140">
        <v>0.63194444444444442</v>
      </c>
      <c r="G208" s="141" t="s">
        <v>3977</v>
      </c>
      <c r="H208" s="141" t="s">
        <v>403</v>
      </c>
      <c r="I208" s="141" t="s">
        <v>413</v>
      </c>
      <c r="J208" s="142">
        <v>10000</v>
      </c>
      <c r="K208" s="142">
        <v>25000</v>
      </c>
      <c r="L208" s="137" t="s">
        <v>20</v>
      </c>
      <c r="M208" s="137" t="s">
        <v>20</v>
      </c>
      <c r="N208" s="137" t="s">
        <v>20</v>
      </c>
      <c r="O208" s="137" t="s">
        <v>20</v>
      </c>
      <c r="P208" s="137" t="s">
        <v>20</v>
      </c>
      <c r="Q208" s="137" t="s">
        <v>20</v>
      </c>
    </row>
    <row r="209" spans="2:17" ht="21" x14ac:dyDescent="0.25">
      <c r="B209" s="137">
        <v>207</v>
      </c>
      <c r="C209" s="135" t="s">
        <v>321</v>
      </c>
      <c r="D209" s="138" t="s">
        <v>307</v>
      </c>
      <c r="E209" s="139">
        <v>45399</v>
      </c>
      <c r="F209" s="140">
        <v>0.86111111111111116</v>
      </c>
      <c r="G209" s="141" t="s">
        <v>3978</v>
      </c>
      <c r="H209" s="138" t="s">
        <v>403</v>
      </c>
      <c r="I209" s="141" t="s">
        <v>414</v>
      </c>
      <c r="J209" s="142">
        <v>5000</v>
      </c>
      <c r="K209" s="142">
        <v>20000</v>
      </c>
      <c r="L209" s="137" t="s">
        <v>20</v>
      </c>
      <c r="M209" s="137" t="s">
        <v>20</v>
      </c>
      <c r="N209" s="137" t="s">
        <v>20</v>
      </c>
      <c r="O209" s="137" t="s">
        <v>20</v>
      </c>
      <c r="P209" s="137" t="s">
        <v>20</v>
      </c>
      <c r="Q209" s="137" t="s">
        <v>20</v>
      </c>
    </row>
    <row r="210" spans="2:17" ht="21" x14ac:dyDescent="0.25">
      <c r="B210" s="137">
        <v>208</v>
      </c>
      <c r="C210" s="135" t="s">
        <v>321</v>
      </c>
      <c r="D210" s="138" t="s">
        <v>307</v>
      </c>
      <c r="E210" s="139">
        <v>45400</v>
      </c>
      <c r="F210" s="140">
        <v>0.52083333333333337</v>
      </c>
      <c r="G210" s="141" t="s">
        <v>3979</v>
      </c>
      <c r="H210" s="138" t="s">
        <v>403</v>
      </c>
      <c r="I210" s="141" t="s">
        <v>415</v>
      </c>
      <c r="J210" s="142">
        <v>100000</v>
      </c>
      <c r="K210" s="142">
        <v>100000</v>
      </c>
      <c r="L210" s="137" t="s">
        <v>20</v>
      </c>
      <c r="M210" s="137" t="s">
        <v>20</v>
      </c>
      <c r="N210" s="137" t="s">
        <v>20</v>
      </c>
      <c r="O210" s="137" t="s">
        <v>20</v>
      </c>
      <c r="P210" s="137" t="s">
        <v>20</v>
      </c>
      <c r="Q210" s="137" t="s">
        <v>20</v>
      </c>
    </row>
    <row r="211" spans="2:17" ht="21" x14ac:dyDescent="0.25">
      <c r="B211" s="137">
        <v>209</v>
      </c>
      <c r="C211" s="135" t="s">
        <v>321</v>
      </c>
      <c r="D211" s="138" t="s">
        <v>307</v>
      </c>
      <c r="E211" s="139">
        <v>45400</v>
      </c>
      <c r="F211" s="140">
        <v>0.56111111111111112</v>
      </c>
      <c r="G211" s="141" t="s">
        <v>3980</v>
      </c>
      <c r="H211" s="138" t="s">
        <v>403</v>
      </c>
      <c r="I211" s="141" t="s">
        <v>414</v>
      </c>
      <c r="J211" s="142">
        <v>5000</v>
      </c>
      <c r="K211" s="142">
        <v>15000</v>
      </c>
      <c r="L211" s="137" t="s">
        <v>20</v>
      </c>
      <c r="M211" s="137" t="s">
        <v>20</v>
      </c>
      <c r="N211" s="137" t="s">
        <v>20</v>
      </c>
      <c r="O211" s="137" t="s">
        <v>20</v>
      </c>
      <c r="P211" s="137" t="s">
        <v>20</v>
      </c>
      <c r="Q211" s="137" t="s">
        <v>20</v>
      </c>
    </row>
    <row r="212" spans="2:17" ht="21" x14ac:dyDescent="0.25">
      <c r="B212" s="137">
        <v>210</v>
      </c>
      <c r="C212" s="135" t="s">
        <v>321</v>
      </c>
      <c r="D212" s="138" t="s">
        <v>307</v>
      </c>
      <c r="E212" s="139">
        <v>45400</v>
      </c>
      <c r="F212" s="140">
        <v>0.59097222222222223</v>
      </c>
      <c r="G212" s="141" t="s">
        <v>3981</v>
      </c>
      <c r="H212" s="141" t="s">
        <v>403</v>
      </c>
      <c r="I212" s="141" t="s">
        <v>416</v>
      </c>
      <c r="J212" s="142">
        <v>10000</v>
      </c>
      <c r="K212" s="142">
        <v>40000</v>
      </c>
      <c r="L212" s="137" t="s">
        <v>20</v>
      </c>
      <c r="M212" s="137" t="s">
        <v>20</v>
      </c>
      <c r="N212" s="137" t="s">
        <v>20</v>
      </c>
      <c r="O212" s="137" t="s">
        <v>20</v>
      </c>
      <c r="P212" s="137" t="s">
        <v>20</v>
      </c>
      <c r="Q212" s="137" t="s">
        <v>20</v>
      </c>
    </row>
    <row r="213" spans="2:17" ht="21" x14ac:dyDescent="0.25">
      <c r="B213" s="137">
        <v>211</v>
      </c>
      <c r="C213" s="135" t="s">
        <v>321</v>
      </c>
      <c r="D213" s="138" t="s">
        <v>307</v>
      </c>
      <c r="E213" s="139">
        <v>45400</v>
      </c>
      <c r="F213" s="140">
        <v>0.7055555555555556</v>
      </c>
      <c r="G213" s="141" t="s">
        <v>3982</v>
      </c>
      <c r="H213" s="138" t="s">
        <v>403</v>
      </c>
      <c r="I213" s="141" t="s">
        <v>417</v>
      </c>
      <c r="J213" s="142">
        <v>10000</v>
      </c>
      <c r="K213" s="142">
        <v>50000</v>
      </c>
      <c r="L213" s="137" t="s">
        <v>20</v>
      </c>
      <c r="M213" s="137" t="s">
        <v>20</v>
      </c>
      <c r="N213" s="137" t="s">
        <v>20</v>
      </c>
      <c r="O213" s="137" t="s">
        <v>20</v>
      </c>
      <c r="P213" s="137" t="s">
        <v>20</v>
      </c>
      <c r="Q213" s="137" t="s">
        <v>20</v>
      </c>
    </row>
    <row r="214" spans="2:17" ht="21" x14ac:dyDescent="0.25">
      <c r="B214" s="137">
        <v>212</v>
      </c>
      <c r="C214" s="135" t="s">
        <v>321</v>
      </c>
      <c r="D214" s="138" t="s">
        <v>307</v>
      </c>
      <c r="E214" s="139">
        <v>45400</v>
      </c>
      <c r="F214" s="140">
        <v>0.75972222222222219</v>
      </c>
      <c r="G214" s="141" t="s">
        <v>3983</v>
      </c>
      <c r="H214" s="138" t="s">
        <v>403</v>
      </c>
      <c r="I214" s="141" t="s">
        <v>414</v>
      </c>
      <c r="J214" s="142" t="s">
        <v>341</v>
      </c>
      <c r="K214" s="142" t="s">
        <v>341</v>
      </c>
      <c r="L214" s="137" t="s">
        <v>20</v>
      </c>
      <c r="M214" s="137" t="s">
        <v>20</v>
      </c>
      <c r="N214" s="137" t="s">
        <v>20</v>
      </c>
      <c r="O214" s="137" t="s">
        <v>20</v>
      </c>
      <c r="P214" s="137" t="s">
        <v>20</v>
      </c>
      <c r="Q214" s="137" t="s">
        <v>20</v>
      </c>
    </row>
    <row r="215" spans="2:17" ht="39" x14ac:dyDescent="0.25">
      <c r="B215" s="137">
        <v>213</v>
      </c>
      <c r="C215" s="135" t="s">
        <v>321</v>
      </c>
      <c r="D215" s="138" t="s">
        <v>307</v>
      </c>
      <c r="E215" s="139">
        <v>45400</v>
      </c>
      <c r="F215" s="140">
        <v>0.91874999999999996</v>
      </c>
      <c r="G215" s="141" t="s">
        <v>3984</v>
      </c>
      <c r="H215" s="141" t="s">
        <v>403</v>
      </c>
      <c r="I215" s="141" t="s">
        <v>418</v>
      </c>
      <c r="J215" s="142" t="s">
        <v>341</v>
      </c>
      <c r="K215" s="142" t="s">
        <v>341</v>
      </c>
      <c r="L215" s="137" t="s">
        <v>20</v>
      </c>
      <c r="M215" s="137" t="s">
        <v>20</v>
      </c>
      <c r="N215" s="137" t="s">
        <v>20</v>
      </c>
      <c r="O215" s="137" t="s">
        <v>20</v>
      </c>
      <c r="P215" s="137" t="s">
        <v>20</v>
      </c>
      <c r="Q215" s="137" t="s">
        <v>20</v>
      </c>
    </row>
    <row r="216" spans="2:17" ht="21" x14ac:dyDescent="0.25">
      <c r="B216" s="137">
        <v>214</v>
      </c>
      <c r="C216" s="135" t="s">
        <v>321</v>
      </c>
      <c r="D216" s="138" t="s">
        <v>307</v>
      </c>
      <c r="E216" s="139">
        <v>45401</v>
      </c>
      <c r="F216" s="140">
        <v>2.7777777777777779E-3</v>
      </c>
      <c r="G216" s="141" t="s">
        <v>3985</v>
      </c>
      <c r="H216" s="141" t="s">
        <v>403</v>
      </c>
      <c r="I216" s="141" t="s">
        <v>419</v>
      </c>
      <c r="J216" s="142">
        <v>20000</v>
      </c>
      <c r="K216" s="142">
        <v>60000</v>
      </c>
      <c r="L216" s="137" t="s">
        <v>20</v>
      </c>
      <c r="M216" s="137" t="s">
        <v>20</v>
      </c>
      <c r="N216" s="137" t="s">
        <v>20</v>
      </c>
      <c r="O216" s="137" t="s">
        <v>20</v>
      </c>
      <c r="P216" s="137" t="s">
        <v>20</v>
      </c>
      <c r="Q216" s="137" t="s">
        <v>20</v>
      </c>
    </row>
    <row r="217" spans="2:17" ht="21" x14ac:dyDescent="0.25">
      <c r="B217" s="137">
        <v>215</v>
      </c>
      <c r="C217" s="135" t="s">
        <v>321</v>
      </c>
      <c r="D217" s="138" t="s">
        <v>307</v>
      </c>
      <c r="E217" s="139">
        <v>45401</v>
      </c>
      <c r="F217" s="140">
        <v>0.39861111111111114</v>
      </c>
      <c r="G217" s="141" t="s">
        <v>3986</v>
      </c>
      <c r="H217" s="141" t="s">
        <v>420</v>
      </c>
      <c r="I217" s="141" t="s">
        <v>421</v>
      </c>
      <c r="J217" s="142">
        <v>15000</v>
      </c>
      <c r="K217" s="142">
        <v>35000</v>
      </c>
      <c r="L217" s="137" t="s">
        <v>20</v>
      </c>
      <c r="M217" s="137" t="s">
        <v>20</v>
      </c>
      <c r="N217" s="137" t="s">
        <v>20</v>
      </c>
      <c r="O217" s="137" t="s">
        <v>20</v>
      </c>
      <c r="P217" s="137" t="s">
        <v>20</v>
      </c>
      <c r="Q217" s="137" t="s">
        <v>20</v>
      </c>
    </row>
    <row r="218" spans="2:17" ht="21" x14ac:dyDescent="0.25">
      <c r="B218" s="137">
        <v>216</v>
      </c>
      <c r="C218" s="135" t="s">
        <v>321</v>
      </c>
      <c r="D218" s="138" t="s">
        <v>307</v>
      </c>
      <c r="E218" s="139">
        <v>45401</v>
      </c>
      <c r="F218" s="140">
        <v>0.44097222222222221</v>
      </c>
      <c r="G218" s="141" t="s">
        <v>3987</v>
      </c>
      <c r="H218" s="141" t="s">
        <v>403</v>
      </c>
      <c r="I218" s="141" t="s">
        <v>422</v>
      </c>
      <c r="J218" s="142" t="s">
        <v>354</v>
      </c>
      <c r="K218" s="142" t="s">
        <v>341</v>
      </c>
      <c r="L218" s="137" t="s">
        <v>20</v>
      </c>
      <c r="M218" s="137" t="s">
        <v>20</v>
      </c>
      <c r="N218" s="137" t="s">
        <v>20</v>
      </c>
      <c r="O218" s="137" t="s">
        <v>20</v>
      </c>
      <c r="P218" s="137" t="s">
        <v>20</v>
      </c>
      <c r="Q218" s="137" t="s">
        <v>20</v>
      </c>
    </row>
    <row r="219" spans="2:17" ht="21" x14ac:dyDescent="0.25">
      <c r="B219" s="137">
        <v>217</v>
      </c>
      <c r="C219" s="135" t="s">
        <v>321</v>
      </c>
      <c r="D219" s="138" t="s">
        <v>307</v>
      </c>
      <c r="E219" s="139">
        <v>45401</v>
      </c>
      <c r="F219" s="140">
        <v>0.50347222222222221</v>
      </c>
      <c r="G219" s="141" t="s">
        <v>3988</v>
      </c>
      <c r="H219" s="141" t="s">
        <v>403</v>
      </c>
      <c r="I219" s="141" t="s">
        <v>423</v>
      </c>
      <c r="J219" s="142">
        <v>5000</v>
      </c>
      <c r="K219" s="142">
        <v>20000</v>
      </c>
      <c r="L219" s="137" t="s">
        <v>20</v>
      </c>
      <c r="M219" s="137" t="s">
        <v>20</v>
      </c>
      <c r="N219" s="137" t="s">
        <v>20</v>
      </c>
      <c r="O219" s="137" t="s">
        <v>20</v>
      </c>
      <c r="P219" s="137" t="s">
        <v>20</v>
      </c>
      <c r="Q219" s="137" t="s">
        <v>20</v>
      </c>
    </row>
    <row r="220" spans="2:17" ht="21" x14ac:dyDescent="0.25">
      <c r="B220" s="137">
        <v>218</v>
      </c>
      <c r="C220" s="135" t="s">
        <v>321</v>
      </c>
      <c r="D220" s="138" t="s">
        <v>307</v>
      </c>
      <c r="E220" s="139">
        <v>45401</v>
      </c>
      <c r="F220" s="140">
        <v>0.56944444444444442</v>
      </c>
      <c r="G220" s="141" t="s">
        <v>3989</v>
      </c>
      <c r="H220" s="141" t="s">
        <v>403</v>
      </c>
      <c r="I220" s="141" t="s">
        <v>424</v>
      </c>
      <c r="J220" s="142">
        <v>4000</v>
      </c>
      <c r="K220" s="142">
        <v>10000</v>
      </c>
      <c r="L220" s="137" t="s">
        <v>20</v>
      </c>
      <c r="M220" s="137" t="s">
        <v>20</v>
      </c>
      <c r="N220" s="137" t="s">
        <v>20</v>
      </c>
      <c r="O220" s="137" t="s">
        <v>20</v>
      </c>
      <c r="P220" s="137" t="s">
        <v>20</v>
      </c>
      <c r="Q220" s="137" t="s">
        <v>20</v>
      </c>
    </row>
    <row r="221" spans="2:17" ht="21" x14ac:dyDescent="0.25">
      <c r="B221" s="137">
        <v>219</v>
      </c>
      <c r="C221" s="135" t="s">
        <v>321</v>
      </c>
      <c r="D221" s="138" t="s">
        <v>307</v>
      </c>
      <c r="E221" s="139">
        <v>45401</v>
      </c>
      <c r="F221" s="140">
        <v>0.61458333333333337</v>
      </c>
      <c r="G221" s="141" t="s">
        <v>3990</v>
      </c>
      <c r="H221" s="141" t="s">
        <v>403</v>
      </c>
      <c r="I221" s="141" t="s">
        <v>425</v>
      </c>
      <c r="J221" s="142" t="s">
        <v>341</v>
      </c>
      <c r="K221" s="142" t="s">
        <v>341</v>
      </c>
      <c r="L221" s="137" t="s">
        <v>20</v>
      </c>
      <c r="M221" s="137" t="s">
        <v>20</v>
      </c>
      <c r="N221" s="137" t="s">
        <v>20</v>
      </c>
      <c r="O221" s="137" t="s">
        <v>20</v>
      </c>
      <c r="P221" s="137" t="s">
        <v>20</v>
      </c>
      <c r="Q221" s="137" t="s">
        <v>20</v>
      </c>
    </row>
    <row r="222" spans="2:17" ht="39" x14ac:dyDescent="0.25">
      <c r="B222" s="137">
        <v>220</v>
      </c>
      <c r="C222" s="135" t="s">
        <v>321</v>
      </c>
      <c r="D222" s="138" t="s">
        <v>307</v>
      </c>
      <c r="E222" s="139">
        <v>45402</v>
      </c>
      <c r="F222" s="140">
        <v>0.67013888888888884</v>
      </c>
      <c r="G222" s="141" t="s">
        <v>3991</v>
      </c>
      <c r="H222" s="138" t="s">
        <v>309</v>
      </c>
      <c r="I222" s="141" t="s">
        <v>426</v>
      </c>
      <c r="J222" s="142">
        <v>10000</v>
      </c>
      <c r="K222" s="142">
        <v>90000</v>
      </c>
      <c r="L222" s="137" t="s">
        <v>20</v>
      </c>
      <c r="M222" s="137" t="s">
        <v>20</v>
      </c>
      <c r="N222" s="137" t="s">
        <v>20</v>
      </c>
      <c r="O222" s="137" t="s">
        <v>20</v>
      </c>
      <c r="P222" s="137" t="s">
        <v>20</v>
      </c>
      <c r="Q222" s="137" t="s">
        <v>20</v>
      </c>
    </row>
    <row r="223" spans="2:17" ht="21" x14ac:dyDescent="0.25">
      <c r="B223" s="137">
        <v>221</v>
      </c>
      <c r="C223" s="135" t="s">
        <v>321</v>
      </c>
      <c r="D223" s="138" t="s">
        <v>307</v>
      </c>
      <c r="E223" s="139">
        <v>45403</v>
      </c>
      <c r="F223" s="140">
        <v>0.55763888888888891</v>
      </c>
      <c r="G223" s="141" t="s">
        <v>3992</v>
      </c>
      <c r="H223" s="138" t="s">
        <v>403</v>
      </c>
      <c r="I223" s="138" t="s">
        <v>427</v>
      </c>
      <c r="J223" s="142">
        <v>10000</v>
      </c>
      <c r="K223" s="142">
        <v>20000</v>
      </c>
      <c r="L223" s="137" t="s">
        <v>20</v>
      </c>
      <c r="M223" s="137" t="s">
        <v>20</v>
      </c>
      <c r="N223" s="137" t="s">
        <v>20</v>
      </c>
      <c r="O223" s="137" t="s">
        <v>20</v>
      </c>
      <c r="P223" s="137" t="s">
        <v>20</v>
      </c>
      <c r="Q223" s="137" t="s">
        <v>20</v>
      </c>
    </row>
    <row r="224" spans="2:17" ht="21" x14ac:dyDescent="0.25">
      <c r="B224" s="137">
        <v>222</v>
      </c>
      <c r="C224" s="135" t="s">
        <v>321</v>
      </c>
      <c r="D224" s="138" t="s">
        <v>307</v>
      </c>
      <c r="E224" s="139">
        <v>45403</v>
      </c>
      <c r="F224" s="140">
        <v>0.56388888888888888</v>
      </c>
      <c r="G224" s="141" t="s">
        <v>3993</v>
      </c>
      <c r="H224" s="138" t="s">
        <v>403</v>
      </c>
      <c r="I224" s="138" t="s">
        <v>428</v>
      </c>
      <c r="J224" s="142">
        <v>10000</v>
      </c>
      <c r="K224" s="142">
        <v>30000</v>
      </c>
      <c r="L224" s="137" t="s">
        <v>20</v>
      </c>
      <c r="M224" s="137" t="s">
        <v>20</v>
      </c>
      <c r="N224" s="137" t="s">
        <v>20</v>
      </c>
      <c r="O224" s="137" t="s">
        <v>20</v>
      </c>
      <c r="P224" s="137" t="s">
        <v>20</v>
      </c>
      <c r="Q224" s="137" t="s">
        <v>20</v>
      </c>
    </row>
    <row r="225" spans="2:17" ht="21" x14ac:dyDescent="0.25">
      <c r="B225" s="137">
        <v>223</v>
      </c>
      <c r="C225" s="135" t="s">
        <v>321</v>
      </c>
      <c r="D225" s="138" t="s">
        <v>307</v>
      </c>
      <c r="E225" s="139">
        <v>45404</v>
      </c>
      <c r="F225" s="140">
        <v>0.41041666666666665</v>
      </c>
      <c r="G225" s="141" t="s">
        <v>3994</v>
      </c>
      <c r="H225" s="138" t="s">
        <v>403</v>
      </c>
      <c r="I225" s="138" t="s">
        <v>427</v>
      </c>
      <c r="J225" s="142" t="s">
        <v>341</v>
      </c>
      <c r="K225" s="142" t="s">
        <v>341</v>
      </c>
      <c r="L225" s="137" t="s">
        <v>20</v>
      </c>
      <c r="M225" s="137" t="s">
        <v>20</v>
      </c>
      <c r="N225" s="137" t="s">
        <v>20</v>
      </c>
      <c r="O225" s="137" t="s">
        <v>20</v>
      </c>
      <c r="P225" s="137" t="s">
        <v>20</v>
      </c>
      <c r="Q225" s="137" t="s">
        <v>20</v>
      </c>
    </row>
    <row r="226" spans="2:17" ht="21" x14ac:dyDescent="0.25">
      <c r="B226" s="137">
        <v>224</v>
      </c>
      <c r="C226" s="135" t="s">
        <v>321</v>
      </c>
      <c r="D226" s="138" t="s">
        <v>307</v>
      </c>
      <c r="E226" s="139">
        <v>45404</v>
      </c>
      <c r="F226" s="140">
        <v>0.55000000000000004</v>
      </c>
      <c r="G226" s="141" t="s">
        <v>3995</v>
      </c>
      <c r="H226" s="138" t="s">
        <v>403</v>
      </c>
      <c r="I226" s="138" t="s">
        <v>427</v>
      </c>
      <c r="J226" s="142">
        <v>5000</v>
      </c>
      <c r="K226" s="142">
        <v>20000</v>
      </c>
      <c r="L226" s="137" t="s">
        <v>20</v>
      </c>
      <c r="M226" s="137" t="s">
        <v>20</v>
      </c>
      <c r="N226" s="137" t="s">
        <v>20</v>
      </c>
      <c r="O226" s="137" t="s">
        <v>20</v>
      </c>
      <c r="P226" s="137" t="s">
        <v>20</v>
      </c>
      <c r="Q226" s="137" t="s">
        <v>20</v>
      </c>
    </row>
    <row r="227" spans="2:17" ht="21" x14ac:dyDescent="0.25">
      <c r="B227" s="137">
        <v>225</v>
      </c>
      <c r="C227" s="135" t="s">
        <v>321</v>
      </c>
      <c r="D227" s="138" t="s">
        <v>307</v>
      </c>
      <c r="E227" s="139">
        <v>45404</v>
      </c>
      <c r="F227" s="140">
        <v>0.6333333333333333</v>
      </c>
      <c r="G227" s="141" t="s">
        <v>3996</v>
      </c>
      <c r="H227" s="138" t="s">
        <v>429</v>
      </c>
      <c r="I227" s="138" t="s">
        <v>430</v>
      </c>
      <c r="J227" s="142">
        <v>10000</v>
      </c>
      <c r="K227" s="142">
        <v>35000</v>
      </c>
      <c r="L227" s="137" t="s">
        <v>20</v>
      </c>
      <c r="M227" s="137" t="s">
        <v>20</v>
      </c>
      <c r="N227" s="137" t="s">
        <v>20</v>
      </c>
      <c r="O227" s="137" t="s">
        <v>20</v>
      </c>
      <c r="P227" s="137" t="s">
        <v>20</v>
      </c>
      <c r="Q227" s="137" t="s">
        <v>20</v>
      </c>
    </row>
    <row r="228" spans="2:17" ht="21" x14ac:dyDescent="0.25">
      <c r="B228" s="137">
        <v>226</v>
      </c>
      <c r="C228" s="135" t="s">
        <v>321</v>
      </c>
      <c r="D228" s="138" t="s">
        <v>307</v>
      </c>
      <c r="E228" s="139">
        <v>45404</v>
      </c>
      <c r="F228" s="140">
        <v>0.79166666666666663</v>
      </c>
      <c r="G228" s="141" t="s">
        <v>3997</v>
      </c>
      <c r="H228" s="138" t="s">
        <v>429</v>
      </c>
      <c r="I228" s="138" t="s">
        <v>431</v>
      </c>
      <c r="J228" s="142">
        <v>5000</v>
      </c>
      <c r="K228" s="142">
        <v>35000</v>
      </c>
      <c r="L228" s="137" t="s">
        <v>20</v>
      </c>
      <c r="M228" s="137" t="s">
        <v>20</v>
      </c>
      <c r="N228" s="137" t="s">
        <v>20</v>
      </c>
      <c r="O228" s="137" t="s">
        <v>20</v>
      </c>
      <c r="P228" s="137" t="s">
        <v>20</v>
      </c>
      <c r="Q228" s="137" t="s">
        <v>20</v>
      </c>
    </row>
    <row r="229" spans="2:17" ht="21" x14ac:dyDescent="0.25">
      <c r="B229" s="137">
        <v>227</v>
      </c>
      <c r="C229" s="135" t="s">
        <v>321</v>
      </c>
      <c r="D229" s="138" t="s">
        <v>307</v>
      </c>
      <c r="E229" s="139">
        <v>45404</v>
      </c>
      <c r="F229" s="140">
        <v>0.61458333333333337</v>
      </c>
      <c r="G229" s="141" t="s">
        <v>3998</v>
      </c>
      <c r="H229" s="138" t="s">
        <v>429</v>
      </c>
      <c r="I229" s="138" t="s">
        <v>414</v>
      </c>
      <c r="J229" s="142">
        <v>15000</v>
      </c>
      <c r="K229" s="142">
        <v>20000</v>
      </c>
      <c r="L229" s="137" t="s">
        <v>20</v>
      </c>
      <c r="M229" s="137" t="s">
        <v>20</v>
      </c>
      <c r="N229" s="137" t="s">
        <v>20</v>
      </c>
      <c r="O229" s="137" t="s">
        <v>20</v>
      </c>
      <c r="P229" s="137" t="s">
        <v>20</v>
      </c>
      <c r="Q229" s="137" t="s">
        <v>20</v>
      </c>
    </row>
    <row r="230" spans="2:17" ht="39" x14ac:dyDescent="0.25">
      <c r="B230" s="137">
        <v>228</v>
      </c>
      <c r="C230" s="135" t="s">
        <v>321</v>
      </c>
      <c r="D230" s="138" t="s">
        <v>307</v>
      </c>
      <c r="E230" s="139">
        <v>45405</v>
      </c>
      <c r="F230" s="140">
        <v>0.66527777777777775</v>
      </c>
      <c r="G230" s="141" t="s">
        <v>3999</v>
      </c>
      <c r="H230" s="138" t="s">
        <v>429</v>
      </c>
      <c r="I230" s="138" t="s">
        <v>432</v>
      </c>
      <c r="J230" s="142">
        <v>10000</v>
      </c>
      <c r="K230" s="142">
        <v>30000</v>
      </c>
      <c r="L230" s="137" t="s">
        <v>20</v>
      </c>
      <c r="M230" s="137" t="s">
        <v>20</v>
      </c>
      <c r="N230" s="137" t="s">
        <v>20</v>
      </c>
      <c r="O230" s="137" t="s">
        <v>20</v>
      </c>
      <c r="P230" s="137" t="s">
        <v>20</v>
      </c>
      <c r="Q230" s="137" t="s">
        <v>20</v>
      </c>
    </row>
    <row r="231" spans="2:17" ht="21" x14ac:dyDescent="0.25">
      <c r="B231" s="137">
        <v>229</v>
      </c>
      <c r="C231" s="135" t="s">
        <v>321</v>
      </c>
      <c r="D231" s="138" t="s">
        <v>307</v>
      </c>
      <c r="E231" s="139">
        <v>45405</v>
      </c>
      <c r="F231" s="140">
        <v>0.82430555555555551</v>
      </c>
      <c r="G231" s="141" t="s">
        <v>4000</v>
      </c>
      <c r="H231" s="138" t="s">
        <v>420</v>
      </c>
      <c r="I231" s="138" t="s">
        <v>431</v>
      </c>
      <c r="J231" s="142">
        <v>10000</v>
      </c>
      <c r="K231" s="142">
        <v>40000</v>
      </c>
      <c r="L231" s="137" t="s">
        <v>20</v>
      </c>
      <c r="M231" s="137" t="s">
        <v>20</v>
      </c>
      <c r="N231" s="137" t="s">
        <v>20</v>
      </c>
      <c r="O231" s="137" t="s">
        <v>20</v>
      </c>
      <c r="P231" s="137" t="s">
        <v>20</v>
      </c>
      <c r="Q231" s="137" t="s">
        <v>20</v>
      </c>
    </row>
    <row r="232" spans="2:17" ht="39" x14ac:dyDescent="0.25">
      <c r="B232" s="137">
        <v>230</v>
      </c>
      <c r="C232" s="135" t="s">
        <v>321</v>
      </c>
      <c r="D232" s="138" t="s">
        <v>307</v>
      </c>
      <c r="E232" s="139">
        <v>45406</v>
      </c>
      <c r="F232" s="140">
        <v>6.1111111111111109E-2</v>
      </c>
      <c r="G232" s="141" t="s">
        <v>4001</v>
      </c>
      <c r="H232" s="138" t="s">
        <v>433</v>
      </c>
      <c r="I232" s="138" t="s">
        <v>434</v>
      </c>
      <c r="J232" s="142">
        <v>20000</v>
      </c>
      <c r="K232" s="142">
        <v>50000</v>
      </c>
      <c r="L232" s="137" t="s">
        <v>20</v>
      </c>
      <c r="M232" s="137" t="s">
        <v>20</v>
      </c>
      <c r="N232" s="137" t="s">
        <v>20</v>
      </c>
      <c r="O232" s="137" t="s">
        <v>20</v>
      </c>
      <c r="P232" s="137" t="s">
        <v>20</v>
      </c>
      <c r="Q232" s="137" t="s">
        <v>20</v>
      </c>
    </row>
    <row r="233" spans="2:17" ht="21" x14ac:dyDescent="0.25">
      <c r="B233" s="137">
        <v>231</v>
      </c>
      <c r="C233" s="135" t="s">
        <v>321</v>
      </c>
      <c r="D233" s="138" t="s">
        <v>307</v>
      </c>
      <c r="E233" s="139">
        <v>45406</v>
      </c>
      <c r="F233" s="140">
        <v>0.43333333333333335</v>
      </c>
      <c r="G233" s="141" t="s">
        <v>3983</v>
      </c>
      <c r="H233" s="138" t="s">
        <v>433</v>
      </c>
      <c r="I233" s="138" t="s">
        <v>435</v>
      </c>
      <c r="J233" s="142">
        <v>60000</v>
      </c>
      <c r="K233" s="142">
        <v>100000</v>
      </c>
      <c r="L233" s="137" t="s">
        <v>20</v>
      </c>
      <c r="M233" s="141">
        <v>2</v>
      </c>
      <c r="N233" s="137" t="s">
        <v>20</v>
      </c>
      <c r="O233" s="137" t="s">
        <v>20</v>
      </c>
      <c r="P233" s="137" t="s">
        <v>20</v>
      </c>
      <c r="Q233" s="137" t="s">
        <v>20</v>
      </c>
    </row>
    <row r="234" spans="2:17" ht="21" x14ac:dyDescent="0.25">
      <c r="B234" s="137">
        <v>232</v>
      </c>
      <c r="C234" s="135" t="s">
        <v>321</v>
      </c>
      <c r="D234" s="138" t="s">
        <v>307</v>
      </c>
      <c r="E234" s="139">
        <v>45406</v>
      </c>
      <c r="F234" s="140">
        <v>0.53402777777777777</v>
      </c>
      <c r="G234" s="141" t="s">
        <v>4002</v>
      </c>
      <c r="H234" s="138" t="s">
        <v>433</v>
      </c>
      <c r="I234" s="138" t="s">
        <v>434</v>
      </c>
      <c r="J234" s="142">
        <v>6000</v>
      </c>
      <c r="K234" s="142">
        <v>20000</v>
      </c>
      <c r="L234" s="137" t="s">
        <v>20</v>
      </c>
      <c r="M234" s="137" t="s">
        <v>20</v>
      </c>
      <c r="N234" s="137" t="s">
        <v>20</v>
      </c>
      <c r="O234" s="137" t="s">
        <v>20</v>
      </c>
      <c r="P234" s="137" t="s">
        <v>20</v>
      </c>
      <c r="Q234" s="137" t="s">
        <v>20</v>
      </c>
    </row>
    <row r="235" spans="2:17" ht="21" x14ac:dyDescent="0.25">
      <c r="B235" s="137">
        <v>233</v>
      </c>
      <c r="C235" s="135" t="s">
        <v>321</v>
      </c>
      <c r="D235" s="138" t="s">
        <v>307</v>
      </c>
      <c r="E235" s="139">
        <v>45406</v>
      </c>
      <c r="F235" s="140">
        <v>0.60763888888888884</v>
      </c>
      <c r="G235" s="141" t="s">
        <v>4003</v>
      </c>
      <c r="H235" s="138" t="s">
        <v>433</v>
      </c>
      <c r="I235" s="138" t="s">
        <v>414</v>
      </c>
      <c r="J235" s="142" t="s">
        <v>354</v>
      </c>
      <c r="K235" s="142" t="s">
        <v>341</v>
      </c>
      <c r="L235" s="137" t="s">
        <v>20</v>
      </c>
      <c r="M235" s="137" t="s">
        <v>20</v>
      </c>
      <c r="N235" s="137" t="s">
        <v>20</v>
      </c>
      <c r="O235" s="137" t="s">
        <v>20</v>
      </c>
      <c r="P235" s="137" t="s">
        <v>20</v>
      </c>
      <c r="Q235" s="137" t="s">
        <v>20</v>
      </c>
    </row>
    <row r="236" spans="2:17" ht="21" x14ac:dyDescent="0.25">
      <c r="B236" s="137">
        <v>234</v>
      </c>
      <c r="C236" s="135" t="s">
        <v>321</v>
      </c>
      <c r="D236" s="138" t="s">
        <v>307</v>
      </c>
      <c r="E236" s="139">
        <v>45406</v>
      </c>
      <c r="F236" s="140">
        <v>0.9555555555555556</v>
      </c>
      <c r="G236" s="141" t="s">
        <v>4004</v>
      </c>
      <c r="H236" s="138" t="s">
        <v>433</v>
      </c>
      <c r="I236" s="138" t="s">
        <v>436</v>
      </c>
      <c r="J236" s="142">
        <v>7000</v>
      </c>
      <c r="K236" s="142">
        <v>30000</v>
      </c>
      <c r="L236" s="137" t="s">
        <v>20</v>
      </c>
      <c r="M236" s="137" t="s">
        <v>20</v>
      </c>
      <c r="N236" s="137" t="s">
        <v>20</v>
      </c>
      <c r="O236" s="137" t="s">
        <v>20</v>
      </c>
      <c r="P236" s="137" t="s">
        <v>20</v>
      </c>
      <c r="Q236" s="137" t="s">
        <v>20</v>
      </c>
    </row>
    <row r="237" spans="2:17" ht="21" x14ac:dyDescent="0.25">
      <c r="B237" s="137">
        <v>235</v>
      </c>
      <c r="C237" s="135" t="s">
        <v>321</v>
      </c>
      <c r="D237" s="138" t="s">
        <v>307</v>
      </c>
      <c r="E237" s="139">
        <v>45407</v>
      </c>
      <c r="F237" s="140">
        <v>0.4236111111111111</v>
      </c>
      <c r="G237" s="141" t="s">
        <v>4005</v>
      </c>
      <c r="H237" s="138" t="s">
        <v>433</v>
      </c>
      <c r="I237" s="138" t="s">
        <v>437</v>
      </c>
      <c r="J237" s="142">
        <v>5000</v>
      </c>
      <c r="K237" s="142">
        <v>10000</v>
      </c>
      <c r="L237" s="137" t="s">
        <v>20</v>
      </c>
      <c r="M237" s="137" t="s">
        <v>20</v>
      </c>
      <c r="N237" s="137" t="s">
        <v>20</v>
      </c>
      <c r="O237" s="137" t="s">
        <v>20</v>
      </c>
      <c r="P237" s="137" t="s">
        <v>20</v>
      </c>
      <c r="Q237" s="137" t="s">
        <v>20</v>
      </c>
    </row>
    <row r="238" spans="2:17" ht="21" x14ac:dyDescent="0.25">
      <c r="B238" s="137">
        <v>236</v>
      </c>
      <c r="C238" s="135" t="s">
        <v>321</v>
      </c>
      <c r="D238" s="138" t="s">
        <v>307</v>
      </c>
      <c r="E238" s="139">
        <v>45407</v>
      </c>
      <c r="F238" s="140">
        <v>0.50486111111111109</v>
      </c>
      <c r="G238" s="141" t="s">
        <v>4006</v>
      </c>
      <c r="H238" s="138" t="s">
        <v>438</v>
      </c>
      <c r="I238" s="138" t="s">
        <v>439</v>
      </c>
      <c r="J238" s="142">
        <v>10000</v>
      </c>
      <c r="K238" s="142">
        <v>20000</v>
      </c>
      <c r="L238" s="137" t="s">
        <v>20</v>
      </c>
      <c r="M238" s="137" t="s">
        <v>20</v>
      </c>
      <c r="N238" s="137" t="s">
        <v>20</v>
      </c>
      <c r="O238" s="137" t="s">
        <v>20</v>
      </c>
      <c r="P238" s="137" t="s">
        <v>20</v>
      </c>
      <c r="Q238" s="137" t="s">
        <v>20</v>
      </c>
    </row>
    <row r="239" spans="2:17" ht="39" x14ac:dyDescent="0.25">
      <c r="B239" s="137">
        <v>237</v>
      </c>
      <c r="C239" s="135" t="s">
        <v>321</v>
      </c>
      <c r="D239" s="138" t="s">
        <v>307</v>
      </c>
      <c r="E239" s="139">
        <v>45407</v>
      </c>
      <c r="F239" s="140">
        <v>0.62777777777777777</v>
      </c>
      <c r="G239" s="141" t="s">
        <v>4007</v>
      </c>
      <c r="H239" s="138" t="s">
        <v>433</v>
      </c>
      <c r="I239" s="138" t="s">
        <v>440</v>
      </c>
      <c r="J239" s="142">
        <v>20000</v>
      </c>
      <c r="K239" s="142">
        <v>80000</v>
      </c>
      <c r="L239" s="137" t="s">
        <v>20</v>
      </c>
      <c r="M239" s="137" t="s">
        <v>20</v>
      </c>
      <c r="N239" s="137" t="s">
        <v>20</v>
      </c>
      <c r="O239" s="137" t="s">
        <v>20</v>
      </c>
      <c r="P239" s="137" t="s">
        <v>20</v>
      </c>
      <c r="Q239" s="137" t="s">
        <v>20</v>
      </c>
    </row>
    <row r="240" spans="2:17" ht="21" x14ac:dyDescent="0.25">
      <c r="B240" s="137">
        <v>238</v>
      </c>
      <c r="C240" s="135" t="s">
        <v>321</v>
      </c>
      <c r="D240" s="138" t="s">
        <v>307</v>
      </c>
      <c r="E240" s="139">
        <v>45407</v>
      </c>
      <c r="F240" s="140">
        <v>0.8305555555555556</v>
      </c>
      <c r="G240" s="141" t="s">
        <v>4008</v>
      </c>
      <c r="H240" s="138" t="s">
        <v>433</v>
      </c>
      <c r="I240" s="138" t="s">
        <v>441</v>
      </c>
      <c r="J240" s="142">
        <v>960000</v>
      </c>
      <c r="K240" s="142">
        <v>2040000</v>
      </c>
      <c r="L240" s="137" t="s">
        <v>20</v>
      </c>
      <c r="M240" s="137" t="s">
        <v>20</v>
      </c>
      <c r="N240" s="137" t="s">
        <v>20</v>
      </c>
      <c r="O240" s="137" t="s">
        <v>20</v>
      </c>
      <c r="P240" s="137" t="s">
        <v>20</v>
      </c>
      <c r="Q240" s="137" t="s">
        <v>20</v>
      </c>
    </row>
    <row r="241" spans="2:17" ht="39" x14ac:dyDescent="0.25">
      <c r="B241" s="137">
        <v>239</v>
      </c>
      <c r="C241" s="135" t="s">
        <v>321</v>
      </c>
      <c r="D241" s="138" t="s">
        <v>307</v>
      </c>
      <c r="E241" s="139">
        <v>45408</v>
      </c>
      <c r="F241" s="140">
        <v>0.59930555555555554</v>
      </c>
      <c r="G241" s="141" t="s">
        <v>4009</v>
      </c>
      <c r="H241" s="138" t="s">
        <v>442</v>
      </c>
      <c r="I241" s="138" t="s">
        <v>443</v>
      </c>
      <c r="J241" s="142">
        <v>20000</v>
      </c>
      <c r="K241" s="142">
        <v>100000</v>
      </c>
      <c r="L241" s="137" t="s">
        <v>20</v>
      </c>
      <c r="M241" s="137" t="s">
        <v>20</v>
      </c>
      <c r="N241" s="137" t="s">
        <v>20</v>
      </c>
      <c r="O241" s="137" t="s">
        <v>20</v>
      </c>
      <c r="P241" s="137" t="s">
        <v>20</v>
      </c>
      <c r="Q241" s="137" t="s">
        <v>20</v>
      </c>
    </row>
    <row r="242" spans="2:17" ht="21" x14ac:dyDescent="0.25">
      <c r="B242" s="137">
        <v>240</v>
      </c>
      <c r="C242" s="135" t="s">
        <v>321</v>
      </c>
      <c r="D242" s="138" t="s">
        <v>307</v>
      </c>
      <c r="E242" s="139">
        <v>45408</v>
      </c>
      <c r="F242" s="140">
        <v>0.62083333333333335</v>
      </c>
      <c r="G242" s="141" t="s">
        <v>4010</v>
      </c>
      <c r="H242" s="138" t="s">
        <v>442</v>
      </c>
      <c r="I242" s="138" t="s">
        <v>444</v>
      </c>
      <c r="J242" s="142">
        <v>10000</v>
      </c>
      <c r="K242" s="142">
        <v>50000</v>
      </c>
      <c r="L242" s="137" t="s">
        <v>20</v>
      </c>
      <c r="M242" s="137" t="s">
        <v>20</v>
      </c>
      <c r="N242" s="137" t="s">
        <v>20</v>
      </c>
      <c r="O242" s="137" t="s">
        <v>20</v>
      </c>
      <c r="P242" s="137" t="s">
        <v>20</v>
      </c>
      <c r="Q242" s="137" t="s">
        <v>20</v>
      </c>
    </row>
    <row r="243" spans="2:17" ht="21" x14ac:dyDescent="0.25">
      <c r="B243" s="137">
        <v>241</v>
      </c>
      <c r="C243" s="135" t="s">
        <v>321</v>
      </c>
      <c r="D243" s="138" t="s">
        <v>307</v>
      </c>
      <c r="E243" s="139">
        <v>45408</v>
      </c>
      <c r="F243" s="140">
        <v>0.66388888888888886</v>
      </c>
      <c r="G243" s="141" t="s">
        <v>4011</v>
      </c>
      <c r="H243" s="138" t="s">
        <v>442</v>
      </c>
      <c r="I243" s="138" t="s">
        <v>4012</v>
      </c>
      <c r="J243" s="142">
        <v>25000</v>
      </c>
      <c r="K243" s="142">
        <v>100000</v>
      </c>
      <c r="L243" s="137" t="s">
        <v>20</v>
      </c>
      <c r="M243" s="137" t="s">
        <v>20</v>
      </c>
      <c r="N243" s="137" t="s">
        <v>20</v>
      </c>
      <c r="O243" s="137" t="s">
        <v>20</v>
      </c>
      <c r="P243" s="137" t="s">
        <v>20</v>
      </c>
      <c r="Q243" s="137" t="s">
        <v>20</v>
      </c>
    </row>
    <row r="244" spans="2:17" ht="21" x14ac:dyDescent="0.25">
      <c r="B244" s="137">
        <v>242</v>
      </c>
      <c r="C244" s="135" t="s">
        <v>321</v>
      </c>
      <c r="D244" s="138" t="s">
        <v>307</v>
      </c>
      <c r="E244" s="139">
        <v>45408</v>
      </c>
      <c r="F244" s="140">
        <v>0.67013888888888884</v>
      </c>
      <c r="G244" s="141" t="s">
        <v>4013</v>
      </c>
      <c r="H244" s="138" t="s">
        <v>442</v>
      </c>
      <c r="I244" s="138" t="s">
        <v>421</v>
      </c>
      <c r="J244" s="142">
        <v>40000</v>
      </c>
      <c r="K244" s="142">
        <v>60000</v>
      </c>
      <c r="L244" s="137" t="s">
        <v>20</v>
      </c>
      <c r="M244" s="137" t="s">
        <v>20</v>
      </c>
      <c r="N244" s="137" t="s">
        <v>20</v>
      </c>
      <c r="O244" s="137" t="s">
        <v>20</v>
      </c>
      <c r="P244" s="137" t="s">
        <v>20</v>
      </c>
      <c r="Q244" s="137" t="s">
        <v>20</v>
      </c>
    </row>
    <row r="245" spans="2:17" ht="39" x14ac:dyDescent="0.25">
      <c r="B245" s="137">
        <v>243</v>
      </c>
      <c r="C245" s="135" t="s">
        <v>321</v>
      </c>
      <c r="D245" s="138" t="s">
        <v>307</v>
      </c>
      <c r="E245" s="139">
        <v>45408</v>
      </c>
      <c r="F245" s="140">
        <v>0.7368055555555556</v>
      </c>
      <c r="G245" s="141" t="s">
        <v>4014</v>
      </c>
      <c r="H245" s="138" t="s">
        <v>442</v>
      </c>
      <c r="I245" s="138" t="s">
        <v>4015</v>
      </c>
      <c r="J245" s="142">
        <v>100000</v>
      </c>
      <c r="K245" s="142">
        <v>100000</v>
      </c>
      <c r="L245" s="137" t="s">
        <v>20</v>
      </c>
      <c r="M245" s="137" t="s">
        <v>20</v>
      </c>
      <c r="N245" s="137" t="s">
        <v>20</v>
      </c>
      <c r="O245" s="137" t="s">
        <v>20</v>
      </c>
      <c r="P245" s="137" t="s">
        <v>20</v>
      </c>
      <c r="Q245" s="137" t="s">
        <v>20</v>
      </c>
    </row>
    <row r="246" spans="2:17" ht="21" x14ac:dyDescent="0.25">
      <c r="B246" s="137">
        <v>244</v>
      </c>
      <c r="C246" s="135" t="s">
        <v>321</v>
      </c>
      <c r="D246" s="138" t="s">
        <v>307</v>
      </c>
      <c r="E246" s="139">
        <v>45409</v>
      </c>
      <c r="F246" s="140">
        <v>0.57777777777777772</v>
      </c>
      <c r="G246" s="141" t="s">
        <v>4016</v>
      </c>
      <c r="H246" s="138" t="s">
        <v>442</v>
      </c>
      <c r="I246" s="138" t="s">
        <v>445</v>
      </c>
      <c r="J246" s="142">
        <v>50000</v>
      </c>
      <c r="K246" s="142">
        <v>80000</v>
      </c>
      <c r="L246" s="137" t="s">
        <v>20</v>
      </c>
      <c r="M246" s="137" t="s">
        <v>20</v>
      </c>
      <c r="N246" s="137" t="s">
        <v>20</v>
      </c>
      <c r="O246" s="137" t="s">
        <v>20</v>
      </c>
      <c r="P246" s="137" t="s">
        <v>20</v>
      </c>
      <c r="Q246" s="137" t="s">
        <v>20</v>
      </c>
    </row>
    <row r="247" spans="2:17" ht="21" x14ac:dyDescent="0.25">
      <c r="B247" s="137">
        <v>245</v>
      </c>
      <c r="C247" s="135" t="s">
        <v>321</v>
      </c>
      <c r="D247" s="138" t="s">
        <v>307</v>
      </c>
      <c r="E247" s="139">
        <v>45409</v>
      </c>
      <c r="F247" s="140">
        <v>0.58750000000000002</v>
      </c>
      <c r="G247" s="141" t="s">
        <v>4017</v>
      </c>
      <c r="H247" s="138" t="s">
        <v>442</v>
      </c>
      <c r="I247" s="138" t="s">
        <v>446</v>
      </c>
      <c r="J247" s="142">
        <v>10000</v>
      </c>
      <c r="K247" s="142">
        <v>80000</v>
      </c>
      <c r="L247" s="137" t="s">
        <v>20</v>
      </c>
      <c r="M247" s="137" t="s">
        <v>20</v>
      </c>
      <c r="N247" s="137" t="s">
        <v>20</v>
      </c>
      <c r="O247" s="137" t="s">
        <v>20</v>
      </c>
      <c r="P247" s="137" t="s">
        <v>20</v>
      </c>
      <c r="Q247" s="137" t="s">
        <v>20</v>
      </c>
    </row>
    <row r="248" spans="2:17" ht="21" x14ac:dyDescent="0.25">
      <c r="B248" s="137">
        <v>246</v>
      </c>
      <c r="C248" s="135" t="s">
        <v>321</v>
      </c>
      <c r="D248" s="138" t="s">
        <v>307</v>
      </c>
      <c r="E248" s="139">
        <v>45409</v>
      </c>
      <c r="F248" s="140">
        <v>0.78194444444444444</v>
      </c>
      <c r="G248" s="141" t="s">
        <v>4018</v>
      </c>
      <c r="H248" s="138" t="s">
        <v>442</v>
      </c>
      <c r="I248" s="138" t="s">
        <v>447</v>
      </c>
      <c r="J248" s="142">
        <v>50000</v>
      </c>
      <c r="K248" s="142">
        <v>300000</v>
      </c>
      <c r="L248" s="137" t="s">
        <v>20</v>
      </c>
      <c r="M248" s="137" t="s">
        <v>20</v>
      </c>
      <c r="N248" s="137" t="s">
        <v>20</v>
      </c>
      <c r="O248" s="137" t="s">
        <v>20</v>
      </c>
      <c r="P248" s="137" t="s">
        <v>20</v>
      </c>
      <c r="Q248" s="137" t="s">
        <v>20</v>
      </c>
    </row>
    <row r="249" spans="2:17" ht="21" x14ac:dyDescent="0.25">
      <c r="B249" s="137">
        <v>247</v>
      </c>
      <c r="C249" s="135" t="s">
        <v>321</v>
      </c>
      <c r="D249" s="138" t="s">
        <v>307</v>
      </c>
      <c r="E249" s="139">
        <v>45410</v>
      </c>
      <c r="F249" s="140">
        <v>8.1944444444444445E-2</v>
      </c>
      <c r="G249" s="141" t="s">
        <v>4018</v>
      </c>
      <c r="H249" s="138" t="s">
        <v>442</v>
      </c>
      <c r="I249" s="138" t="s">
        <v>448</v>
      </c>
      <c r="J249" s="142">
        <v>5000</v>
      </c>
      <c r="K249" s="142">
        <v>90000</v>
      </c>
      <c r="L249" s="137" t="s">
        <v>20</v>
      </c>
      <c r="M249" s="137" t="s">
        <v>20</v>
      </c>
      <c r="N249" s="137" t="s">
        <v>20</v>
      </c>
      <c r="O249" s="137" t="s">
        <v>20</v>
      </c>
      <c r="P249" s="137" t="s">
        <v>20</v>
      </c>
      <c r="Q249" s="137" t="s">
        <v>20</v>
      </c>
    </row>
    <row r="250" spans="2:17" ht="39" x14ac:dyDescent="0.25">
      <c r="B250" s="137">
        <v>248</v>
      </c>
      <c r="C250" s="135" t="s">
        <v>321</v>
      </c>
      <c r="D250" s="138" t="s">
        <v>307</v>
      </c>
      <c r="E250" s="139">
        <v>45410</v>
      </c>
      <c r="F250" s="140">
        <v>0.57499999999999996</v>
      </c>
      <c r="G250" s="141" t="s">
        <v>4019</v>
      </c>
      <c r="H250" s="138" t="s">
        <v>442</v>
      </c>
      <c r="I250" s="138" t="s">
        <v>449</v>
      </c>
      <c r="J250" s="142">
        <v>900000</v>
      </c>
      <c r="K250" s="142">
        <v>3000000</v>
      </c>
      <c r="L250" s="137" t="s">
        <v>20</v>
      </c>
      <c r="M250" s="137" t="s">
        <v>20</v>
      </c>
      <c r="N250" s="137" t="s">
        <v>20</v>
      </c>
      <c r="O250" s="137" t="s">
        <v>20</v>
      </c>
      <c r="P250" s="137" t="s">
        <v>20</v>
      </c>
      <c r="Q250" s="137" t="s">
        <v>20</v>
      </c>
    </row>
    <row r="251" spans="2:17" ht="39" x14ac:dyDescent="0.25">
      <c r="B251" s="137">
        <v>249</v>
      </c>
      <c r="C251" s="135" t="s">
        <v>321</v>
      </c>
      <c r="D251" s="138" t="s">
        <v>307</v>
      </c>
      <c r="E251" s="139">
        <v>45411</v>
      </c>
      <c r="F251" s="140">
        <v>0.39166666666666666</v>
      </c>
      <c r="G251" s="141" t="s">
        <v>4020</v>
      </c>
      <c r="H251" s="138" t="s">
        <v>442</v>
      </c>
      <c r="I251" s="138" t="s">
        <v>450</v>
      </c>
      <c r="J251" s="142">
        <v>20000</v>
      </c>
      <c r="K251" s="142">
        <v>50000</v>
      </c>
      <c r="L251" s="137" t="s">
        <v>20</v>
      </c>
      <c r="M251" s="137" t="s">
        <v>20</v>
      </c>
      <c r="N251" s="137" t="s">
        <v>20</v>
      </c>
      <c r="O251" s="137" t="s">
        <v>20</v>
      </c>
      <c r="P251" s="137" t="s">
        <v>20</v>
      </c>
      <c r="Q251" s="137" t="s">
        <v>20</v>
      </c>
    </row>
    <row r="252" spans="2:17" ht="21" x14ac:dyDescent="0.25">
      <c r="B252" s="137">
        <v>250</v>
      </c>
      <c r="C252" s="135" t="s">
        <v>321</v>
      </c>
      <c r="D252" s="138" t="s">
        <v>307</v>
      </c>
      <c r="E252" s="139">
        <v>45411</v>
      </c>
      <c r="F252" s="140">
        <v>0.51666666666666672</v>
      </c>
      <c r="G252" s="141" t="s">
        <v>451</v>
      </c>
      <c r="H252" s="138" t="s">
        <v>442</v>
      </c>
      <c r="I252" s="138" t="s">
        <v>452</v>
      </c>
      <c r="J252" s="142">
        <v>50000</v>
      </c>
      <c r="K252" s="142">
        <v>70000</v>
      </c>
      <c r="L252" s="137" t="s">
        <v>20</v>
      </c>
      <c r="M252" s="137" t="s">
        <v>20</v>
      </c>
      <c r="N252" s="137" t="s">
        <v>20</v>
      </c>
      <c r="O252" s="137" t="s">
        <v>20</v>
      </c>
      <c r="P252" s="137" t="s">
        <v>20</v>
      </c>
      <c r="Q252" s="137" t="s">
        <v>20</v>
      </c>
    </row>
    <row r="253" spans="2:17" ht="21" x14ac:dyDescent="0.25">
      <c r="B253" s="137">
        <v>251</v>
      </c>
      <c r="C253" s="135" t="s">
        <v>321</v>
      </c>
      <c r="D253" s="138" t="s">
        <v>307</v>
      </c>
      <c r="E253" s="139">
        <v>45411</v>
      </c>
      <c r="F253" s="140">
        <v>0.74444444444444446</v>
      </c>
      <c r="G253" s="138" t="s">
        <v>453</v>
      </c>
      <c r="H253" s="138" t="s">
        <v>442</v>
      </c>
      <c r="I253" s="138" t="s">
        <v>454</v>
      </c>
      <c r="J253" s="142">
        <v>5000</v>
      </c>
      <c r="K253" s="142">
        <v>10000</v>
      </c>
      <c r="L253" s="137" t="s">
        <v>20</v>
      </c>
      <c r="M253" s="137" t="s">
        <v>20</v>
      </c>
      <c r="N253" s="137" t="s">
        <v>20</v>
      </c>
      <c r="O253" s="137" t="s">
        <v>20</v>
      </c>
      <c r="P253" s="137" t="s">
        <v>20</v>
      </c>
      <c r="Q253" s="137" t="s">
        <v>20</v>
      </c>
    </row>
    <row r="254" spans="2:17" ht="39" x14ac:dyDescent="0.25">
      <c r="B254" s="137">
        <v>252</v>
      </c>
      <c r="C254" s="135" t="s">
        <v>321</v>
      </c>
      <c r="D254" s="138" t="s">
        <v>307</v>
      </c>
      <c r="E254" s="139">
        <v>45411</v>
      </c>
      <c r="F254" s="140">
        <v>0.81527777777777777</v>
      </c>
      <c r="G254" s="138" t="s">
        <v>4021</v>
      </c>
      <c r="H254" s="138" t="s">
        <v>442</v>
      </c>
      <c r="I254" s="138" t="s">
        <v>455</v>
      </c>
      <c r="J254" s="142">
        <v>20000</v>
      </c>
      <c r="K254" s="142">
        <v>30000</v>
      </c>
      <c r="L254" s="137" t="s">
        <v>20</v>
      </c>
      <c r="M254" s="137" t="s">
        <v>20</v>
      </c>
      <c r="N254" s="137" t="s">
        <v>20</v>
      </c>
      <c r="O254" s="137" t="s">
        <v>20</v>
      </c>
      <c r="P254" s="137" t="s">
        <v>20</v>
      </c>
      <c r="Q254" s="137" t="s">
        <v>20</v>
      </c>
    </row>
    <row r="255" spans="2:17" ht="21" x14ac:dyDescent="0.25">
      <c r="B255" s="137">
        <v>253</v>
      </c>
      <c r="C255" s="135" t="s">
        <v>321</v>
      </c>
      <c r="D255" s="138" t="s">
        <v>307</v>
      </c>
      <c r="E255" s="139">
        <v>45411</v>
      </c>
      <c r="F255" s="140">
        <v>0.9819444444444444</v>
      </c>
      <c r="G255" s="138" t="s">
        <v>4022</v>
      </c>
      <c r="H255" s="138" t="s">
        <v>442</v>
      </c>
      <c r="I255" s="138" t="s">
        <v>446</v>
      </c>
      <c r="J255" s="142">
        <v>10000</v>
      </c>
      <c r="K255" s="142">
        <v>20000</v>
      </c>
      <c r="L255" s="137" t="s">
        <v>20</v>
      </c>
      <c r="M255" s="137" t="s">
        <v>20</v>
      </c>
      <c r="N255" s="137" t="s">
        <v>20</v>
      </c>
      <c r="O255" s="137" t="s">
        <v>20</v>
      </c>
      <c r="P255" s="137" t="s">
        <v>20</v>
      </c>
      <c r="Q255" s="137" t="s">
        <v>20</v>
      </c>
    </row>
    <row r="256" spans="2:17" ht="21" x14ac:dyDescent="0.25">
      <c r="B256" s="137">
        <v>254</v>
      </c>
      <c r="C256" s="135" t="s">
        <v>321</v>
      </c>
      <c r="D256" s="138" t="s">
        <v>307</v>
      </c>
      <c r="E256" s="139">
        <v>45412</v>
      </c>
      <c r="F256" s="140">
        <v>7.6388888888888895E-2</v>
      </c>
      <c r="G256" s="138" t="s">
        <v>4023</v>
      </c>
      <c r="H256" s="138" t="s">
        <v>309</v>
      </c>
      <c r="I256" s="138" t="s">
        <v>456</v>
      </c>
      <c r="J256" s="142">
        <v>7000</v>
      </c>
      <c r="K256" s="142">
        <v>8000</v>
      </c>
      <c r="L256" s="137" t="s">
        <v>20</v>
      </c>
      <c r="M256" s="137" t="s">
        <v>20</v>
      </c>
      <c r="N256" s="137" t="s">
        <v>20</v>
      </c>
      <c r="O256" s="137" t="s">
        <v>20</v>
      </c>
      <c r="P256" s="137" t="s">
        <v>20</v>
      </c>
      <c r="Q256" s="137" t="s">
        <v>20</v>
      </c>
    </row>
    <row r="257" spans="2:17" ht="58.5" x14ac:dyDescent="0.25">
      <c r="B257" s="137">
        <v>255</v>
      </c>
      <c r="C257" s="135" t="s">
        <v>321</v>
      </c>
      <c r="D257" s="138" t="s">
        <v>306</v>
      </c>
      <c r="E257" s="139">
        <v>45384</v>
      </c>
      <c r="F257" s="140">
        <v>0.52847222222222223</v>
      </c>
      <c r="G257" s="138" t="s">
        <v>4024</v>
      </c>
      <c r="H257" s="141" t="s">
        <v>3726</v>
      </c>
      <c r="I257" s="141" t="s">
        <v>3727</v>
      </c>
      <c r="J257" s="142" t="s">
        <v>341</v>
      </c>
      <c r="K257" s="142" t="s">
        <v>341</v>
      </c>
      <c r="L257" s="137" t="s">
        <v>20</v>
      </c>
      <c r="M257" s="137" t="s">
        <v>20</v>
      </c>
      <c r="N257" s="137" t="s">
        <v>20</v>
      </c>
      <c r="O257" s="137" t="s">
        <v>20</v>
      </c>
      <c r="P257" s="137" t="s">
        <v>20</v>
      </c>
      <c r="Q257" s="137" t="s">
        <v>20</v>
      </c>
    </row>
    <row r="258" spans="2:17" ht="58.5" x14ac:dyDescent="0.25">
      <c r="B258" s="137">
        <v>256</v>
      </c>
      <c r="C258" s="135" t="s">
        <v>321</v>
      </c>
      <c r="D258" s="138" t="s">
        <v>306</v>
      </c>
      <c r="E258" s="139">
        <v>45384</v>
      </c>
      <c r="F258" s="140">
        <v>0.78541666666666665</v>
      </c>
      <c r="G258" s="138" t="s">
        <v>4025</v>
      </c>
      <c r="H258" s="141" t="s">
        <v>3726</v>
      </c>
      <c r="I258" s="141" t="s">
        <v>3727</v>
      </c>
      <c r="J258" s="142" t="s">
        <v>341</v>
      </c>
      <c r="K258" s="142" t="s">
        <v>341</v>
      </c>
      <c r="L258" s="137" t="s">
        <v>20</v>
      </c>
      <c r="M258" s="137" t="s">
        <v>20</v>
      </c>
      <c r="N258" s="137" t="s">
        <v>20</v>
      </c>
      <c r="O258" s="137" t="s">
        <v>20</v>
      </c>
      <c r="P258" s="137" t="s">
        <v>20</v>
      </c>
      <c r="Q258" s="137" t="s">
        <v>20</v>
      </c>
    </row>
    <row r="259" spans="2:17" ht="58.5" x14ac:dyDescent="0.25">
      <c r="B259" s="137">
        <v>257</v>
      </c>
      <c r="C259" s="135" t="s">
        <v>321</v>
      </c>
      <c r="D259" s="138" t="s">
        <v>306</v>
      </c>
      <c r="E259" s="139">
        <v>45387</v>
      </c>
      <c r="F259" s="140">
        <v>0.71388888888888891</v>
      </c>
      <c r="G259" s="138" t="s">
        <v>4026</v>
      </c>
      <c r="H259" s="141" t="s">
        <v>3726</v>
      </c>
      <c r="I259" s="141" t="s">
        <v>4027</v>
      </c>
      <c r="J259" s="142" t="s">
        <v>341</v>
      </c>
      <c r="K259" s="142" t="s">
        <v>341</v>
      </c>
      <c r="L259" s="137" t="s">
        <v>20</v>
      </c>
      <c r="M259" s="137" t="s">
        <v>20</v>
      </c>
      <c r="N259" s="137" t="s">
        <v>20</v>
      </c>
      <c r="O259" s="137" t="s">
        <v>20</v>
      </c>
      <c r="P259" s="137" t="s">
        <v>20</v>
      </c>
      <c r="Q259" s="137" t="s">
        <v>20</v>
      </c>
    </row>
    <row r="260" spans="2:17" ht="58.5" x14ac:dyDescent="0.25">
      <c r="B260" s="137">
        <v>258</v>
      </c>
      <c r="C260" s="135" t="s">
        <v>321</v>
      </c>
      <c r="D260" s="138" t="s">
        <v>306</v>
      </c>
      <c r="E260" s="139">
        <v>45388</v>
      </c>
      <c r="F260" s="140">
        <v>0.41875000000000001</v>
      </c>
      <c r="G260" s="138" t="s">
        <v>4028</v>
      </c>
      <c r="H260" s="141" t="s">
        <v>4029</v>
      </c>
      <c r="I260" s="138" t="s">
        <v>3730</v>
      </c>
      <c r="J260" s="142" t="s">
        <v>341</v>
      </c>
      <c r="K260" s="142" t="s">
        <v>341</v>
      </c>
      <c r="L260" s="137" t="s">
        <v>20</v>
      </c>
      <c r="M260" s="137" t="s">
        <v>20</v>
      </c>
      <c r="N260" s="137" t="s">
        <v>20</v>
      </c>
      <c r="O260" s="137" t="s">
        <v>20</v>
      </c>
      <c r="P260" s="137" t="s">
        <v>20</v>
      </c>
      <c r="Q260" s="137" t="s">
        <v>20</v>
      </c>
    </row>
    <row r="261" spans="2:17" ht="97.5" x14ac:dyDescent="0.25">
      <c r="B261" s="137">
        <v>259</v>
      </c>
      <c r="C261" s="135" t="s">
        <v>321</v>
      </c>
      <c r="D261" s="138" t="s">
        <v>306</v>
      </c>
      <c r="E261" s="139">
        <v>45388</v>
      </c>
      <c r="F261" s="140">
        <v>0.7104166666666667</v>
      </c>
      <c r="G261" s="138" t="s">
        <v>4030</v>
      </c>
      <c r="H261" s="141" t="s">
        <v>20</v>
      </c>
      <c r="I261" s="138" t="s">
        <v>4031</v>
      </c>
      <c r="J261" s="142" t="s">
        <v>4032</v>
      </c>
      <c r="K261" s="142"/>
      <c r="L261" s="137" t="s">
        <v>20</v>
      </c>
      <c r="M261" s="137" t="s">
        <v>20</v>
      </c>
      <c r="N261" s="137" t="s">
        <v>20</v>
      </c>
      <c r="O261" s="137" t="s">
        <v>20</v>
      </c>
      <c r="P261" s="137" t="s">
        <v>20</v>
      </c>
      <c r="Q261" s="137" t="s">
        <v>20</v>
      </c>
    </row>
    <row r="262" spans="2:17" ht="97.5" x14ac:dyDescent="0.25">
      <c r="B262" s="137">
        <v>260</v>
      </c>
      <c r="C262" s="135" t="s">
        <v>321</v>
      </c>
      <c r="D262" s="138" t="s">
        <v>306</v>
      </c>
      <c r="E262" s="139">
        <v>45389</v>
      </c>
      <c r="F262" s="140">
        <v>0.67708333333333337</v>
      </c>
      <c r="G262" s="138" t="s">
        <v>4033</v>
      </c>
      <c r="H262" s="141" t="s">
        <v>20</v>
      </c>
      <c r="I262" s="138" t="s">
        <v>4034</v>
      </c>
      <c r="J262" s="142" t="s">
        <v>4035</v>
      </c>
      <c r="K262" s="142"/>
      <c r="L262" s="137" t="s">
        <v>20</v>
      </c>
      <c r="M262" s="137" t="s">
        <v>20</v>
      </c>
      <c r="N262" s="137" t="s">
        <v>20</v>
      </c>
      <c r="O262" s="137" t="s">
        <v>20</v>
      </c>
      <c r="P262" s="137" t="s">
        <v>20</v>
      </c>
      <c r="Q262" s="137" t="s">
        <v>20</v>
      </c>
    </row>
    <row r="263" spans="2:17" ht="78" x14ac:dyDescent="0.25">
      <c r="B263" s="137">
        <v>261</v>
      </c>
      <c r="C263" s="135" t="s">
        <v>321</v>
      </c>
      <c r="D263" s="138" t="s">
        <v>306</v>
      </c>
      <c r="E263" s="139">
        <v>45392</v>
      </c>
      <c r="F263" s="140">
        <v>0.44097222222222221</v>
      </c>
      <c r="G263" s="138" t="s">
        <v>4036</v>
      </c>
      <c r="H263" s="141" t="s">
        <v>4029</v>
      </c>
      <c r="I263" s="138" t="s">
        <v>4037</v>
      </c>
      <c r="J263" s="142" t="s">
        <v>341</v>
      </c>
      <c r="K263" s="142" t="s">
        <v>341</v>
      </c>
      <c r="L263" s="137" t="s">
        <v>20</v>
      </c>
      <c r="M263" s="137" t="s">
        <v>20</v>
      </c>
      <c r="N263" s="137" t="s">
        <v>20</v>
      </c>
      <c r="O263" s="137" t="s">
        <v>20</v>
      </c>
      <c r="P263" s="137" t="s">
        <v>20</v>
      </c>
      <c r="Q263" s="137" t="s">
        <v>20</v>
      </c>
    </row>
    <row r="264" spans="2:17" ht="78" x14ac:dyDescent="0.25">
      <c r="B264" s="137">
        <v>262</v>
      </c>
      <c r="C264" s="135" t="s">
        <v>321</v>
      </c>
      <c r="D264" s="138" t="s">
        <v>306</v>
      </c>
      <c r="E264" s="139">
        <v>45398</v>
      </c>
      <c r="F264" s="140">
        <v>0.36458333333333331</v>
      </c>
      <c r="G264" s="138" t="s">
        <v>3813</v>
      </c>
      <c r="H264" s="141" t="s">
        <v>4029</v>
      </c>
      <c r="I264" s="138" t="s">
        <v>4038</v>
      </c>
      <c r="J264" s="142">
        <v>400000</v>
      </c>
      <c r="K264" s="142">
        <v>4600000</v>
      </c>
      <c r="L264" s="137" t="s">
        <v>20</v>
      </c>
      <c r="M264" s="137" t="s">
        <v>20</v>
      </c>
      <c r="N264" s="137" t="s">
        <v>20</v>
      </c>
      <c r="O264" s="137" t="s">
        <v>20</v>
      </c>
      <c r="P264" s="137" t="s">
        <v>20</v>
      </c>
      <c r="Q264" s="137" t="s">
        <v>20</v>
      </c>
    </row>
    <row r="265" spans="2:17" ht="78" x14ac:dyDescent="0.25">
      <c r="B265" s="137">
        <v>263</v>
      </c>
      <c r="C265" s="135" t="s">
        <v>321</v>
      </c>
      <c r="D265" s="138" t="s">
        <v>306</v>
      </c>
      <c r="E265" s="139">
        <v>45399</v>
      </c>
      <c r="F265" s="140">
        <v>0.64166666666666672</v>
      </c>
      <c r="G265" s="138" t="s">
        <v>3813</v>
      </c>
      <c r="H265" s="141" t="s">
        <v>4029</v>
      </c>
      <c r="I265" s="138" t="s">
        <v>4039</v>
      </c>
      <c r="J265" s="142">
        <v>10000</v>
      </c>
      <c r="K265" s="142">
        <v>40000</v>
      </c>
      <c r="L265" s="137" t="s">
        <v>20</v>
      </c>
      <c r="M265" s="137" t="s">
        <v>20</v>
      </c>
      <c r="N265" s="137" t="s">
        <v>20</v>
      </c>
      <c r="O265" s="137" t="s">
        <v>20</v>
      </c>
      <c r="P265" s="137" t="s">
        <v>20</v>
      </c>
      <c r="Q265" s="137" t="s">
        <v>20</v>
      </c>
    </row>
    <row r="266" spans="2:17" ht="78" x14ac:dyDescent="0.25">
      <c r="B266" s="137">
        <v>264</v>
      </c>
      <c r="C266" s="135" t="s">
        <v>321</v>
      </c>
      <c r="D266" s="138" t="s">
        <v>306</v>
      </c>
      <c r="E266" s="139">
        <v>45400</v>
      </c>
      <c r="F266" s="140">
        <v>0.18194444444444444</v>
      </c>
      <c r="G266" s="138" t="s">
        <v>4040</v>
      </c>
      <c r="H266" s="141" t="s">
        <v>4029</v>
      </c>
      <c r="I266" s="138" t="s">
        <v>4041</v>
      </c>
      <c r="J266" s="142">
        <v>20000</v>
      </c>
      <c r="K266" s="142">
        <v>30000</v>
      </c>
      <c r="L266" s="137" t="s">
        <v>20</v>
      </c>
      <c r="M266" s="137" t="s">
        <v>20</v>
      </c>
      <c r="N266" s="137" t="s">
        <v>20</v>
      </c>
      <c r="O266" s="137" t="s">
        <v>20</v>
      </c>
      <c r="P266" s="137" t="s">
        <v>20</v>
      </c>
      <c r="Q266" s="137" t="s">
        <v>20</v>
      </c>
    </row>
    <row r="267" spans="2:17" ht="58.5" x14ac:dyDescent="0.25">
      <c r="B267" s="137">
        <v>265</v>
      </c>
      <c r="C267" s="135" t="s">
        <v>321</v>
      </c>
      <c r="D267" s="138" t="s">
        <v>306</v>
      </c>
      <c r="E267" s="139">
        <v>45400</v>
      </c>
      <c r="F267" s="140">
        <v>0.46944444444444444</v>
      </c>
      <c r="G267" s="138" t="s">
        <v>4042</v>
      </c>
      <c r="H267" s="141" t="s">
        <v>4029</v>
      </c>
      <c r="I267" s="138" t="s">
        <v>4043</v>
      </c>
      <c r="J267" s="142" t="s">
        <v>341</v>
      </c>
      <c r="K267" s="142" t="s">
        <v>341</v>
      </c>
      <c r="L267" s="137" t="s">
        <v>20</v>
      </c>
      <c r="M267" s="137" t="s">
        <v>20</v>
      </c>
      <c r="N267" s="137" t="s">
        <v>20</v>
      </c>
      <c r="O267" s="137" t="s">
        <v>20</v>
      </c>
      <c r="P267" s="137" t="s">
        <v>20</v>
      </c>
      <c r="Q267" s="137" t="s">
        <v>20</v>
      </c>
    </row>
    <row r="268" spans="2:17" ht="97.5" x14ac:dyDescent="0.25">
      <c r="B268" s="137">
        <v>266</v>
      </c>
      <c r="C268" s="135" t="s">
        <v>321</v>
      </c>
      <c r="D268" s="138" t="s">
        <v>306</v>
      </c>
      <c r="E268" s="139">
        <v>45400</v>
      </c>
      <c r="F268" s="140">
        <v>0.47916666666666669</v>
      </c>
      <c r="G268" s="138" t="s">
        <v>4040</v>
      </c>
      <c r="H268" s="141" t="s">
        <v>4029</v>
      </c>
      <c r="I268" s="138" t="s">
        <v>4044</v>
      </c>
      <c r="J268" s="142">
        <v>10000</v>
      </c>
      <c r="K268" s="142">
        <v>190000</v>
      </c>
      <c r="L268" s="137" t="s">
        <v>20</v>
      </c>
      <c r="M268" s="137" t="s">
        <v>20</v>
      </c>
      <c r="N268" s="137" t="s">
        <v>20</v>
      </c>
      <c r="O268" s="137" t="s">
        <v>20</v>
      </c>
      <c r="P268" s="137" t="s">
        <v>20</v>
      </c>
      <c r="Q268" s="137" t="s">
        <v>20</v>
      </c>
    </row>
    <row r="269" spans="2:17" ht="78" x14ac:dyDescent="0.25">
      <c r="B269" s="137">
        <v>267</v>
      </c>
      <c r="C269" s="135" t="s">
        <v>321</v>
      </c>
      <c r="D269" s="138" t="s">
        <v>306</v>
      </c>
      <c r="E269" s="139">
        <v>45400</v>
      </c>
      <c r="F269" s="140">
        <v>0.54027777777777775</v>
      </c>
      <c r="G269" s="138" t="s">
        <v>4045</v>
      </c>
      <c r="H269" s="141" t="s">
        <v>4029</v>
      </c>
      <c r="I269" s="138" t="s">
        <v>4046</v>
      </c>
      <c r="J269" s="142">
        <v>10000</v>
      </c>
      <c r="K269" s="142">
        <v>40000</v>
      </c>
      <c r="L269" s="137" t="s">
        <v>20</v>
      </c>
      <c r="M269" s="137" t="s">
        <v>20</v>
      </c>
      <c r="N269" s="137" t="s">
        <v>20</v>
      </c>
      <c r="O269" s="137" t="s">
        <v>20</v>
      </c>
      <c r="P269" s="137" t="s">
        <v>20</v>
      </c>
      <c r="Q269" s="137" t="s">
        <v>20</v>
      </c>
    </row>
    <row r="270" spans="2:17" ht="78" x14ac:dyDescent="0.25">
      <c r="B270" s="137">
        <v>268</v>
      </c>
      <c r="C270" s="135" t="s">
        <v>321</v>
      </c>
      <c r="D270" s="138" t="s">
        <v>306</v>
      </c>
      <c r="E270" s="139">
        <v>45400</v>
      </c>
      <c r="F270" s="140">
        <v>0.57916666666666672</v>
      </c>
      <c r="G270" s="138" t="s">
        <v>4047</v>
      </c>
      <c r="H270" s="141" t="s">
        <v>4029</v>
      </c>
      <c r="I270" s="138" t="s">
        <v>4048</v>
      </c>
      <c r="J270" s="142" t="s">
        <v>341</v>
      </c>
      <c r="K270" s="142" t="s">
        <v>341</v>
      </c>
      <c r="L270" s="137" t="s">
        <v>20</v>
      </c>
      <c r="M270" s="137" t="s">
        <v>20</v>
      </c>
      <c r="N270" s="137" t="s">
        <v>20</v>
      </c>
      <c r="O270" s="137" t="s">
        <v>20</v>
      </c>
      <c r="P270" s="137" t="s">
        <v>20</v>
      </c>
      <c r="Q270" s="137" t="s">
        <v>20</v>
      </c>
    </row>
    <row r="271" spans="2:17" ht="97.5" x14ac:dyDescent="0.25">
      <c r="B271" s="137">
        <v>269</v>
      </c>
      <c r="C271" s="135" t="s">
        <v>321</v>
      </c>
      <c r="D271" s="138" t="s">
        <v>306</v>
      </c>
      <c r="E271" s="139">
        <v>45400</v>
      </c>
      <c r="F271" s="140">
        <v>0.55347222222222225</v>
      </c>
      <c r="G271" s="138" t="s">
        <v>4049</v>
      </c>
      <c r="H271" s="141" t="s">
        <v>20</v>
      </c>
      <c r="I271" s="138" t="s">
        <v>4050</v>
      </c>
      <c r="J271" s="142" t="s">
        <v>4051</v>
      </c>
      <c r="K271" s="142"/>
      <c r="L271" s="137" t="s">
        <v>20</v>
      </c>
      <c r="M271" s="137" t="s">
        <v>20</v>
      </c>
      <c r="N271" s="137" t="s">
        <v>20</v>
      </c>
      <c r="O271" s="137" t="s">
        <v>20</v>
      </c>
      <c r="P271" s="137" t="s">
        <v>20</v>
      </c>
      <c r="Q271" s="137" t="s">
        <v>20</v>
      </c>
    </row>
    <row r="272" spans="2:17" ht="78" x14ac:dyDescent="0.25">
      <c r="B272" s="137">
        <v>270</v>
      </c>
      <c r="C272" s="135" t="s">
        <v>321</v>
      </c>
      <c r="D272" s="138" t="s">
        <v>306</v>
      </c>
      <c r="E272" s="139">
        <v>45400</v>
      </c>
      <c r="F272" s="140">
        <v>0.60069444444444442</v>
      </c>
      <c r="G272" s="138" t="s">
        <v>3806</v>
      </c>
      <c r="H272" s="141" t="s">
        <v>4029</v>
      </c>
      <c r="I272" s="138" t="s">
        <v>4052</v>
      </c>
      <c r="J272" s="142">
        <v>5000</v>
      </c>
      <c r="K272" s="142">
        <v>45000</v>
      </c>
      <c r="L272" s="137" t="s">
        <v>20</v>
      </c>
      <c r="M272" s="137" t="s">
        <v>20</v>
      </c>
      <c r="N272" s="137" t="s">
        <v>20</v>
      </c>
      <c r="O272" s="137" t="s">
        <v>20</v>
      </c>
      <c r="P272" s="137" t="s">
        <v>20</v>
      </c>
      <c r="Q272" s="137" t="s">
        <v>20</v>
      </c>
    </row>
    <row r="273" spans="2:17" ht="78" x14ac:dyDescent="0.25">
      <c r="B273" s="137">
        <v>271</v>
      </c>
      <c r="C273" s="135" t="s">
        <v>321</v>
      </c>
      <c r="D273" s="138" t="s">
        <v>306</v>
      </c>
      <c r="E273" s="139">
        <v>45400</v>
      </c>
      <c r="F273" s="140">
        <v>0.75624999999999998</v>
      </c>
      <c r="G273" s="138" t="s">
        <v>4053</v>
      </c>
      <c r="H273" s="141" t="s">
        <v>4029</v>
      </c>
      <c r="I273" s="138" t="s">
        <v>4054</v>
      </c>
      <c r="J273" s="142">
        <v>5000</v>
      </c>
      <c r="K273" s="142">
        <v>15000</v>
      </c>
      <c r="L273" s="137" t="s">
        <v>20</v>
      </c>
      <c r="M273" s="137" t="s">
        <v>20</v>
      </c>
      <c r="N273" s="137" t="s">
        <v>20</v>
      </c>
      <c r="O273" s="137" t="s">
        <v>20</v>
      </c>
      <c r="P273" s="137" t="s">
        <v>20</v>
      </c>
      <c r="Q273" s="137" t="s">
        <v>20</v>
      </c>
    </row>
    <row r="274" spans="2:17" ht="78" x14ac:dyDescent="0.25">
      <c r="B274" s="137">
        <v>272</v>
      </c>
      <c r="C274" s="135" t="s">
        <v>321</v>
      </c>
      <c r="D274" s="138" t="s">
        <v>306</v>
      </c>
      <c r="E274" s="139">
        <v>45401</v>
      </c>
      <c r="F274" s="140">
        <v>0.40277777777777779</v>
      </c>
      <c r="G274" s="138" t="s">
        <v>4055</v>
      </c>
      <c r="H274" s="141" t="s">
        <v>4029</v>
      </c>
      <c r="I274" s="138" t="s">
        <v>4056</v>
      </c>
      <c r="J274" s="142" t="s">
        <v>341</v>
      </c>
      <c r="K274" s="142" t="s">
        <v>341</v>
      </c>
      <c r="L274" s="137" t="s">
        <v>20</v>
      </c>
      <c r="M274" s="137" t="s">
        <v>20</v>
      </c>
      <c r="N274" s="137" t="s">
        <v>20</v>
      </c>
      <c r="O274" s="137" t="s">
        <v>20</v>
      </c>
      <c r="P274" s="137" t="s">
        <v>20</v>
      </c>
      <c r="Q274" s="137" t="s">
        <v>20</v>
      </c>
    </row>
    <row r="275" spans="2:17" ht="78" x14ac:dyDescent="0.25">
      <c r="B275" s="137">
        <v>273</v>
      </c>
      <c r="C275" s="135" t="s">
        <v>321</v>
      </c>
      <c r="D275" s="138" t="s">
        <v>306</v>
      </c>
      <c r="E275" s="139">
        <v>45401</v>
      </c>
      <c r="F275" s="140">
        <v>0.47013888888888888</v>
      </c>
      <c r="G275" s="138" t="s">
        <v>4057</v>
      </c>
      <c r="H275" s="141" t="s">
        <v>4029</v>
      </c>
      <c r="I275" s="138" t="s">
        <v>4058</v>
      </c>
      <c r="J275" s="142">
        <v>50000</v>
      </c>
      <c r="K275" s="142">
        <v>150000</v>
      </c>
      <c r="L275" s="137" t="s">
        <v>20</v>
      </c>
      <c r="M275" s="137" t="s">
        <v>20</v>
      </c>
      <c r="N275" s="137" t="s">
        <v>20</v>
      </c>
      <c r="O275" s="137" t="s">
        <v>20</v>
      </c>
      <c r="P275" s="137" t="s">
        <v>20</v>
      </c>
      <c r="Q275" s="137" t="s">
        <v>20</v>
      </c>
    </row>
    <row r="276" spans="2:17" ht="117" x14ac:dyDescent="0.25">
      <c r="B276" s="137">
        <v>274</v>
      </c>
      <c r="C276" s="135" t="s">
        <v>321</v>
      </c>
      <c r="D276" s="138" t="s">
        <v>306</v>
      </c>
      <c r="E276" s="139">
        <v>45401</v>
      </c>
      <c r="F276" s="140">
        <v>0.60486111111111107</v>
      </c>
      <c r="G276" s="138" t="s">
        <v>4059</v>
      </c>
      <c r="H276" s="141" t="s">
        <v>4029</v>
      </c>
      <c r="I276" s="138" t="s">
        <v>4060</v>
      </c>
      <c r="J276" s="142" t="s">
        <v>4061</v>
      </c>
      <c r="K276" s="142"/>
      <c r="L276" s="137" t="s">
        <v>20</v>
      </c>
      <c r="M276" s="137" t="s">
        <v>20</v>
      </c>
      <c r="N276" s="137" t="s">
        <v>20</v>
      </c>
      <c r="O276" s="137" t="s">
        <v>20</v>
      </c>
      <c r="P276" s="137" t="s">
        <v>20</v>
      </c>
      <c r="Q276" s="137" t="s">
        <v>20</v>
      </c>
    </row>
    <row r="277" spans="2:17" ht="78" x14ac:dyDescent="0.25">
      <c r="B277" s="137">
        <v>275</v>
      </c>
      <c r="C277" s="135" t="s">
        <v>321</v>
      </c>
      <c r="D277" s="138" t="s">
        <v>306</v>
      </c>
      <c r="E277" s="139">
        <v>45402</v>
      </c>
      <c r="F277" s="140">
        <v>0.46319444444444446</v>
      </c>
      <c r="G277" s="138" t="s">
        <v>4062</v>
      </c>
      <c r="H277" s="141" t="s">
        <v>4029</v>
      </c>
      <c r="I277" s="138" t="s">
        <v>4063</v>
      </c>
      <c r="J277" s="142" t="s">
        <v>341</v>
      </c>
      <c r="K277" s="142" t="s">
        <v>341</v>
      </c>
      <c r="L277" s="137" t="s">
        <v>20</v>
      </c>
      <c r="M277" s="137" t="s">
        <v>20</v>
      </c>
      <c r="N277" s="137" t="s">
        <v>20</v>
      </c>
      <c r="O277" s="137" t="s">
        <v>20</v>
      </c>
      <c r="P277" s="137" t="s">
        <v>20</v>
      </c>
      <c r="Q277" s="137" t="s">
        <v>20</v>
      </c>
    </row>
    <row r="278" spans="2:17" ht="78" x14ac:dyDescent="0.25">
      <c r="B278" s="137">
        <v>276</v>
      </c>
      <c r="C278" s="135" t="s">
        <v>321</v>
      </c>
      <c r="D278" s="138" t="s">
        <v>306</v>
      </c>
      <c r="E278" s="139">
        <v>45403</v>
      </c>
      <c r="F278" s="140">
        <v>0.48472222222222222</v>
      </c>
      <c r="G278" s="138" t="s">
        <v>4064</v>
      </c>
      <c r="H278" s="141" t="s">
        <v>4029</v>
      </c>
      <c r="I278" s="138" t="s">
        <v>4065</v>
      </c>
      <c r="J278" s="142">
        <v>10000</v>
      </c>
      <c r="K278" s="142">
        <v>40000</v>
      </c>
      <c r="L278" s="137" t="s">
        <v>20</v>
      </c>
      <c r="M278" s="137" t="s">
        <v>20</v>
      </c>
      <c r="N278" s="137" t="s">
        <v>20</v>
      </c>
      <c r="O278" s="137" t="s">
        <v>20</v>
      </c>
      <c r="P278" s="137" t="s">
        <v>20</v>
      </c>
      <c r="Q278" s="137" t="s">
        <v>20</v>
      </c>
    </row>
    <row r="279" spans="2:17" ht="78" x14ac:dyDescent="0.25">
      <c r="B279" s="137">
        <v>277</v>
      </c>
      <c r="C279" s="135" t="s">
        <v>321</v>
      </c>
      <c r="D279" s="138" t="s">
        <v>306</v>
      </c>
      <c r="E279" s="139">
        <v>45404</v>
      </c>
      <c r="F279" s="140">
        <v>0.5</v>
      </c>
      <c r="G279" s="138" t="s">
        <v>4066</v>
      </c>
      <c r="H279" s="141" t="s">
        <v>4029</v>
      </c>
      <c r="I279" s="138" t="s">
        <v>4067</v>
      </c>
      <c r="J279" s="142" t="s">
        <v>4068</v>
      </c>
      <c r="K279" s="142">
        <v>50000</v>
      </c>
      <c r="L279" s="137" t="s">
        <v>20</v>
      </c>
      <c r="M279" s="137" t="s">
        <v>20</v>
      </c>
      <c r="N279" s="137" t="s">
        <v>20</v>
      </c>
      <c r="O279" s="137" t="s">
        <v>20</v>
      </c>
      <c r="P279" s="137" t="s">
        <v>20</v>
      </c>
      <c r="Q279" s="137" t="s">
        <v>20</v>
      </c>
    </row>
    <row r="280" spans="2:17" ht="78" x14ac:dyDescent="0.25">
      <c r="B280" s="137">
        <v>278</v>
      </c>
      <c r="C280" s="135" t="s">
        <v>321</v>
      </c>
      <c r="D280" s="138" t="s">
        <v>306</v>
      </c>
      <c r="E280" s="139">
        <v>45405</v>
      </c>
      <c r="F280" s="140">
        <v>0.73819444444444449</v>
      </c>
      <c r="G280" s="138" t="s">
        <v>4069</v>
      </c>
      <c r="H280" s="141" t="s">
        <v>4029</v>
      </c>
      <c r="I280" s="138" t="s">
        <v>4070</v>
      </c>
      <c r="J280" s="142">
        <v>50000</v>
      </c>
      <c r="K280" s="142">
        <v>4950000</v>
      </c>
      <c r="L280" s="137" t="s">
        <v>20</v>
      </c>
      <c r="M280" s="137" t="s">
        <v>20</v>
      </c>
      <c r="N280" s="137" t="s">
        <v>20</v>
      </c>
      <c r="O280" s="137" t="s">
        <v>20</v>
      </c>
      <c r="P280" s="137" t="s">
        <v>20</v>
      </c>
      <c r="Q280" s="137" t="s">
        <v>20</v>
      </c>
    </row>
    <row r="281" spans="2:17" ht="78" x14ac:dyDescent="0.25">
      <c r="B281" s="137">
        <v>279</v>
      </c>
      <c r="C281" s="135" t="s">
        <v>321</v>
      </c>
      <c r="D281" s="138" t="s">
        <v>306</v>
      </c>
      <c r="E281" s="139">
        <v>45405</v>
      </c>
      <c r="F281" s="140">
        <v>0.90972222222222221</v>
      </c>
      <c r="G281" s="138" t="s">
        <v>4071</v>
      </c>
      <c r="H281" s="141" t="s">
        <v>4029</v>
      </c>
      <c r="I281" s="138" t="s">
        <v>4063</v>
      </c>
      <c r="J281" s="142" t="s">
        <v>341</v>
      </c>
      <c r="K281" s="142" t="s">
        <v>341</v>
      </c>
      <c r="L281" s="137" t="s">
        <v>20</v>
      </c>
      <c r="M281" s="137" t="s">
        <v>20</v>
      </c>
      <c r="N281" s="137" t="s">
        <v>20</v>
      </c>
      <c r="O281" s="137" t="s">
        <v>20</v>
      </c>
      <c r="P281" s="137" t="s">
        <v>20</v>
      </c>
      <c r="Q281" s="137" t="s">
        <v>20</v>
      </c>
    </row>
    <row r="282" spans="2:17" ht="78" x14ac:dyDescent="0.25">
      <c r="B282" s="137">
        <v>280</v>
      </c>
      <c r="C282" s="135" t="s">
        <v>321</v>
      </c>
      <c r="D282" s="138" t="s">
        <v>306</v>
      </c>
      <c r="E282" s="139">
        <v>45406</v>
      </c>
      <c r="F282" s="140">
        <v>0.35347222222222224</v>
      </c>
      <c r="G282" s="138" t="s">
        <v>4072</v>
      </c>
      <c r="H282" s="141" t="s">
        <v>4029</v>
      </c>
      <c r="I282" s="138" t="s">
        <v>4060</v>
      </c>
      <c r="J282" s="142" t="s">
        <v>341</v>
      </c>
      <c r="K282" s="142" t="s">
        <v>341</v>
      </c>
      <c r="L282" s="137" t="s">
        <v>20</v>
      </c>
      <c r="M282" s="137" t="s">
        <v>20</v>
      </c>
      <c r="N282" s="137" t="s">
        <v>20</v>
      </c>
      <c r="O282" s="137" t="s">
        <v>20</v>
      </c>
      <c r="P282" s="137" t="s">
        <v>20</v>
      </c>
      <c r="Q282" s="137" t="s">
        <v>20</v>
      </c>
    </row>
    <row r="283" spans="2:17" ht="97.5" x14ac:dyDescent="0.25">
      <c r="B283" s="137">
        <v>281</v>
      </c>
      <c r="C283" s="135" t="s">
        <v>321</v>
      </c>
      <c r="D283" s="138" t="s">
        <v>306</v>
      </c>
      <c r="E283" s="139">
        <v>45406</v>
      </c>
      <c r="F283" s="140">
        <v>0.4548611111111111</v>
      </c>
      <c r="G283" s="138" t="s">
        <v>4073</v>
      </c>
      <c r="H283" s="141" t="s">
        <v>4029</v>
      </c>
      <c r="I283" s="138" t="s">
        <v>4074</v>
      </c>
      <c r="J283" s="142" t="s">
        <v>4051</v>
      </c>
      <c r="K283" s="142"/>
      <c r="L283" s="137" t="s">
        <v>20</v>
      </c>
      <c r="M283" s="137" t="s">
        <v>20</v>
      </c>
      <c r="N283" s="137" t="s">
        <v>20</v>
      </c>
      <c r="O283" s="137" t="s">
        <v>20</v>
      </c>
      <c r="P283" s="137" t="s">
        <v>20</v>
      </c>
      <c r="Q283" s="137" t="s">
        <v>20</v>
      </c>
    </row>
    <row r="284" spans="2:17" ht="117" x14ac:dyDescent="0.25">
      <c r="B284" s="137">
        <v>282</v>
      </c>
      <c r="C284" s="135" t="s">
        <v>321</v>
      </c>
      <c r="D284" s="138" t="s">
        <v>306</v>
      </c>
      <c r="E284" s="139">
        <v>45406</v>
      </c>
      <c r="F284" s="140">
        <v>0.61458333333333337</v>
      </c>
      <c r="G284" s="138" t="s">
        <v>4075</v>
      </c>
      <c r="H284" s="141" t="s">
        <v>4029</v>
      </c>
      <c r="I284" s="138" t="s">
        <v>4076</v>
      </c>
      <c r="J284" s="142">
        <v>50000</v>
      </c>
      <c r="K284" s="142">
        <v>450000</v>
      </c>
      <c r="L284" s="137" t="s">
        <v>20</v>
      </c>
      <c r="M284" s="137" t="s">
        <v>20</v>
      </c>
      <c r="N284" s="137" t="s">
        <v>20</v>
      </c>
      <c r="O284" s="137" t="s">
        <v>20</v>
      </c>
      <c r="P284" s="137" t="s">
        <v>20</v>
      </c>
      <c r="Q284" s="137" t="s">
        <v>20</v>
      </c>
    </row>
    <row r="285" spans="2:17" ht="97.5" x14ac:dyDescent="0.25">
      <c r="B285" s="137">
        <v>283</v>
      </c>
      <c r="C285" s="135" t="s">
        <v>321</v>
      </c>
      <c r="D285" s="138" t="s">
        <v>306</v>
      </c>
      <c r="E285" s="139">
        <v>45407</v>
      </c>
      <c r="F285" s="140">
        <v>0.86111111111111116</v>
      </c>
      <c r="G285" s="138" t="s">
        <v>4077</v>
      </c>
      <c r="H285" s="141" t="s">
        <v>4029</v>
      </c>
      <c r="I285" s="138" t="s">
        <v>4078</v>
      </c>
      <c r="J285" s="142" t="s">
        <v>4051</v>
      </c>
      <c r="K285" s="142" t="s">
        <v>341</v>
      </c>
      <c r="L285" s="137" t="s">
        <v>20</v>
      </c>
      <c r="M285" s="137" t="s">
        <v>20</v>
      </c>
      <c r="N285" s="137" t="s">
        <v>20</v>
      </c>
      <c r="O285" s="137" t="s">
        <v>20</v>
      </c>
      <c r="P285" s="137" t="s">
        <v>20</v>
      </c>
      <c r="Q285" s="137" t="s">
        <v>20</v>
      </c>
    </row>
    <row r="286" spans="2:17" ht="78" x14ac:dyDescent="0.25">
      <c r="B286" s="137">
        <v>284</v>
      </c>
      <c r="C286" s="135" t="s">
        <v>321</v>
      </c>
      <c r="D286" s="138" t="s">
        <v>306</v>
      </c>
      <c r="E286" s="139">
        <v>45408</v>
      </c>
      <c r="F286" s="140">
        <v>0.59375</v>
      </c>
      <c r="G286" s="138" t="s">
        <v>4079</v>
      </c>
      <c r="H286" s="141" t="s">
        <v>4029</v>
      </c>
      <c r="I286" s="138" t="s">
        <v>4063</v>
      </c>
      <c r="J286" s="142" t="s">
        <v>341</v>
      </c>
      <c r="K286" s="142" t="s">
        <v>341</v>
      </c>
      <c r="L286" s="137" t="s">
        <v>20</v>
      </c>
      <c r="M286" s="137" t="s">
        <v>20</v>
      </c>
      <c r="N286" s="137" t="s">
        <v>20</v>
      </c>
      <c r="O286" s="137" t="s">
        <v>20</v>
      </c>
      <c r="P286" s="137" t="s">
        <v>20</v>
      </c>
      <c r="Q286" s="137" t="s">
        <v>20</v>
      </c>
    </row>
    <row r="287" spans="2:17" ht="78" x14ac:dyDescent="0.25">
      <c r="B287" s="137">
        <v>285</v>
      </c>
      <c r="C287" s="135" t="s">
        <v>321</v>
      </c>
      <c r="D287" s="138" t="s">
        <v>306</v>
      </c>
      <c r="E287" s="139">
        <v>45408</v>
      </c>
      <c r="F287" s="140">
        <v>0.64722222222222225</v>
      </c>
      <c r="G287" s="138" t="s">
        <v>4026</v>
      </c>
      <c r="H287" s="141" t="s">
        <v>4029</v>
      </c>
      <c r="I287" s="138" t="s">
        <v>4080</v>
      </c>
      <c r="J287" s="142" t="s">
        <v>341</v>
      </c>
      <c r="K287" s="142" t="s">
        <v>341</v>
      </c>
      <c r="L287" s="137" t="s">
        <v>20</v>
      </c>
      <c r="M287" s="137" t="s">
        <v>20</v>
      </c>
      <c r="N287" s="137" t="s">
        <v>20</v>
      </c>
      <c r="O287" s="137" t="s">
        <v>20</v>
      </c>
      <c r="P287" s="137" t="s">
        <v>20</v>
      </c>
      <c r="Q287" s="137" t="s">
        <v>20</v>
      </c>
    </row>
    <row r="288" spans="2:17" ht="97.5" x14ac:dyDescent="0.25">
      <c r="B288" s="137">
        <v>286</v>
      </c>
      <c r="C288" s="135" t="s">
        <v>321</v>
      </c>
      <c r="D288" s="138" t="s">
        <v>306</v>
      </c>
      <c r="E288" s="139">
        <v>45409</v>
      </c>
      <c r="F288" s="140">
        <v>0.60902777777777772</v>
      </c>
      <c r="G288" s="138" t="s">
        <v>4081</v>
      </c>
      <c r="H288" s="141" t="s">
        <v>4029</v>
      </c>
      <c r="I288" s="138" t="s">
        <v>4082</v>
      </c>
      <c r="J288" s="142" t="s">
        <v>341</v>
      </c>
      <c r="K288" s="142" t="s">
        <v>341</v>
      </c>
      <c r="L288" s="137" t="s">
        <v>20</v>
      </c>
      <c r="M288" s="137" t="s">
        <v>20</v>
      </c>
      <c r="N288" s="137" t="s">
        <v>20</v>
      </c>
      <c r="O288" s="137" t="s">
        <v>20</v>
      </c>
      <c r="P288" s="137" t="s">
        <v>20</v>
      </c>
      <c r="Q288" s="137" t="s">
        <v>20</v>
      </c>
    </row>
    <row r="289" spans="2:17" ht="78" x14ac:dyDescent="0.25">
      <c r="B289" s="137">
        <v>287</v>
      </c>
      <c r="C289" s="135" t="s">
        <v>321</v>
      </c>
      <c r="D289" s="138" t="s">
        <v>306</v>
      </c>
      <c r="E289" s="139">
        <v>45410</v>
      </c>
      <c r="F289" s="140">
        <v>0.6333333333333333</v>
      </c>
      <c r="G289" s="138" t="s">
        <v>4083</v>
      </c>
      <c r="H289" s="141" t="s">
        <v>4029</v>
      </c>
      <c r="I289" s="138" t="s">
        <v>4084</v>
      </c>
      <c r="J289" s="142" t="s">
        <v>341</v>
      </c>
      <c r="K289" s="142" t="s">
        <v>341</v>
      </c>
      <c r="L289" s="137" t="s">
        <v>20</v>
      </c>
      <c r="M289" s="137" t="s">
        <v>20</v>
      </c>
      <c r="N289" s="137" t="s">
        <v>20</v>
      </c>
      <c r="O289" s="137" t="s">
        <v>20</v>
      </c>
      <c r="P289" s="137" t="s">
        <v>20</v>
      </c>
      <c r="Q289" s="137" t="s">
        <v>20</v>
      </c>
    </row>
    <row r="290" spans="2:17" ht="97.5" x14ac:dyDescent="0.25">
      <c r="B290" s="137">
        <v>288</v>
      </c>
      <c r="C290" s="135" t="s">
        <v>321</v>
      </c>
      <c r="D290" s="138" t="s">
        <v>306</v>
      </c>
      <c r="E290" s="139">
        <v>45411</v>
      </c>
      <c r="F290" s="140">
        <v>0.41805555555555557</v>
      </c>
      <c r="G290" s="138" t="s">
        <v>4085</v>
      </c>
      <c r="H290" s="141" t="s">
        <v>4029</v>
      </c>
      <c r="I290" s="138" t="s">
        <v>4086</v>
      </c>
      <c r="J290" s="142" t="s">
        <v>4051</v>
      </c>
      <c r="K290" s="142" t="s">
        <v>341</v>
      </c>
      <c r="L290" s="137" t="s">
        <v>20</v>
      </c>
      <c r="M290" s="137" t="s">
        <v>20</v>
      </c>
      <c r="N290" s="137" t="s">
        <v>20</v>
      </c>
      <c r="O290" s="137" t="s">
        <v>20</v>
      </c>
      <c r="P290" s="137" t="s">
        <v>20</v>
      </c>
      <c r="Q290" s="137" t="s">
        <v>20</v>
      </c>
    </row>
    <row r="291" spans="2:17" ht="78" x14ac:dyDescent="0.25">
      <c r="B291" s="137">
        <v>289</v>
      </c>
      <c r="C291" s="135" t="s">
        <v>321</v>
      </c>
      <c r="D291" s="138" t="s">
        <v>306</v>
      </c>
      <c r="E291" s="139">
        <v>45411</v>
      </c>
      <c r="F291" s="140">
        <v>0.51527777777777772</v>
      </c>
      <c r="G291" s="138" t="s">
        <v>4087</v>
      </c>
      <c r="H291" s="141" t="s">
        <v>4029</v>
      </c>
      <c r="I291" s="138" t="s">
        <v>4088</v>
      </c>
      <c r="J291" s="142">
        <v>20000</v>
      </c>
      <c r="K291" s="142">
        <v>480000</v>
      </c>
      <c r="L291" s="137" t="s">
        <v>20</v>
      </c>
      <c r="M291" s="137" t="s">
        <v>20</v>
      </c>
      <c r="N291" s="137" t="s">
        <v>20</v>
      </c>
      <c r="O291" s="137" t="s">
        <v>20</v>
      </c>
      <c r="P291" s="137" t="s">
        <v>20</v>
      </c>
      <c r="Q291" s="137" t="s">
        <v>20</v>
      </c>
    </row>
    <row r="292" spans="2:17" ht="97.5" x14ac:dyDescent="0.25">
      <c r="B292" s="137">
        <v>290</v>
      </c>
      <c r="C292" s="135" t="s">
        <v>321</v>
      </c>
      <c r="D292" s="138" t="s">
        <v>306</v>
      </c>
      <c r="E292" s="139">
        <v>45411</v>
      </c>
      <c r="F292" s="140">
        <v>0.5625</v>
      </c>
      <c r="G292" s="138" t="s">
        <v>4089</v>
      </c>
      <c r="H292" s="141" t="s">
        <v>4029</v>
      </c>
      <c r="I292" s="138" t="s">
        <v>4090</v>
      </c>
      <c r="J292" s="142" t="s">
        <v>4051</v>
      </c>
      <c r="K292" s="142"/>
      <c r="L292" s="137" t="s">
        <v>20</v>
      </c>
      <c r="M292" s="137" t="s">
        <v>20</v>
      </c>
      <c r="N292" s="137" t="s">
        <v>20</v>
      </c>
      <c r="O292" s="137" t="s">
        <v>20</v>
      </c>
      <c r="P292" s="137" t="s">
        <v>20</v>
      </c>
      <c r="Q292" s="137" t="s">
        <v>20</v>
      </c>
    </row>
    <row r="293" spans="2:17" ht="78" x14ac:dyDescent="0.25">
      <c r="B293" s="137">
        <v>291</v>
      </c>
      <c r="C293" s="135" t="s">
        <v>321</v>
      </c>
      <c r="D293" s="138" t="s">
        <v>306</v>
      </c>
      <c r="E293" s="139">
        <v>45411</v>
      </c>
      <c r="F293" s="140">
        <v>0.57847222222222228</v>
      </c>
      <c r="G293" s="138" t="s">
        <v>4091</v>
      </c>
      <c r="H293" s="141" t="s">
        <v>4029</v>
      </c>
      <c r="I293" s="138" t="s">
        <v>4092</v>
      </c>
      <c r="J293" s="142" t="s">
        <v>341</v>
      </c>
      <c r="K293" s="142" t="s">
        <v>341</v>
      </c>
      <c r="L293" s="137" t="s">
        <v>20</v>
      </c>
      <c r="M293" s="137" t="s">
        <v>20</v>
      </c>
      <c r="N293" s="137" t="s">
        <v>20</v>
      </c>
      <c r="O293" s="137" t="s">
        <v>20</v>
      </c>
      <c r="P293" s="137" t="s">
        <v>20</v>
      </c>
      <c r="Q293" s="137" t="s">
        <v>20</v>
      </c>
    </row>
    <row r="294" spans="2:17" ht="58.5" x14ac:dyDescent="0.25">
      <c r="B294" s="137">
        <v>292</v>
      </c>
      <c r="C294" s="135" t="s">
        <v>321</v>
      </c>
      <c r="D294" s="138" t="s">
        <v>306</v>
      </c>
      <c r="E294" s="139">
        <v>45411</v>
      </c>
      <c r="F294" s="140">
        <v>0.62847222222222221</v>
      </c>
      <c r="G294" s="138" t="s">
        <v>4072</v>
      </c>
      <c r="H294" s="141" t="s">
        <v>4029</v>
      </c>
      <c r="I294" s="138" t="s">
        <v>4093</v>
      </c>
      <c r="J294" s="142" t="s">
        <v>341</v>
      </c>
      <c r="K294" s="142" t="s">
        <v>341</v>
      </c>
      <c r="L294" s="137" t="s">
        <v>20</v>
      </c>
      <c r="M294" s="137" t="s">
        <v>20</v>
      </c>
      <c r="N294" s="137" t="s">
        <v>20</v>
      </c>
      <c r="O294" s="137" t="s">
        <v>20</v>
      </c>
      <c r="P294" s="137" t="s">
        <v>20</v>
      </c>
      <c r="Q294" s="137" t="s">
        <v>20</v>
      </c>
    </row>
    <row r="295" spans="2:17" ht="78" x14ac:dyDescent="0.25">
      <c r="B295" s="137">
        <v>293</v>
      </c>
      <c r="C295" s="135" t="s">
        <v>321</v>
      </c>
      <c r="D295" s="138" t="s">
        <v>306</v>
      </c>
      <c r="E295" s="139">
        <v>45411</v>
      </c>
      <c r="F295" s="140">
        <v>0.93888888888888888</v>
      </c>
      <c r="G295" s="138" t="s">
        <v>4094</v>
      </c>
      <c r="H295" s="141" t="s">
        <v>4029</v>
      </c>
      <c r="I295" s="138" t="s">
        <v>4095</v>
      </c>
      <c r="J295" s="142" t="s">
        <v>341</v>
      </c>
      <c r="K295" s="142" t="s">
        <v>341</v>
      </c>
      <c r="L295" s="137" t="s">
        <v>20</v>
      </c>
      <c r="M295" s="137" t="s">
        <v>20</v>
      </c>
      <c r="N295" s="137" t="s">
        <v>20</v>
      </c>
      <c r="O295" s="137" t="s">
        <v>20</v>
      </c>
      <c r="P295" s="137" t="s">
        <v>20</v>
      </c>
      <c r="Q295" s="137" t="s">
        <v>20</v>
      </c>
    </row>
    <row r="296" spans="2:17" ht="78" x14ac:dyDescent="0.25">
      <c r="B296" s="137">
        <v>294</v>
      </c>
      <c r="C296" s="135" t="s">
        <v>321</v>
      </c>
      <c r="D296" s="138" t="s">
        <v>306</v>
      </c>
      <c r="E296" s="139">
        <v>45411</v>
      </c>
      <c r="F296" s="140">
        <v>0.99027777777777781</v>
      </c>
      <c r="G296" s="138" t="s">
        <v>4096</v>
      </c>
      <c r="H296" s="141" t="s">
        <v>4029</v>
      </c>
      <c r="I296" s="138" t="s">
        <v>4097</v>
      </c>
      <c r="J296" s="142" t="s">
        <v>341</v>
      </c>
      <c r="K296" s="142" t="s">
        <v>341</v>
      </c>
      <c r="L296" s="137" t="s">
        <v>20</v>
      </c>
      <c r="M296" s="137" t="s">
        <v>20</v>
      </c>
      <c r="N296" s="137" t="s">
        <v>20</v>
      </c>
      <c r="O296" s="137" t="s">
        <v>20</v>
      </c>
      <c r="P296" s="137" t="s">
        <v>20</v>
      </c>
      <c r="Q296" s="137" t="s">
        <v>20</v>
      </c>
    </row>
    <row r="297" spans="2:17" ht="78" x14ac:dyDescent="0.25">
      <c r="B297" s="137">
        <v>295</v>
      </c>
      <c r="C297" s="135" t="s">
        <v>321</v>
      </c>
      <c r="D297" s="138" t="s">
        <v>306</v>
      </c>
      <c r="E297" s="139">
        <v>45412</v>
      </c>
      <c r="F297" s="140">
        <v>3.125E-2</v>
      </c>
      <c r="G297" s="138" t="s">
        <v>4098</v>
      </c>
      <c r="H297" s="141" t="s">
        <v>4029</v>
      </c>
      <c r="I297" s="138" t="s">
        <v>4099</v>
      </c>
      <c r="J297" s="142">
        <v>20000</v>
      </c>
      <c r="K297" s="142">
        <v>80000</v>
      </c>
      <c r="L297" s="137" t="s">
        <v>20</v>
      </c>
      <c r="M297" s="137" t="s">
        <v>20</v>
      </c>
      <c r="N297" s="137" t="s">
        <v>20</v>
      </c>
      <c r="O297" s="137" t="s">
        <v>20</v>
      </c>
      <c r="P297" s="137" t="s">
        <v>20</v>
      </c>
      <c r="Q297" s="137" t="s">
        <v>20</v>
      </c>
    </row>
    <row r="298" spans="2:17" ht="78" x14ac:dyDescent="0.25">
      <c r="B298" s="137">
        <v>296</v>
      </c>
      <c r="C298" s="135" t="s">
        <v>321</v>
      </c>
      <c r="D298" s="138" t="s">
        <v>306</v>
      </c>
      <c r="E298" s="139">
        <v>45412</v>
      </c>
      <c r="F298" s="140">
        <v>0.64097222222222228</v>
      </c>
      <c r="G298" s="138" t="s">
        <v>4100</v>
      </c>
      <c r="H298" s="141" t="s">
        <v>4029</v>
      </c>
      <c r="I298" s="138" t="s">
        <v>4101</v>
      </c>
      <c r="J298" s="142">
        <v>100000</v>
      </c>
      <c r="K298" s="142">
        <v>200000</v>
      </c>
      <c r="L298" s="137" t="s">
        <v>20</v>
      </c>
      <c r="M298" s="137" t="s">
        <v>20</v>
      </c>
      <c r="N298" s="137" t="s">
        <v>20</v>
      </c>
      <c r="O298" s="137" t="s">
        <v>20</v>
      </c>
      <c r="P298" s="137" t="s">
        <v>20</v>
      </c>
      <c r="Q298" s="137" t="s">
        <v>20</v>
      </c>
    </row>
    <row r="299" spans="2:17" ht="78" x14ac:dyDescent="0.25">
      <c r="B299" s="137">
        <v>297</v>
      </c>
      <c r="C299" s="135" t="s">
        <v>321</v>
      </c>
      <c r="D299" s="138" t="s">
        <v>306</v>
      </c>
      <c r="E299" s="139">
        <v>45412</v>
      </c>
      <c r="F299" s="140">
        <v>0.65625</v>
      </c>
      <c r="G299" s="138" t="s">
        <v>4102</v>
      </c>
      <c r="H299" s="141" t="s">
        <v>4029</v>
      </c>
      <c r="I299" s="144" t="s">
        <v>4103</v>
      </c>
      <c r="J299" s="142" t="s">
        <v>341</v>
      </c>
      <c r="K299" s="142" t="s">
        <v>341</v>
      </c>
      <c r="L299" s="137" t="s">
        <v>20</v>
      </c>
      <c r="M299" s="137" t="s">
        <v>20</v>
      </c>
      <c r="N299" s="137" t="s">
        <v>20</v>
      </c>
      <c r="O299" s="137" t="s">
        <v>20</v>
      </c>
      <c r="P299" s="137" t="s">
        <v>20</v>
      </c>
      <c r="Q299" s="137" t="s">
        <v>20</v>
      </c>
    </row>
    <row r="300" spans="2:17" ht="58.5" x14ac:dyDescent="0.25">
      <c r="B300" s="137">
        <v>298</v>
      </c>
      <c r="C300" s="135" t="s">
        <v>321</v>
      </c>
      <c r="D300" s="138" t="s">
        <v>306</v>
      </c>
      <c r="E300" s="139">
        <v>45412</v>
      </c>
      <c r="F300" s="140">
        <v>0.73611111111111116</v>
      </c>
      <c r="G300" s="138" t="s">
        <v>4104</v>
      </c>
      <c r="H300" s="141" t="s">
        <v>4029</v>
      </c>
      <c r="I300" s="144" t="s">
        <v>4105</v>
      </c>
      <c r="J300" s="142" t="s">
        <v>341</v>
      </c>
      <c r="K300" s="142" t="s">
        <v>341</v>
      </c>
      <c r="L300" s="137" t="s">
        <v>20</v>
      </c>
      <c r="M300" s="137" t="s">
        <v>20</v>
      </c>
      <c r="N300" s="137" t="s">
        <v>20</v>
      </c>
      <c r="O300" s="137" t="s">
        <v>20</v>
      </c>
      <c r="P300" s="137" t="s">
        <v>20</v>
      </c>
      <c r="Q300" s="137" t="s">
        <v>20</v>
      </c>
    </row>
    <row r="301" spans="2:17" ht="21" x14ac:dyDescent="0.25">
      <c r="B301" s="137">
        <v>299</v>
      </c>
      <c r="C301" s="135" t="s">
        <v>321</v>
      </c>
      <c r="D301" s="138" t="s">
        <v>3669</v>
      </c>
      <c r="E301" s="139">
        <v>45383</v>
      </c>
      <c r="F301" s="140">
        <v>0.83333333333333337</v>
      </c>
      <c r="G301" s="138" t="s">
        <v>3815</v>
      </c>
      <c r="H301" s="138" t="s">
        <v>3816</v>
      </c>
      <c r="I301" s="138" t="s">
        <v>353</v>
      </c>
      <c r="J301" s="142" t="s">
        <v>341</v>
      </c>
      <c r="K301" s="142" t="s">
        <v>341</v>
      </c>
      <c r="L301" s="137" t="s">
        <v>20</v>
      </c>
      <c r="M301" s="137" t="s">
        <v>20</v>
      </c>
      <c r="N301" s="137" t="s">
        <v>20</v>
      </c>
      <c r="O301" s="137" t="s">
        <v>20</v>
      </c>
      <c r="P301" s="137" t="s">
        <v>20</v>
      </c>
      <c r="Q301" s="137" t="s">
        <v>20</v>
      </c>
    </row>
    <row r="302" spans="2:17" ht="21" x14ac:dyDescent="0.25">
      <c r="B302" s="137">
        <v>300</v>
      </c>
      <c r="C302" s="135" t="s">
        <v>321</v>
      </c>
      <c r="D302" s="138" t="s">
        <v>3669</v>
      </c>
      <c r="E302" s="139">
        <v>45384</v>
      </c>
      <c r="F302" s="140">
        <v>0.5805555555555556</v>
      </c>
      <c r="G302" s="138" t="s">
        <v>3815</v>
      </c>
      <c r="H302" s="138" t="s">
        <v>3823</v>
      </c>
      <c r="I302" s="138" t="s">
        <v>353</v>
      </c>
      <c r="J302" s="142" t="s">
        <v>341</v>
      </c>
      <c r="K302" s="142" t="s">
        <v>341</v>
      </c>
      <c r="L302" s="137" t="s">
        <v>20</v>
      </c>
      <c r="M302" s="137" t="s">
        <v>20</v>
      </c>
      <c r="N302" s="137" t="s">
        <v>20</v>
      </c>
      <c r="O302" s="137" t="s">
        <v>20</v>
      </c>
      <c r="P302" s="137" t="s">
        <v>20</v>
      </c>
      <c r="Q302" s="137" t="s">
        <v>20</v>
      </c>
    </row>
    <row r="303" spans="2:17" ht="78" x14ac:dyDescent="0.25">
      <c r="B303" s="137">
        <v>301</v>
      </c>
      <c r="C303" s="135" t="s">
        <v>321</v>
      </c>
      <c r="D303" s="138" t="s">
        <v>3669</v>
      </c>
      <c r="E303" s="139">
        <v>45386</v>
      </c>
      <c r="F303" s="140">
        <v>0.13194444444444445</v>
      </c>
      <c r="G303" s="138" t="s">
        <v>4106</v>
      </c>
      <c r="H303" s="138" t="s">
        <v>2209</v>
      </c>
      <c r="I303" s="144" t="s">
        <v>3672</v>
      </c>
      <c r="J303" s="142" t="s">
        <v>3820</v>
      </c>
      <c r="K303" s="142" t="s">
        <v>3820</v>
      </c>
      <c r="L303" s="137" t="s">
        <v>20</v>
      </c>
      <c r="M303" s="137" t="s">
        <v>20</v>
      </c>
      <c r="N303" s="137" t="s">
        <v>20</v>
      </c>
      <c r="O303" s="137" t="s">
        <v>20</v>
      </c>
      <c r="P303" s="137" t="s">
        <v>20</v>
      </c>
      <c r="Q303" s="137" t="s">
        <v>20</v>
      </c>
    </row>
    <row r="304" spans="2:17" ht="39" x14ac:dyDescent="0.25">
      <c r="B304" s="137">
        <v>302</v>
      </c>
      <c r="C304" s="135" t="s">
        <v>321</v>
      </c>
      <c r="D304" s="138" t="s">
        <v>3669</v>
      </c>
      <c r="E304" s="139">
        <v>45387</v>
      </c>
      <c r="F304" s="140">
        <v>0.94930555555555551</v>
      </c>
      <c r="G304" s="138" t="s">
        <v>4107</v>
      </c>
      <c r="H304" s="138" t="s">
        <v>4108</v>
      </c>
      <c r="I304" s="138" t="s">
        <v>4109</v>
      </c>
      <c r="J304" s="142">
        <v>980000</v>
      </c>
      <c r="K304" s="142">
        <v>250000</v>
      </c>
      <c r="L304" s="137" t="s">
        <v>20</v>
      </c>
      <c r="M304" s="137" t="s">
        <v>20</v>
      </c>
      <c r="N304" s="137" t="s">
        <v>20</v>
      </c>
      <c r="O304" s="137" t="s">
        <v>20</v>
      </c>
      <c r="P304" s="137" t="s">
        <v>20</v>
      </c>
      <c r="Q304" s="137" t="s">
        <v>20</v>
      </c>
    </row>
    <row r="305" spans="2:17" ht="21" x14ac:dyDescent="0.25">
      <c r="B305" s="137">
        <v>303</v>
      </c>
      <c r="C305" s="135" t="s">
        <v>321</v>
      </c>
      <c r="D305" s="138" t="s">
        <v>3669</v>
      </c>
      <c r="E305" s="139">
        <v>45389</v>
      </c>
      <c r="F305" s="140">
        <v>0.1076388888888889</v>
      </c>
      <c r="G305" s="138" t="s">
        <v>3769</v>
      </c>
      <c r="H305" s="138" t="s">
        <v>406</v>
      </c>
      <c r="I305" s="138" t="s">
        <v>4110</v>
      </c>
      <c r="J305" s="142">
        <v>5000</v>
      </c>
      <c r="K305" s="142">
        <v>4000</v>
      </c>
      <c r="L305" s="137" t="s">
        <v>20</v>
      </c>
      <c r="M305" s="137" t="s">
        <v>20</v>
      </c>
      <c r="N305" s="137" t="s">
        <v>20</v>
      </c>
      <c r="O305" s="137" t="s">
        <v>20</v>
      </c>
      <c r="P305" s="137" t="s">
        <v>20</v>
      </c>
      <c r="Q305" s="137" t="s">
        <v>20</v>
      </c>
    </row>
    <row r="306" spans="2:17" ht="39" x14ac:dyDescent="0.25">
      <c r="B306" s="137">
        <v>304</v>
      </c>
      <c r="C306" s="135" t="s">
        <v>321</v>
      </c>
      <c r="D306" s="138" t="s">
        <v>4111</v>
      </c>
      <c r="E306" s="139">
        <v>45390</v>
      </c>
      <c r="F306" s="140">
        <v>0.67361111111111116</v>
      </c>
      <c r="G306" s="138" t="s">
        <v>4112</v>
      </c>
      <c r="H306" s="138" t="s">
        <v>4113</v>
      </c>
      <c r="I306" s="138" t="s">
        <v>380</v>
      </c>
      <c r="J306" s="142">
        <v>18000</v>
      </c>
      <c r="K306" s="142">
        <v>12000</v>
      </c>
      <c r="L306" s="137" t="s">
        <v>20</v>
      </c>
      <c r="M306" s="137" t="s">
        <v>20</v>
      </c>
      <c r="N306" s="137" t="s">
        <v>20</v>
      </c>
      <c r="O306" s="137" t="s">
        <v>20</v>
      </c>
      <c r="P306" s="137" t="s">
        <v>20</v>
      </c>
      <c r="Q306" s="137" t="s">
        <v>20</v>
      </c>
    </row>
    <row r="307" spans="2:17" ht="21" x14ac:dyDescent="0.25">
      <c r="B307" s="137">
        <v>305</v>
      </c>
      <c r="C307" s="135" t="s">
        <v>321</v>
      </c>
      <c r="D307" s="138" t="s">
        <v>3669</v>
      </c>
      <c r="E307" s="139">
        <v>45393</v>
      </c>
      <c r="F307" s="140">
        <v>0.70833333333333337</v>
      </c>
      <c r="G307" s="138" t="s">
        <v>4114</v>
      </c>
      <c r="H307" s="138" t="s">
        <v>2209</v>
      </c>
      <c r="I307" s="138" t="s">
        <v>2826</v>
      </c>
      <c r="J307" s="142">
        <v>20000</v>
      </c>
      <c r="K307" s="142">
        <v>30000</v>
      </c>
      <c r="L307" s="137" t="s">
        <v>20</v>
      </c>
      <c r="M307" s="137" t="s">
        <v>20</v>
      </c>
      <c r="N307" s="137" t="s">
        <v>20</v>
      </c>
      <c r="O307" s="137" t="s">
        <v>20</v>
      </c>
      <c r="P307" s="137" t="s">
        <v>20</v>
      </c>
      <c r="Q307" s="137" t="s">
        <v>20</v>
      </c>
    </row>
    <row r="308" spans="2:17" ht="39" x14ac:dyDescent="0.25">
      <c r="B308" s="137">
        <v>306</v>
      </c>
      <c r="C308" s="135" t="s">
        <v>321</v>
      </c>
      <c r="D308" s="138" t="s">
        <v>3669</v>
      </c>
      <c r="E308" s="139">
        <v>45393</v>
      </c>
      <c r="F308" s="140">
        <v>0.80763888888888891</v>
      </c>
      <c r="G308" s="138" t="s">
        <v>3822</v>
      </c>
      <c r="H308" s="138" t="s">
        <v>3823</v>
      </c>
      <c r="I308" s="138" t="s">
        <v>3824</v>
      </c>
      <c r="J308" s="142" t="s">
        <v>354</v>
      </c>
      <c r="K308" s="142" t="s">
        <v>341</v>
      </c>
      <c r="L308" s="137" t="s">
        <v>20</v>
      </c>
      <c r="M308" s="137" t="s">
        <v>20</v>
      </c>
      <c r="N308" s="137" t="s">
        <v>20</v>
      </c>
      <c r="O308" s="137" t="s">
        <v>20</v>
      </c>
      <c r="P308" s="137" t="s">
        <v>20</v>
      </c>
      <c r="Q308" s="137" t="s">
        <v>20</v>
      </c>
    </row>
    <row r="309" spans="2:17" ht="39" x14ac:dyDescent="0.25">
      <c r="B309" s="137">
        <v>307</v>
      </c>
      <c r="C309" s="135" t="s">
        <v>321</v>
      </c>
      <c r="D309" s="138" t="s">
        <v>3685</v>
      </c>
      <c r="E309" s="139">
        <v>45394</v>
      </c>
      <c r="F309" s="140">
        <v>0.4236111111111111</v>
      </c>
      <c r="G309" s="138" t="s">
        <v>4115</v>
      </c>
      <c r="H309" s="138" t="s">
        <v>4116</v>
      </c>
      <c r="I309" s="138" t="s">
        <v>396</v>
      </c>
      <c r="J309" s="142">
        <v>25000</v>
      </c>
      <c r="K309" s="142">
        <v>35000</v>
      </c>
      <c r="L309" s="137" t="s">
        <v>20</v>
      </c>
      <c r="M309" s="137" t="s">
        <v>20</v>
      </c>
      <c r="N309" s="137" t="s">
        <v>20</v>
      </c>
      <c r="O309" s="137" t="s">
        <v>20</v>
      </c>
      <c r="P309" s="137" t="s">
        <v>20</v>
      </c>
      <c r="Q309" s="137" t="s">
        <v>20</v>
      </c>
    </row>
    <row r="310" spans="2:17" ht="78" x14ac:dyDescent="0.25">
      <c r="B310" s="137">
        <v>308</v>
      </c>
      <c r="C310" s="135" t="s">
        <v>321</v>
      </c>
      <c r="D310" s="138" t="s">
        <v>3669</v>
      </c>
      <c r="E310" s="139">
        <v>45394</v>
      </c>
      <c r="F310" s="140">
        <v>0.56736111111111109</v>
      </c>
      <c r="G310" s="138" t="s">
        <v>4117</v>
      </c>
      <c r="H310" s="138" t="s">
        <v>406</v>
      </c>
      <c r="I310" s="138" t="s">
        <v>4118</v>
      </c>
      <c r="J310" s="142" t="s">
        <v>4119</v>
      </c>
      <c r="K310" s="142" t="s">
        <v>4119</v>
      </c>
      <c r="L310" s="137" t="s">
        <v>20</v>
      </c>
      <c r="M310" s="137" t="s">
        <v>20</v>
      </c>
      <c r="N310" s="137" t="s">
        <v>20</v>
      </c>
      <c r="O310" s="137" t="s">
        <v>20</v>
      </c>
      <c r="P310" s="137" t="s">
        <v>20</v>
      </c>
      <c r="Q310" s="137" t="s">
        <v>20</v>
      </c>
    </row>
    <row r="311" spans="2:17" ht="78" x14ac:dyDescent="0.25">
      <c r="B311" s="137">
        <v>309</v>
      </c>
      <c r="C311" s="135" t="s">
        <v>321</v>
      </c>
      <c r="D311" s="138" t="s">
        <v>3669</v>
      </c>
      <c r="E311" s="139">
        <v>45394</v>
      </c>
      <c r="F311" s="140">
        <v>0.57013888888888886</v>
      </c>
      <c r="G311" s="138" t="s">
        <v>4120</v>
      </c>
      <c r="H311" s="138" t="s">
        <v>406</v>
      </c>
      <c r="I311" s="138" t="s">
        <v>390</v>
      </c>
      <c r="J311" s="142" t="s">
        <v>4119</v>
      </c>
      <c r="K311" s="142" t="s">
        <v>4119</v>
      </c>
      <c r="L311" s="137" t="s">
        <v>20</v>
      </c>
      <c r="M311" s="137" t="s">
        <v>20</v>
      </c>
      <c r="N311" s="137" t="s">
        <v>20</v>
      </c>
      <c r="O311" s="137" t="s">
        <v>20</v>
      </c>
      <c r="P311" s="137" t="s">
        <v>20</v>
      </c>
      <c r="Q311" s="137" t="s">
        <v>20</v>
      </c>
    </row>
    <row r="312" spans="2:17" ht="39" x14ac:dyDescent="0.25">
      <c r="B312" s="137">
        <v>310</v>
      </c>
      <c r="C312" s="135" t="s">
        <v>321</v>
      </c>
      <c r="D312" s="138" t="s">
        <v>3669</v>
      </c>
      <c r="E312" s="139">
        <v>45394</v>
      </c>
      <c r="F312" s="140">
        <v>0.5708333333333333</v>
      </c>
      <c r="G312" s="138" t="s">
        <v>4121</v>
      </c>
      <c r="H312" s="138" t="s">
        <v>2873</v>
      </c>
      <c r="I312" s="138" t="s">
        <v>347</v>
      </c>
      <c r="J312" s="142">
        <v>100000</v>
      </c>
      <c r="K312" s="142">
        <v>200000</v>
      </c>
      <c r="L312" s="137" t="s">
        <v>20</v>
      </c>
      <c r="M312" s="137" t="s">
        <v>20</v>
      </c>
      <c r="N312" s="137" t="s">
        <v>20</v>
      </c>
      <c r="O312" s="137" t="s">
        <v>20</v>
      </c>
      <c r="P312" s="137" t="s">
        <v>20</v>
      </c>
      <c r="Q312" s="137" t="s">
        <v>20</v>
      </c>
    </row>
    <row r="313" spans="2:17" ht="21" x14ac:dyDescent="0.25">
      <c r="B313" s="137">
        <v>311</v>
      </c>
      <c r="C313" s="135" t="s">
        <v>321</v>
      </c>
      <c r="D313" s="138" t="s">
        <v>3669</v>
      </c>
      <c r="E313" s="139">
        <v>45395</v>
      </c>
      <c r="F313" s="140">
        <v>0.55208333333333337</v>
      </c>
      <c r="G313" s="138" t="s">
        <v>3768</v>
      </c>
      <c r="H313" s="138" t="s">
        <v>4122</v>
      </c>
      <c r="I313" s="138" t="s">
        <v>353</v>
      </c>
      <c r="J313" s="142" t="s">
        <v>341</v>
      </c>
      <c r="K313" s="142" t="s">
        <v>341</v>
      </c>
      <c r="L313" s="137" t="s">
        <v>20</v>
      </c>
      <c r="M313" s="137" t="s">
        <v>20</v>
      </c>
      <c r="N313" s="137" t="s">
        <v>20</v>
      </c>
      <c r="O313" s="137" t="s">
        <v>20</v>
      </c>
      <c r="P313" s="137" t="s">
        <v>20</v>
      </c>
      <c r="Q313" s="137" t="s">
        <v>20</v>
      </c>
    </row>
    <row r="314" spans="2:17" ht="21" x14ac:dyDescent="0.25">
      <c r="B314" s="137">
        <v>312</v>
      </c>
      <c r="C314" s="135" t="s">
        <v>321</v>
      </c>
      <c r="D314" s="138" t="s">
        <v>3669</v>
      </c>
      <c r="E314" s="139">
        <v>45395</v>
      </c>
      <c r="F314" s="140">
        <v>0.73958333333333337</v>
      </c>
      <c r="G314" s="138" t="s">
        <v>4123</v>
      </c>
      <c r="H314" s="138" t="s">
        <v>4122</v>
      </c>
      <c r="I314" s="138" t="s">
        <v>396</v>
      </c>
      <c r="J314" s="142">
        <v>30000</v>
      </c>
      <c r="K314" s="142">
        <v>20000</v>
      </c>
      <c r="L314" s="137" t="s">
        <v>20</v>
      </c>
      <c r="M314" s="137" t="s">
        <v>20</v>
      </c>
      <c r="N314" s="137" t="s">
        <v>20</v>
      </c>
      <c r="O314" s="137" t="s">
        <v>20</v>
      </c>
      <c r="P314" s="137" t="s">
        <v>20</v>
      </c>
      <c r="Q314" s="137" t="s">
        <v>20</v>
      </c>
    </row>
    <row r="315" spans="2:17" ht="39" x14ac:dyDescent="0.25">
      <c r="B315" s="137">
        <v>313</v>
      </c>
      <c r="C315" s="135" t="s">
        <v>321</v>
      </c>
      <c r="D315" s="138" t="s">
        <v>4111</v>
      </c>
      <c r="E315" s="139">
        <v>45395</v>
      </c>
      <c r="F315" s="140">
        <v>0.7416666666666667</v>
      </c>
      <c r="G315" s="138" t="s">
        <v>4124</v>
      </c>
      <c r="H315" s="138" t="s">
        <v>4113</v>
      </c>
      <c r="I315" s="138" t="s">
        <v>469</v>
      </c>
      <c r="J315" s="142" t="s">
        <v>341</v>
      </c>
      <c r="K315" s="142" t="s">
        <v>341</v>
      </c>
      <c r="L315" s="137" t="s">
        <v>20</v>
      </c>
      <c r="M315" s="137" t="s">
        <v>20</v>
      </c>
      <c r="N315" s="137" t="s">
        <v>20</v>
      </c>
      <c r="O315" s="137" t="s">
        <v>20</v>
      </c>
      <c r="P315" s="137" t="s">
        <v>20</v>
      </c>
      <c r="Q315" s="137" t="s">
        <v>20</v>
      </c>
    </row>
    <row r="316" spans="2:17" ht="78" x14ac:dyDescent="0.25">
      <c r="B316" s="137">
        <v>314</v>
      </c>
      <c r="C316" s="135" t="s">
        <v>321</v>
      </c>
      <c r="D316" s="138" t="s">
        <v>3669</v>
      </c>
      <c r="E316" s="139">
        <v>45397</v>
      </c>
      <c r="F316" s="140">
        <v>0.33263888888888887</v>
      </c>
      <c r="G316" s="138" t="s">
        <v>4125</v>
      </c>
      <c r="H316" s="138" t="s">
        <v>406</v>
      </c>
      <c r="I316" s="138" t="s">
        <v>4119</v>
      </c>
      <c r="J316" s="142" t="s">
        <v>4119</v>
      </c>
      <c r="K316" s="142"/>
      <c r="L316" s="137" t="s">
        <v>20</v>
      </c>
      <c r="M316" s="137" t="s">
        <v>20</v>
      </c>
      <c r="N316" s="137" t="s">
        <v>20</v>
      </c>
      <c r="O316" s="137" t="s">
        <v>20</v>
      </c>
      <c r="P316" s="137" t="s">
        <v>20</v>
      </c>
      <c r="Q316" s="137" t="s">
        <v>20</v>
      </c>
    </row>
    <row r="317" spans="2:17" ht="21" x14ac:dyDescent="0.25">
      <c r="B317" s="137">
        <v>315</v>
      </c>
      <c r="C317" s="135" t="s">
        <v>321</v>
      </c>
      <c r="D317" s="138" t="s">
        <v>4111</v>
      </c>
      <c r="E317" s="139">
        <v>45397</v>
      </c>
      <c r="F317" s="140">
        <v>0.51944444444444449</v>
      </c>
      <c r="G317" s="138" t="s">
        <v>4126</v>
      </c>
      <c r="H317" s="138" t="s">
        <v>4127</v>
      </c>
      <c r="I317" s="138" t="s">
        <v>380</v>
      </c>
      <c r="J317" s="142">
        <v>13000</v>
      </c>
      <c r="K317" s="142">
        <v>18000</v>
      </c>
      <c r="L317" s="137" t="s">
        <v>20</v>
      </c>
      <c r="M317" s="137" t="s">
        <v>20</v>
      </c>
      <c r="N317" s="137" t="s">
        <v>20</v>
      </c>
      <c r="O317" s="137" t="s">
        <v>20</v>
      </c>
      <c r="P317" s="137" t="s">
        <v>20</v>
      </c>
      <c r="Q317" s="137" t="s">
        <v>20</v>
      </c>
    </row>
    <row r="318" spans="2:17" ht="39" x14ac:dyDescent="0.25">
      <c r="B318" s="137">
        <v>316</v>
      </c>
      <c r="C318" s="135" t="s">
        <v>321</v>
      </c>
      <c r="D318" s="138" t="s">
        <v>3669</v>
      </c>
      <c r="E318" s="139">
        <v>45398</v>
      </c>
      <c r="F318" s="140">
        <v>0.45694444444444443</v>
      </c>
      <c r="G318" s="138" t="s">
        <v>4128</v>
      </c>
      <c r="H318" s="138" t="s">
        <v>4113</v>
      </c>
      <c r="I318" s="138" t="s">
        <v>469</v>
      </c>
      <c r="J318" s="142" t="s">
        <v>341</v>
      </c>
      <c r="K318" s="142" t="s">
        <v>341</v>
      </c>
      <c r="L318" s="137" t="s">
        <v>20</v>
      </c>
      <c r="M318" s="137" t="s">
        <v>20</v>
      </c>
      <c r="N318" s="137" t="s">
        <v>20</v>
      </c>
      <c r="O318" s="137" t="s">
        <v>20</v>
      </c>
      <c r="P318" s="137" t="s">
        <v>20</v>
      </c>
      <c r="Q318" s="137" t="s">
        <v>20</v>
      </c>
    </row>
    <row r="319" spans="2:17" ht="21" x14ac:dyDescent="0.25">
      <c r="B319" s="137">
        <v>317</v>
      </c>
      <c r="C319" s="135" t="s">
        <v>321</v>
      </c>
      <c r="D319" s="138" t="s">
        <v>3669</v>
      </c>
      <c r="E319" s="139">
        <v>45398</v>
      </c>
      <c r="F319" s="140">
        <v>0.60763888888888884</v>
      </c>
      <c r="G319" s="138" t="s">
        <v>3768</v>
      </c>
      <c r="H319" s="138" t="s">
        <v>406</v>
      </c>
      <c r="I319" s="138" t="s">
        <v>397</v>
      </c>
      <c r="J319" s="142" t="s">
        <v>341</v>
      </c>
      <c r="K319" s="142" t="s">
        <v>341</v>
      </c>
      <c r="L319" s="137" t="s">
        <v>20</v>
      </c>
      <c r="M319" s="137" t="s">
        <v>20</v>
      </c>
      <c r="N319" s="137" t="s">
        <v>20</v>
      </c>
      <c r="O319" s="137" t="s">
        <v>20</v>
      </c>
      <c r="P319" s="137" t="s">
        <v>20</v>
      </c>
      <c r="Q319" s="137" t="s">
        <v>20</v>
      </c>
    </row>
    <row r="320" spans="2:17" ht="39" x14ac:dyDescent="0.25">
      <c r="B320" s="137">
        <v>318</v>
      </c>
      <c r="C320" s="135" t="s">
        <v>321</v>
      </c>
      <c r="D320" s="138" t="s">
        <v>3669</v>
      </c>
      <c r="E320" s="139">
        <v>45398</v>
      </c>
      <c r="F320" s="140">
        <v>0.79861111111111116</v>
      </c>
      <c r="G320" s="138" t="s">
        <v>4129</v>
      </c>
      <c r="H320" s="138" t="s">
        <v>3823</v>
      </c>
      <c r="I320" s="138" t="s">
        <v>469</v>
      </c>
      <c r="J320" s="142" t="s">
        <v>341</v>
      </c>
      <c r="K320" s="142" t="s">
        <v>341</v>
      </c>
      <c r="L320" s="137" t="s">
        <v>20</v>
      </c>
      <c r="M320" s="137" t="s">
        <v>20</v>
      </c>
      <c r="N320" s="137" t="s">
        <v>20</v>
      </c>
      <c r="O320" s="137" t="s">
        <v>20</v>
      </c>
      <c r="P320" s="137" t="s">
        <v>20</v>
      </c>
      <c r="Q320" s="137" t="s">
        <v>20</v>
      </c>
    </row>
    <row r="321" spans="2:17" ht="21" x14ac:dyDescent="0.25">
      <c r="B321" s="137">
        <v>319</v>
      </c>
      <c r="C321" s="135" t="s">
        <v>321</v>
      </c>
      <c r="D321" s="138" t="s">
        <v>3669</v>
      </c>
      <c r="E321" s="139">
        <v>45399</v>
      </c>
      <c r="F321" s="140">
        <v>0.14652777777777778</v>
      </c>
      <c r="G321" s="138" t="s">
        <v>4130</v>
      </c>
      <c r="H321" s="138" t="s">
        <v>406</v>
      </c>
      <c r="I321" s="138" t="s">
        <v>4131</v>
      </c>
      <c r="J321" s="142">
        <v>5000</v>
      </c>
      <c r="K321" s="142">
        <v>3000</v>
      </c>
      <c r="L321" s="137" t="s">
        <v>20</v>
      </c>
      <c r="M321" s="137" t="s">
        <v>20</v>
      </c>
      <c r="N321" s="137" t="s">
        <v>20</v>
      </c>
      <c r="O321" s="137" t="s">
        <v>20</v>
      </c>
      <c r="P321" s="137" t="s">
        <v>20</v>
      </c>
      <c r="Q321" s="137" t="s">
        <v>20</v>
      </c>
    </row>
    <row r="322" spans="2:17" ht="39" x14ac:dyDescent="0.25">
      <c r="B322" s="137">
        <v>320</v>
      </c>
      <c r="C322" s="135" t="s">
        <v>321</v>
      </c>
      <c r="D322" s="138" t="s">
        <v>3669</v>
      </c>
      <c r="E322" s="139">
        <v>45399</v>
      </c>
      <c r="F322" s="140">
        <v>0.23749999999999999</v>
      </c>
      <c r="G322" s="138" t="s">
        <v>4132</v>
      </c>
      <c r="H322" s="138" t="s">
        <v>4108</v>
      </c>
      <c r="I322" s="138" t="s">
        <v>4133</v>
      </c>
      <c r="J322" s="142">
        <v>5000</v>
      </c>
      <c r="K322" s="142">
        <v>4000</v>
      </c>
      <c r="L322" s="137" t="s">
        <v>20</v>
      </c>
      <c r="M322" s="137" t="s">
        <v>20</v>
      </c>
      <c r="N322" s="137" t="s">
        <v>20</v>
      </c>
      <c r="O322" s="137" t="s">
        <v>20</v>
      </c>
      <c r="P322" s="137" t="s">
        <v>20</v>
      </c>
      <c r="Q322" s="137" t="s">
        <v>20</v>
      </c>
    </row>
    <row r="323" spans="2:17" ht="21" x14ac:dyDescent="0.25">
      <c r="B323" s="137">
        <v>321</v>
      </c>
      <c r="C323" s="135" t="s">
        <v>321</v>
      </c>
      <c r="D323" s="138" t="s">
        <v>3669</v>
      </c>
      <c r="E323" s="139">
        <v>45399</v>
      </c>
      <c r="F323" s="140">
        <v>0.73402777777777772</v>
      </c>
      <c r="G323" s="138" t="s">
        <v>4134</v>
      </c>
      <c r="H323" s="138" t="s">
        <v>4135</v>
      </c>
      <c r="I323" s="138" t="s">
        <v>380</v>
      </c>
      <c r="J323" s="142">
        <v>15000</v>
      </c>
      <c r="K323" s="142">
        <v>20000</v>
      </c>
      <c r="L323" s="137" t="s">
        <v>20</v>
      </c>
      <c r="M323" s="137" t="s">
        <v>20</v>
      </c>
      <c r="N323" s="137" t="s">
        <v>20</v>
      </c>
      <c r="O323" s="137" t="s">
        <v>20</v>
      </c>
      <c r="P323" s="137" t="s">
        <v>20</v>
      </c>
      <c r="Q323" s="137" t="s">
        <v>20</v>
      </c>
    </row>
    <row r="324" spans="2:17" ht="58.5" x14ac:dyDescent="0.25">
      <c r="B324" s="137">
        <v>322</v>
      </c>
      <c r="C324" s="135" t="s">
        <v>321</v>
      </c>
      <c r="D324" s="138" t="s">
        <v>3669</v>
      </c>
      <c r="E324" s="139">
        <v>45399</v>
      </c>
      <c r="F324" s="140">
        <v>0.84652777777777777</v>
      </c>
      <c r="G324" s="138" t="s">
        <v>4136</v>
      </c>
      <c r="H324" s="138" t="s">
        <v>4137</v>
      </c>
      <c r="I324" s="138" t="s">
        <v>386</v>
      </c>
      <c r="J324" s="142">
        <v>900000</v>
      </c>
      <c r="K324" s="142">
        <v>600000</v>
      </c>
      <c r="L324" s="137" t="s">
        <v>20</v>
      </c>
      <c r="M324" s="137" t="s">
        <v>20</v>
      </c>
      <c r="N324" s="137" t="s">
        <v>20</v>
      </c>
      <c r="O324" s="137" t="s">
        <v>20</v>
      </c>
      <c r="P324" s="137" t="s">
        <v>20</v>
      </c>
      <c r="Q324" s="137" t="s">
        <v>20</v>
      </c>
    </row>
    <row r="325" spans="2:17" ht="39" x14ac:dyDescent="0.25">
      <c r="B325" s="137">
        <v>323</v>
      </c>
      <c r="C325" s="135" t="s">
        <v>321</v>
      </c>
      <c r="D325" s="138" t="s">
        <v>3669</v>
      </c>
      <c r="E325" s="139">
        <v>45400</v>
      </c>
      <c r="F325" s="140">
        <v>0.52847222222222223</v>
      </c>
      <c r="G325" s="138" t="s">
        <v>3768</v>
      </c>
      <c r="H325" s="138" t="s">
        <v>4113</v>
      </c>
      <c r="I325" s="138" t="s">
        <v>353</v>
      </c>
      <c r="J325" s="142" t="s">
        <v>341</v>
      </c>
      <c r="K325" s="142" t="s">
        <v>341</v>
      </c>
      <c r="L325" s="137" t="s">
        <v>20</v>
      </c>
      <c r="M325" s="137" t="s">
        <v>20</v>
      </c>
      <c r="N325" s="137" t="s">
        <v>20</v>
      </c>
      <c r="O325" s="137" t="s">
        <v>20</v>
      </c>
      <c r="P325" s="137" t="s">
        <v>20</v>
      </c>
      <c r="Q325" s="137" t="s">
        <v>20</v>
      </c>
    </row>
    <row r="326" spans="2:17" ht="21" x14ac:dyDescent="0.25">
      <c r="B326" s="137">
        <v>324</v>
      </c>
      <c r="C326" s="135" t="s">
        <v>321</v>
      </c>
      <c r="D326" s="138" t="s">
        <v>3669</v>
      </c>
      <c r="E326" s="139">
        <v>45400</v>
      </c>
      <c r="F326" s="140">
        <v>0.5444444444444444</v>
      </c>
      <c r="G326" s="138" t="s">
        <v>4138</v>
      </c>
      <c r="H326" s="138" t="s">
        <v>4135</v>
      </c>
      <c r="I326" s="138" t="s">
        <v>380</v>
      </c>
      <c r="J326" s="142">
        <v>14000</v>
      </c>
      <c r="K326" s="142">
        <v>16000</v>
      </c>
      <c r="L326" s="137" t="s">
        <v>20</v>
      </c>
      <c r="M326" s="137" t="s">
        <v>20</v>
      </c>
      <c r="N326" s="137" t="s">
        <v>20</v>
      </c>
      <c r="O326" s="137" t="s">
        <v>20</v>
      </c>
      <c r="P326" s="137" t="s">
        <v>20</v>
      </c>
      <c r="Q326" s="137" t="s">
        <v>20</v>
      </c>
    </row>
    <row r="327" spans="2:17" ht="39" x14ac:dyDescent="0.25">
      <c r="B327" s="137">
        <v>325</v>
      </c>
      <c r="C327" s="135" t="s">
        <v>321</v>
      </c>
      <c r="D327" s="138" t="s">
        <v>3669</v>
      </c>
      <c r="E327" s="139">
        <v>45400</v>
      </c>
      <c r="F327" s="140">
        <v>0.5805555555555556</v>
      </c>
      <c r="G327" s="138" t="s">
        <v>4139</v>
      </c>
      <c r="H327" s="138" t="s">
        <v>4113</v>
      </c>
      <c r="I327" s="138" t="s">
        <v>469</v>
      </c>
      <c r="J327" s="142" t="s">
        <v>341</v>
      </c>
      <c r="K327" s="142" t="s">
        <v>341</v>
      </c>
      <c r="L327" s="137" t="s">
        <v>20</v>
      </c>
      <c r="M327" s="137" t="s">
        <v>20</v>
      </c>
      <c r="N327" s="137" t="s">
        <v>20</v>
      </c>
      <c r="O327" s="137" t="s">
        <v>20</v>
      </c>
      <c r="P327" s="137" t="s">
        <v>20</v>
      </c>
      <c r="Q327" s="137" t="s">
        <v>20</v>
      </c>
    </row>
    <row r="328" spans="2:17" ht="39" x14ac:dyDescent="0.25">
      <c r="B328" s="137">
        <v>326</v>
      </c>
      <c r="C328" s="135" t="s">
        <v>321</v>
      </c>
      <c r="D328" s="138" t="s">
        <v>3669</v>
      </c>
      <c r="E328" s="139">
        <v>45400</v>
      </c>
      <c r="F328" s="140">
        <v>0.59166666666666667</v>
      </c>
      <c r="G328" s="138" t="s">
        <v>4140</v>
      </c>
      <c r="H328" s="138" t="s">
        <v>4108</v>
      </c>
      <c r="I328" s="138" t="s">
        <v>4141</v>
      </c>
      <c r="J328" s="142" t="s">
        <v>341</v>
      </c>
      <c r="K328" s="142" t="s">
        <v>341</v>
      </c>
      <c r="L328" s="137" t="s">
        <v>20</v>
      </c>
      <c r="M328" s="137" t="s">
        <v>20</v>
      </c>
      <c r="N328" s="137" t="s">
        <v>20</v>
      </c>
      <c r="O328" s="137" t="s">
        <v>20</v>
      </c>
      <c r="P328" s="137" t="s">
        <v>20</v>
      </c>
      <c r="Q328" s="137" t="s">
        <v>20</v>
      </c>
    </row>
    <row r="329" spans="2:17" ht="39" x14ac:dyDescent="0.25">
      <c r="B329" s="137">
        <v>327</v>
      </c>
      <c r="C329" s="135" t="s">
        <v>321</v>
      </c>
      <c r="D329" s="138" t="s">
        <v>4111</v>
      </c>
      <c r="E329" s="139">
        <v>45400</v>
      </c>
      <c r="F329" s="140">
        <v>0.62152777777777779</v>
      </c>
      <c r="G329" s="138" t="s">
        <v>4142</v>
      </c>
      <c r="H329" s="138" t="s">
        <v>4113</v>
      </c>
      <c r="I329" s="138" t="s">
        <v>2757</v>
      </c>
      <c r="J329" s="142" t="s">
        <v>341</v>
      </c>
      <c r="K329" s="142" t="s">
        <v>341</v>
      </c>
      <c r="L329" s="137" t="s">
        <v>20</v>
      </c>
      <c r="M329" s="137" t="s">
        <v>20</v>
      </c>
      <c r="N329" s="137" t="s">
        <v>20</v>
      </c>
      <c r="O329" s="137" t="s">
        <v>20</v>
      </c>
      <c r="P329" s="137" t="s">
        <v>20</v>
      </c>
      <c r="Q329" s="137" t="s">
        <v>20</v>
      </c>
    </row>
    <row r="330" spans="2:17" ht="21" x14ac:dyDescent="0.25">
      <c r="B330" s="137">
        <v>328</v>
      </c>
      <c r="C330" s="135" t="s">
        <v>321</v>
      </c>
      <c r="D330" s="138" t="s">
        <v>3669</v>
      </c>
      <c r="E330" s="139">
        <v>45401</v>
      </c>
      <c r="F330" s="140">
        <v>0.21388888888888888</v>
      </c>
      <c r="G330" s="138" t="s">
        <v>3768</v>
      </c>
      <c r="H330" s="138" t="s">
        <v>406</v>
      </c>
      <c r="I330" s="138" t="s">
        <v>4143</v>
      </c>
      <c r="J330" s="142" t="s">
        <v>341</v>
      </c>
      <c r="K330" s="142" t="s">
        <v>341</v>
      </c>
      <c r="L330" s="137" t="s">
        <v>20</v>
      </c>
      <c r="M330" s="137" t="s">
        <v>20</v>
      </c>
      <c r="N330" s="137" t="s">
        <v>20</v>
      </c>
      <c r="O330" s="137" t="s">
        <v>20</v>
      </c>
      <c r="P330" s="137" t="s">
        <v>20</v>
      </c>
      <c r="Q330" s="137" t="s">
        <v>20</v>
      </c>
    </row>
    <row r="331" spans="2:17" ht="78" x14ac:dyDescent="0.25">
      <c r="B331" s="137">
        <v>329</v>
      </c>
      <c r="C331" s="135" t="s">
        <v>321</v>
      </c>
      <c r="D331" s="138" t="s">
        <v>3669</v>
      </c>
      <c r="E331" s="139">
        <v>45401</v>
      </c>
      <c r="F331" s="140">
        <v>0.47152777777777777</v>
      </c>
      <c r="G331" s="138" t="s">
        <v>4144</v>
      </c>
      <c r="H331" s="138" t="s">
        <v>406</v>
      </c>
      <c r="I331" s="138" t="s">
        <v>380</v>
      </c>
      <c r="J331" s="142" t="s">
        <v>4119</v>
      </c>
      <c r="K331" s="142" t="s">
        <v>4119</v>
      </c>
      <c r="L331" s="137" t="s">
        <v>20</v>
      </c>
      <c r="M331" s="137" t="s">
        <v>20</v>
      </c>
      <c r="N331" s="137" t="s">
        <v>20</v>
      </c>
      <c r="O331" s="137" t="s">
        <v>20</v>
      </c>
      <c r="P331" s="137" t="s">
        <v>20</v>
      </c>
      <c r="Q331" s="137" t="s">
        <v>20</v>
      </c>
    </row>
    <row r="332" spans="2:17" ht="78" x14ac:dyDescent="0.25">
      <c r="B332" s="137">
        <v>330</v>
      </c>
      <c r="C332" s="135" t="s">
        <v>321</v>
      </c>
      <c r="D332" s="138" t="s">
        <v>3669</v>
      </c>
      <c r="E332" s="139">
        <v>45401</v>
      </c>
      <c r="F332" s="140">
        <v>0.47986111111111113</v>
      </c>
      <c r="G332" s="138" t="s">
        <v>4145</v>
      </c>
      <c r="H332" s="138" t="s">
        <v>406</v>
      </c>
      <c r="I332" s="138" t="s">
        <v>380</v>
      </c>
      <c r="J332" s="142" t="s">
        <v>4119</v>
      </c>
      <c r="K332" s="142" t="s">
        <v>4119</v>
      </c>
      <c r="L332" s="137" t="s">
        <v>20</v>
      </c>
      <c r="M332" s="137" t="s">
        <v>20</v>
      </c>
      <c r="N332" s="137" t="s">
        <v>20</v>
      </c>
      <c r="O332" s="137" t="s">
        <v>20</v>
      </c>
      <c r="P332" s="137" t="s">
        <v>20</v>
      </c>
      <c r="Q332" s="137" t="s">
        <v>20</v>
      </c>
    </row>
    <row r="333" spans="2:17" ht="21" x14ac:dyDescent="0.25">
      <c r="B333" s="137">
        <v>331</v>
      </c>
      <c r="C333" s="135" t="s">
        <v>321</v>
      </c>
      <c r="D333" s="138" t="s">
        <v>3669</v>
      </c>
      <c r="E333" s="139">
        <v>45401</v>
      </c>
      <c r="F333" s="140">
        <v>0.51388888888888884</v>
      </c>
      <c r="G333" s="138" t="s">
        <v>4146</v>
      </c>
      <c r="H333" s="138" t="s">
        <v>406</v>
      </c>
      <c r="I333" s="138" t="s">
        <v>397</v>
      </c>
      <c r="J333" s="142" t="s">
        <v>341</v>
      </c>
      <c r="K333" s="142" t="s">
        <v>341</v>
      </c>
      <c r="L333" s="137" t="s">
        <v>20</v>
      </c>
      <c r="M333" s="137" t="s">
        <v>20</v>
      </c>
      <c r="N333" s="137" t="s">
        <v>20</v>
      </c>
      <c r="O333" s="137" t="s">
        <v>20</v>
      </c>
      <c r="P333" s="137" t="s">
        <v>20</v>
      </c>
      <c r="Q333" s="137" t="s">
        <v>20</v>
      </c>
    </row>
    <row r="334" spans="2:17" ht="39" x14ac:dyDescent="0.25">
      <c r="B334" s="137">
        <v>332</v>
      </c>
      <c r="C334" s="135" t="s">
        <v>321</v>
      </c>
      <c r="D334" s="138" t="s">
        <v>3669</v>
      </c>
      <c r="E334" s="139">
        <v>45401</v>
      </c>
      <c r="F334" s="140">
        <v>0.53680555555555554</v>
      </c>
      <c r="G334" s="138" t="s">
        <v>4147</v>
      </c>
      <c r="H334" s="138" t="s">
        <v>4148</v>
      </c>
      <c r="I334" s="138" t="s">
        <v>380</v>
      </c>
      <c r="J334" s="142">
        <v>12000</v>
      </c>
      <c r="K334" s="142">
        <v>18000</v>
      </c>
      <c r="L334" s="137" t="s">
        <v>20</v>
      </c>
      <c r="M334" s="137" t="s">
        <v>20</v>
      </c>
      <c r="N334" s="137" t="s">
        <v>20</v>
      </c>
      <c r="O334" s="137" t="s">
        <v>20</v>
      </c>
      <c r="P334" s="137" t="s">
        <v>20</v>
      </c>
      <c r="Q334" s="137" t="s">
        <v>20</v>
      </c>
    </row>
    <row r="335" spans="2:17" ht="21" x14ac:dyDescent="0.25">
      <c r="B335" s="137">
        <v>333</v>
      </c>
      <c r="C335" s="135" t="s">
        <v>321</v>
      </c>
      <c r="D335" s="138" t="s">
        <v>4111</v>
      </c>
      <c r="E335" s="139">
        <v>45401</v>
      </c>
      <c r="F335" s="140">
        <v>0.56041666666666667</v>
      </c>
      <c r="G335" s="138" t="s">
        <v>4149</v>
      </c>
      <c r="H335" s="138" t="s">
        <v>4150</v>
      </c>
      <c r="I335" s="138" t="s">
        <v>380</v>
      </c>
      <c r="J335" s="142">
        <v>600000</v>
      </c>
      <c r="K335" s="142">
        <v>300000</v>
      </c>
      <c r="L335" s="137" t="s">
        <v>20</v>
      </c>
      <c r="M335" s="137" t="s">
        <v>20</v>
      </c>
      <c r="N335" s="137" t="s">
        <v>20</v>
      </c>
      <c r="O335" s="137" t="s">
        <v>20</v>
      </c>
      <c r="P335" s="137" t="s">
        <v>20</v>
      </c>
      <c r="Q335" s="137" t="s">
        <v>20</v>
      </c>
    </row>
    <row r="336" spans="2:17" ht="39" x14ac:dyDescent="0.25">
      <c r="B336" s="137">
        <v>334</v>
      </c>
      <c r="C336" s="135" t="s">
        <v>321</v>
      </c>
      <c r="D336" s="138" t="s">
        <v>3669</v>
      </c>
      <c r="E336" s="139">
        <v>45401</v>
      </c>
      <c r="F336" s="140">
        <v>0.56527777777777777</v>
      </c>
      <c r="G336" s="138" t="s">
        <v>4151</v>
      </c>
      <c r="H336" s="138" t="s">
        <v>4148</v>
      </c>
      <c r="I336" s="138" t="s">
        <v>380</v>
      </c>
      <c r="J336" s="142">
        <v>15000</v>
      </c>
      <c r="K336" s="142">
        <v>25000</v>
      </c>
      <c r="L336" s="137" t="s">
        <v>20</v>
      </c>
      <c r="M336" s="137" t="s">
        <v>20</v>
      </c>
      <c r="N336" s="137" t="s">
        <v>20</v>
      </c>
      <c r="O336" s="137" t="s">
        <v>20</v>
      </c>
      <c r="P336" s="137" t="s">
        <v>20</v>
      </c>
      <c r="Q336" s="137" t="s">
        <v>20</v>
      </c>
    </row>
    <row r="337" spans="2:17" ht="39" x14ac:dyDescent="0.25">
      <c r="B337" s="137">
        <v>335</v>
      </c>
      <c r="C337" s="135" t="s">
        <v>321</v>
      </c>
      <c r="D337" s="138" t="s">
        <v>3669</v>
      </c>
      <c r="E337" s="139">
        <v>45401</v>
      </c>
      <c r="F337" s="140">
        <v>0.57361111111111107</v>
      </c>
      <c r="G337" s="138" t="s">
        <v>4152</v>
      </c>
      <c r="H337" s="138" t="s">
        <v>4148</v>
      </c>
      <c r="I337" s="138" t="s">
        <v>380</v>
      </c>
      <c r="J337" s="142">
        <v>12000</v>
      </c>
      <c r="K337" s="142">
        <v>18000</v>
      </c>
      <c r="L337" s="137" t="s">
        <v>20</v>
      </c>
      <c r="M337" s="137" t="s">
        <v>20</v>
      </c>
      <c r="N337" s="137" t="s">
        <v>20</v>
      </c>
      <c r="O337" s="137" t="s">
        <v>20</v>
      </c>
      <c r="P337" s="137" t="s">
        <v>20</v>
      </c>
      <c r="Q337" s="137" t="s">
        <v>20</v>
      </c>
    </row>
    <row r="338" spans="2:17" ht="39" x14ac:dyDescent="0.25">
      <c r="B338" s="137">
        <v>336</v>
      </c>
      <c r="C338" s="135" t="s">
        <v>321</v>
      </c>
      <c r="D338" s="138" t="s">
        <v>3669</v>
      </c>
      <c r="E338" s="139">
        <v>45401</v>
      </c>
      <c r="F338" s="140">
        <v>0.58472222222222225</v>
      </c>
      <c r="G338" s="138" t="s">
        <v>4153</v>
      </c>
      <c r="H338" s="138" t="s">
        <v>4113</v>
      </c>
      <c r="I338" s="138" t="s">
        <v>4154</v>
      </c>
      <c r="J338" s="142" t="s">
        <v>341</v>
      </c>
      <c r="K338" s="142" t="s">
        <v>341</v>
      </c>
      <c r="L338" s="137" t="s">
        <v>20</v>
      </c>
      <c r="M338" s="137" t="s">
        <v>20</v>
      </c>
      <c r="N338" s="137" t="s">
        <v>20</v>
      </c>
      <c r="O338" s="137" t="s">
        <v>20</v>
      </c>
      <c r="P338" s="137" t="s">
        <v>20</v>
      </c>
      <c r="Q338" s="137" t="s">
        <v>20</v>
      </c>
    </row>
    <row r="339" spans="2:17" ht="78" x14ac:dyDescent="0.25">
      <c r="B339" s="137">
        <v>337</v>
      </c>
      <c r="C339" s="135" t="s">
        <v>321</v>
      </c>
      <c r="D339" s="138" t="s">
        <v>3669</v>
      </c>
      <c r="E339" s="139">
        <v>45401</v>
      </c>
      <c r="F339" s="140">
        <v>0.79513888888888884</v>
      </c>
      <c r="G339" s="138" t="s">
        <v>4155</v>
      </c>
      <c r="H339" s="138" t="s">
        <v>385</v>
      </c>
      <c r="I339" s="138" t="s">
        <v>2387</v>
      </c>
      <c r="J339" s="142" t="s">
        <v>4119</v>
      </c>
      <c r="K339" s="142" t="s">
        <v>4119</v>
      </c>
      <c r="L339" s="137" t="s">
        <v>20</v>
      </c>
      <c r="M339" s="137" t="s">
        <v>20</v>
      </c>
      <c r="N339" s="137" t="s">
        <v>20</v>
      </c>
      <c r="O339" s="137" t="s">
        <v>20</v>
      </c>
      <c r="P339" s="137" t="s">
        <v>20</v>
      </c>
      <c r="Q339" s="137" t="s">
        <v>20</v>
      </c>
    </row>
    <row r="340" spans="2:17" ht="78" x14ac:dyDescent="0.25">
      <c r="B340" s="137">
        <v>338</v>
      </c>
      <c r="C340" s="135" t="s">
        <v>321</v>
      </c>
      <c r="D340" s="138" t="s">
        <v>3669</v>
      </c>
      <c r="E340" s="139">
        <v>45402</v>
      </c>
      <c r="F340" s="140">
        <v>0.45416666666666666</v>
      </c>
      <c r="G340" s="138" t="s">
        <v>4156</v>
      </c>
      <c r="H340" s="138" t="s">
        <v>406</v>
      </c>
      <c r="I340" s="138" t="s">
        <v>4157</v>
      </c>
      <c r="J340" s="142" t="s">
        <v>4119</v>
      </c>
      <c r="K340" s="142" t="s">
        <v>4119</v>
      </c>
      <c r="L340" s="137" t="s">
        <v>20</v>
      </c>
      <c r="M340" s="137" t="s">
        <v>20</v>
      </c>
      <c r="N340" s="137" t="s">
        <v>20</v>
      </c>
      <c r="O340" s="137" t="s">
        <v>20</v>
      </c>
      <c r="P340" s="137" t="s">
        <v>20</v>
      </c>
      <c r="Q340" s="137" t="s">
        <v>20</v>
      </c>
    </row>
    <row r="341" spans="2:17" ht="21" x14ac:dyDescent="0.25">
      <c r="B341" s="137">
        <v>339</v>
      </c>
      <c r="C341" s="135" t="s">
        <v>321</v>
      </c>
      <c r="D341" s="138" t="s">
        <v>3669</v>
      </c>
      <c r="E341" s="139">
        <v>45402</v>
      </c>
      <c r="F341" s="140">
        <v>0.64583333333333337</v>
      </c>
      <c r="G341" s="138" t="s">
        <v>4158</v>
      </c>
      <c r="H341" s="138" t="s">
        <v>406</v>
      </c>
      <c r="I341" s="138" t="s">
        <v>380</v>
      </c>
      <c r="J341" s="142">
        <v>15000</v>
      </c>
      <c r="K341" s="142">
        <v>25000</v>
      </c>
      <c r="L341" s="137" t="s">
        <v>20</v>
      </c>
      <c r="M341" s="137" t="s">
        <v>20</v>
      </c>
      <c r="N341" s="137" t="s">
        <v>20</v>
      </c>
      <c r="O341" s="137" t="s">
        <v>20</v>
      </c>
      <c r="P341" s="137" t="s">
        <v>20</v>
      </c>
      <c r="Q341" s="137" t="s">
        <v>20</v>
      </c>
    </row>
    <row r="342" spans="2:17" ht="39" x14ac:dyDescent="0.25">
      <c r="B342" s="137">
        <v>340</v>
      </c>
      <c r="C342" s="135" t="s">
        <v>321</v>
      </c>
      <c r="D342" s="138" t="s">
        <v>3669</v>
      </c>
      <c r="E342" s="139" t="s">
        <v>4764</v>
      </c>
      <c r="F342" s="140">
        <v>0.79513888888888884</v>
      </c>
      <c r="G342" s="138" t="s">
        <v>4159</v>
      </c>
      <c r="H342" s="138" t="s">
        <v>406</v>
      </c>
      <c r="I342" s="138" t="s">
        <v>469</v>
      </c>
      <c r="J342" s="142" t="s">
        <v>341</v>
      </c>
      <c r="K342" s="142" t="s">
        <v>341</v>
      </c>
      <c r="L342" s="137" t="s">
        <v>20</v>
      </c>
      <c r="M342" s="137" t="s">
        <v>20</v>
      </c>
      <c r="N342" s="137" t="s">
        <v>20</v>
      </c>
      <c r="O342" s="137" t="s">
        <v>20</v>
      </c>
      <c r="P342" s="137" t="s">
        <v>20</v>
      </c>
      <c r="Q342" s="137" t="s">
        <v>20</v>
      </c>
    </row>
    <row r="343" spans="2:17" ht="39" x14ac:dyDescent="0.25">
      <c r="B343" s="137">
        <v>341</v>
      </c>
      <c r="C343" s="135" t="s">
        <v>321</v>
      </c>
      <c r="D343" s="138" t="s">
        <v>3669</v>
      </c>
      <c r="E343" s="139">
        <v>45402</v>
      </c>
      <c r="F343" s="140">
        <v>0.83611111111111114</v>
      </c>
      <c r="G343" s="138" t="s">
        <v>4160</v>
      </c>
      <c r="H343" s="138" t="s">
        <v>385</v>
      </c>
      <c r="I343" s="138" t="s">
        <v>469</v>
      </c>
      <c r="J343" s="142" t="s">
        <v>341</v>
      </c>
      <c r="K343" s="142" t="s">
        <v>341</v>
      </c>
      <c r="L343" s="137" t="s">
        <v>20</v>
      </c>
      <c r="M343" s="137" t="s">
        <v>20</v>
      </c>
      <c r="N343" s="137" t="s">
        <v>20</v>
      </c>
      <c r="O343" s="137" t="s">
        <v>20</v>
      </c>
      <c r="P343" s="137" t="s">
        <v>20</v>
      </c>
      <c r="Q343" s="137" t="s">
        <v>20</v>
      </c>
    </row>
    <row r="344" spans="2:17" ht="39" x14ac:dyDescent="0.25">
      <c r="B344" s="137">
        <v>342</v>
      </c>
      <c r="C344" s="135" t="s">
        <v>321</v>
      </c>
      <c r="D344" s="138" t="s">
        <v>4111</v>
      </c>
      <c r="E344" s="139">
        <v>45402</v>
      </c>
      <c r="F344" s="140">
        <v>0.83888888888888891</v>
      </c>
      <c r="G344" s="138" t="s">
        <v>4161</v>
      </c>
      <c r="H344" s="138" t="s">
        <v>4162</v>
      </c>
      <c r="I344" s="138" t="s">
        <v>2757</v>
      </c>
      <c r="J344" s="142" t="s">
        <v>341</v>
      </c>
      <c r="K344" s="142" t="s">
        <v>341</v>
      </c>
      <c r="L344" s="137" t="s">
        <v>20</v>
      </c>
      <c r="M344" s="137" t="s">
        <v>20</v>
      </c>
      <c r="N344" s="137" t="s">
        <v>20</v>
      </c>
      <c r="O344" s="137" t="s">
        <v>20</v>
      </c>
      <c r="P344" s="137" t="s">
        <v>20</v>
      </c>
      <c r="Q344" s="137" t="s">
        <v>20</v>
      </c>
    </row>
    <row r="345" spans="2:17" ht="39" x14ac:dyDescent="0.25">
      <c r="B345" s="137">
        <v>343</v>
      </c>
      <c r="C345" s="135" t="s">
        <v>321</v>
      </c>
      <c r="D345" s="138" t="s">
        <v>4111</v>
      </c>
      <c r="E345" s="139">
        <v>45402</v>
      </c>
      <c r="F345" s="140">
        <v>0.88194444444444442</v>
      </c>
      <c r="G345" s="138" t="s">
        <v>4163</v>
      </c>
      <c r="H345" s="138" t="s">
        <v>4108</v>
      </c>
      <c r="I345" s="138" t="s">
        <v>469</v>
      </c>
      <c r="J345" s="142" t="s">
        <v>341</v>
      </c>
      <c r="K345" s="142" t="s">
        <v>341</v>
      </c>
      <c r="L345" s="137" t="s">
        <v>20</v>
      </c>
      <c r="M345" s="137" t="s">
        <v>20</v>
      </c>
      <c r="N345" s="137" t="s">
        <v>20</v>
      </c>
      <c r="O345" s="137" t="s">
        <v>20</v>
      </c>
      <c r="P345" s="137" t="s">
        <v>20</v>
      </c>
      <c r="Q345" s="137" t="s">
        <v>20</v>
      </c>
    </row>
    <row r="346" spans="2:17" ht="39" x14ac:dyDescent="0.25">
      <c r="B346" s="137">
        <v>344</v>
      </c>
      <c r="C346" s="135" t="s">
        <v>321</v>
      </c>
      <c r="D346" s="138" t="s">
        <v>4111</v>
      </c>
      <c r="E346" s="139">
        <v>45403</v>
      </c>
      <c r="F346" s="140">
        <v>8.1944444444444445E-2</v>
      </c>
      <c r="G346" s="138" t="s">
        <v>4164</v>
      </c>
      <c r="H346" s="138" t="s">
        <v>4165</v>
      </c>
      <c r="I346" s="138" t="s">
        <v>4166</v>
      </c>
      <c r="J346" s="142">
        <v>5000</v>
      </c>
      <c r="K346" s="142">
        <v>3000</v>
      </c>
      <c r="L346" s="137" t="s">
        <v>20</v>
      </c>
      <c r="M346" s="137" t="s">
        <v>20</v>
      </c>
      <c r="N346" s="137" t="s">
        <v>20</v>
      </c>
      <c r="O346" s="137" t="s">
        <v>20</v>
      </c>
      <c r="P346" s="137" t="s">
        <v>20</v>
      </c>
      <c r="Q346" s="137" t="s">
        <v>20</v>
      </c>
    </row>
    <row r="347" spans="2:17" ht="39" x14ac:dyDescent="0.25">
      <c r="B347" s="137">
        <v>345</v>
      </c>
      <c r="C347" s="135" t="s">
        <v>321</v>
      </c>
      <c r="D347" s="138" t="s">
        <v>4111</v>
      </c>
      <c r="E347" s="139">
        <v>45403</v>
      </c>
      <c r="F347" s="140">
        <v>8.1944444444444445E-2</v>
      </c>
      <c r="G347" s="138" t="s">
        <v>4164</v>
      </c>
      <c r="H347" s="138" t="s">
        <v>4165</v>
      </c>
      <c r="I347" s="138" t="s">
        <v>4166</v>
      </c>
      <c r="J347" s="142">
        <v>5000</v>
      </c>
      <c r="K347" s="142">
        <v>3000</v>
      </c>
      <c r="L347" s="137" t="s">
        <v>20</v>
      </c>
      <c r="M347" s="137" t="s">
        <v>20</v>
      </c>
      <c r="N347" s="137" t="s">
        <v>20</v>
      </c>
      <c r="O347" s="137" t="s">
        <v>20</v>
      </c>
      <c r="P347" s="137" t="s">
        <v>20</v>
      </c>
      <c r="Q347" s="137" t="s">
        <v>20</v>
      </c>
    </row>
    <row r="348" spans="2:17" ht="21" x14ac:dyDescent="0.25">
      <c r="B348" s="137">
        <v>346</v>
      </c>
      <c r="C348" s="135" t="s">
        <v>321</v>
      </c>
      <c r="D348" s="138" t="s">
        <v>3669</v>
      </c>
      <c r="E348" s="139">
        <v>45403</v>
      </c>
      <c r="F348" s="140">
        <v>0.56736111111111109</v>
      </c>
      <c r="G348" s="138" t="s">
        <v>4167</v>
      </c>
      <c r="H348" s="138" t="s">
        <v>4168</v>
      </c>
      <c r="I348" s="138" t="s">
        <v>2757</v>
      </c>
      <c r="J348" s="142" t="s">
        <v>354</v>
      </c>
      <c r="K348" s="142" t="s">
        <v>341</v>
      </c>
      <c r="L348" s="137" t="s">
        <v>20</v>
      </c>
      <c r="M348" s="137" t="s">
        <v>20</v>
      </c>
      <c r="N348" s="137" t="s">
        <v>20</v>
      </c>
      <c r="O348" s="137" t="s">
        <v>20</v>
      </c>
      <c r="P348" s="137" t="s">
        <v>20</v>
      </c>
      <c r="Q348" s="137" t="s">
        <v>20</v>
      </c>
    </row>
    <row r="349" spans="2:17" ht="39" x14ac:dyDescent="0.25">
      <c r="B349" s="137">
        <v>347</v>
      </c>
      <c r="C349" s="135" t="s">
        <v>321</v>
      </c>
      <c r="D349" s="138" t="s">
        <v>3669</v>
      </c>
      <c r="E349" s="139">
        <v>45404</v>
      </c>
      <c r="F349" s="140">
        <v>0.15972222222222221</v>
      </c>
      <c r="G349" s="138" t="s">
        <v>4169</v>
      </c>
      <c r="H349" s="138" t="s">
        <v>4168</v>
      </c>
      <c r="I349" s="138" t="s">
        <v>469</v>
      </c>
      <c r="J349" s="142" t="s">
        <v>341</v>
      </c>
      <c r="K349" s="142" t="s">
        <v>341</v>
      </c>
      <c r="L349" s="137" t="s">
        <v>20</v>
      </c>
      <c r="M349" s="137" t="s">
        <v>20</v>
      </c>
      <c r="N349" s="137" t="s">
        <v>20</v>
      </c>
      <c r="O349" s="137" t="s">
        <v>20</v>
      </c>
      <c r="P349" s="137" t="s">
        <v>20</v>
      </c>
      <c r="Q349" s="137" t="s">
        <v>20</v>
      </c>
    </row>
    <row r="350" spans="2:17" ht="21" x14ac:dyDescent="0.25">
      <c r="B350" s="137">
        <v>348</v>
      </c>
      <c r="C350" s="135" t="s">
        <v>321</v>
      </c>
      <c r="D350" s="138" t="s">
        <v>3669</v>
      </c>
      <c r="E350" s="139">
        <v>45405</v>
      </c>
      <c r="F350" s="140">
        <v>0.6645833333333333</v>
      </c>
      <c r="G350" s="138" t="s">
        <v>4170</v>
      </c>
      <c r="H350" s="138" t="s">
        <v>4150</v>
      </c>
      <c r="I350" s="138" t="s">
        <v>380</v>
      </c>
      <c r="J350" s="142">
        <v>8000</v>
      </c>
      <c r="K350" s="142">
        <v>12000</v>
      </c>
      <c r="L350" s="137" t="s">
        <v>20</v>
      </c>
      <c r="M350" s="137" t="s">
        <v>20</v>
      </c>
      <c r="N350" s="137" t="s">
        <v>20</v>
      </c>
      <c r="O350" s="137" t="s">
        <v>20</v>
      </c>
      <c r="P350" s="137" t="s">
        <v>20</v>
      </c>
      <c r="Q350" s="137" t="s">
        <v>20</v>
      </c>
    </row>
    <row r="351" spans="2:17" ht="21" x14ac:dyDescent="0.25">
      <c r="B351" s="137">
        <v>349</v>
      </c>
      <c r="C351" s="135" t="s">
        <v>321</v>
      </c>
      <c r="D351" s="138" t="s">
        <v>3669</v>
      </c>
      <c r="E351" s="139">
        <v>45405</v>
      </c>
      <c r="F351" s="140">
        <v>0.88680555555555551</v>
      </c>
      <c r="G351" s="138" t="s">
        <v>4171</v>
      </c>
      <c r="H351" s="138" t="s">
        <v>4127</v>
      </c>
      <c r="I351" s="138" t="s">
        <v>380</v>
      </c>
      <c r="J351" s="142">
        <v>10000</v>
      </c>
      <c r="K351" s="142">
        <v>10000</v>
      </c>
      <c r="L351" s="137" t="s">
        <v>20</v>
      </c>
      <c r="M351" s="137" t="s">
        <v>20</v>
      </c>
      <c r="N351" s="137" t="s">
        <v>20</v>
      </c>
      <c r="O351" s="137" t="s">
        <v>20</v>
      </c>
      <c r="P351" s="137" t="s">
        <v>20</v>
      </c>
      <c r="Q351" s="137" t="s">
        <v>20</v>
      </c>
    </row>
    <row r="352" spans="2:17" ht="39" x14ac:dyDescent="0.25">
      <c r="B352" s="137">
        <v>350</v>
      </c>
      <c r="C352" s="135" t="s">
        <v>321</v>
      </c>
      <c r="D352" s="138" t="s">
        <v>3685</v>
      </c>
      <c r="E352" s="139">
        <v>45405</v>
      </c>
      <c r="F352" s="140">
        <v>0.65763888888888888</v>
      </c>
      <c r="G352" s="138" t="s">
        <v>4172</v>
      </c>
      <c r="H352" s="138" t="s">
        <v>4113</v>
      </c>
      <c r="I352" s="138" t="s">
        <v>469</v>
      </c>
      <c r="J352" s="142" t="s">
        <v>341</v>
      </c>
      <c r="K352" s="142" t="s">
        <v>341</v>
      </c>
      <c r="L352" s="137" t="s">
        <v>20</v>
      </c>
      <c r="M352" s="137" t="s">
        <v>20</v>
      </c>
      <c r="N352" s="137" t="s">
        <v>20</v>
      </c>
      <c r="O352" s="137" t="s">
        <v>20</v>
      </c>
      <c r="P352" s="137" t="s">
        <v>20</v>
      </c>
      <c r="Q352" s="137" t="s">
        <v>20</v>
      </c>
    </row>
    <row r="353" spans="2:17" ht="39" x14ac:dyDescent="0.25">
      <c r="B353" s="137">
        <v>351</v>
      </c>
      <c r="C353" s="135" t="s">
        <v>321</v>
      </c>
      <c r="D353" s="138" t="s">
        <v>3669</v>
      </c>
      <c r="E353" s="139">
        <v>45405</v>
      </c>
      <c r="F353" s="140">
        <v>0.89930555555555558</v>
      </c>
      <c r="G353" s="138" t="s">
        <v>4173</v>
      </c>
      <c r="H353" s="138" t="s">
        <v>406</v>
      </c>
      <c r="I353" s="138" t="s">
        <v>4174</v>
      </c>
      <c r="J353" s="142" t="s">
        <v>3674</v>
      </c>
      <c r="K353" s="142" t="s">
        <v>3674</v>
      </c>
      <c r="L353" s="137" t="s">
        <v>20</v>
      </c>
      <c r="M353" s="137" t="s">
        <v>20</v>
      </c>
      <c r="N353" s="137" t="s">
        <v>20</v>
      </c>
      <c r="O353" s="137" t="s">
        <v>20</v>
      </c>
      <c r="P353" s="137" t="s">
        <v>20</v>
      </c>
      <c r="Q353" s="137" t="s">
        <v>20</v>
      </c>
    </row>
    <row r="354" spans="2:17" ht="39" x14ac:dyDescent="0.25">
      <c r="B354" s="137">
        <v>352</v>
      </c>
      <c r="C354" s="135" t="s">
        <v>321</v>
      </c>
      <c r="D354" s="138" t="s">
        <v>3669</v>
      </c>
      <c r="E354" s="139">
        <v>45406</v>
      </c>
      <c r="F354" s="140">
        <v>0.99930555555555556</v>
      </c>
      <c r="G354" s="138" t="s">
        <v>4175</v>
      </c>
      <c r="H354" s="138" t="s">
        <v>2209</v>
      </c>
      <c r="I354" s="138" t="s">
        <v>3672</v>
      </c>
      <c r="J354" s="142">
        <v>40000</v>
      </c>
      <c r="K354" s="142">
        <v>60000</v>
      </c>
      <c r="L354" s="137" t="s">
        <v>20</v>
      </c>
      <c r="M354" s="137" t="s">
        <v>20</v>
      </c>
      <c r="N354" s="137" t="s">
        <v>20</v>
      </c>
      <c r="O354" s="137" t="s">
        <v>20</v>
      </c>
      <c r="P354" s="137" t="s">
        <v>20</v>
      </c>
      <c r="Q354" s="137" t="s">
        <v>20</v>
      </c>
    </row>
    <row r="355" spans="2:17" ht="21" x14ac:dyDescent="0.25">
      <c r="B355" s="137">
        <v>353</v>
      </c>
      <c r="C355" s="135" t="s">
        <v>321</v>
      </c>
      <c r="D355" s="138" t="s">
        <v>3669</v>
      </c>
      <c r="E355" s="139">
        <v>45407</v>
      </c>
      <c r="F355" s="140">
        <v>0.53749999999999998</v>
      </c>
      <c r="G355" s="138" t="s">
        <v>4176</v>
      </c>
      <c r="H355" s="138" t="s">
        <v>385</v>
      </c>
      <c r="I355" s="138" t="s">
        <v>390</v>
      </c>
      <c r="J355" s="142">
        <v>45000</v>
      </c>
      <c r="K355" s="142">
        <v>55000</v>
      </c>
      <c r="L355" s="137" t="s">
        <v>20</v>
      </c>
      <c r="M355" s="137" t="s">
        <v>20</v>
      </c>
      <c r="N355" s="137" t="s">
        <v>20</v>
      </c>
      <c r="O355" s="137" t="s">
        <v>20</v>
      </c>
      <c r="P355" s="137" t="s">
        <v>20</v>
      </c>
      <c r="Q355" s="137" t="s">
        <v>20</v>
      </c>
    </row>
    <row r="356" spans="2:17" ht="39" x14ac:dyDescent="0.25">
      <c r="B356" s="137">
        <v>354</v>
      </c>
      <c r="C356" s="135" t="s">
        <v>321</v>
      </c>
      <c r="D356" s="138" t="s">
        <v>3669</v>
      </c>
      <c r="E356" s="139">
        <v>45407</v>
      </c>
      <c r="F356" s="140">
        <v>0.56666666666666665</v>
      </c>
      <c r="G356" s="138" t="s">
        <v>4177</v>
      </c>
      <c r="H356" s="138" t="s">
        <v>4113</v>
      </c>
      <c r="I356" s="138" t="s">
        <v>4178</v>
      </c>
      <c r="J356" s="142">
        <v>8000</v>
      </c>
      <c r="K356" s="142">
        <v>12000</v>
      </c>
      <c r="L356" s="137" t="s">
        <v>20</v>
      </c>
      <c r="M356" s="137" t="s">
        <v>20</v>
      </c>
      <c r="N356" s="137" t="s">
        <v>20</v>
      </c>
      <c r="O356" s="137" t="s">
        <v>20</v>
      </c>
      <c r="P356" s="137" t="s">
        <v>20</v>
      </c>
      <c r="Q356" s="137" t="s">
        <v>20</v>
      </c>
    </row>
    <row r="357" spans="2:17" ht="39" x14ac:dyDescent="0.25">
      <c r="B357" s="137">
        <v>355</v>
      </c>
      <c r="C357" s="135" t="s">
        <v>321</v>
      </c>
      <c r="D357" s="138" t="s">
        <v>3669</v>
      </c>
      <c r="E357" s="139">
        <v>45407</v>
      </c>
      <c r="F357" s="140">
        <v>0.53749999999999998</v>
      </c>
      <c r="G357" s="138" t="s">
        <v>4179</v>
      </c>
      <c r="H357" s="138" t="s">
        <v>4108</v>
      </c>
      <c r="I357" s="138" t="s">
        <v>4180</v>
      </c>
      <c r="J357" s="142">
        <v>20000</v>
      </c>
      <c r="K357" s="142">
        <v>40000</v>
      </c>
      <c r="L357" s="137" t="s">
        <v>20</v>
      </c>
      <c r="M357" s="137" t="s">
        <v>20</v>
      </c>
      <c r="N357" s="137" t="s">
        <v>20</v>
      </c>
      <c r="O357" s="137" t="s">
        <v>20</v>
      </c>
      <c r="P357" s="137" t="s">
        <v>20</v>
      </c>
      <c r="Q357" s="137" t="s">
        <v>20</v>
      </c>
    </row>
    <row r="358" spans="2:17" ht="21" x14ac:dyDescent="0.25">
      <c r="B358" s="137">
        <v>356</v>
      </c>
      <c r="C358" s="135" t="s">
        <v>321</v>
      </c>
      <c r="D358" s="138" t="s">
        <v>3669</v>
      </c>
      <c r="E358" s="139">
        <v>45407</v>
      </c>
      <c r="F358" s="140">
        <v>0.62847222222222221</v>
      </c>
      <c r="G358" s="138" t="s">
        <v>4181</v>
      </c>
      <c r="H358" s="138" t="s">
        <v>4182</v>
      </c>
      <c r="I358" s="138" t="s">
        <v>4183</v>
      </c>
      <c r="J358" s="142" t="s">
        <v>341</v>
      </c>
      <c r="K358" s="142" t="s">
        <v>341</v>
      </c>
      <c r="L358" s="137" t="s">
        <v>20</v>
      </c>
      <c r="M358" s="137" t="s">
        <v>20</v>
      </c>
      <c r="N358" s="137" t="s">
        <v>20</v>
      </c>
      <c r="O358" s="137" t="s">
        <v>20</v>
      </c>
      <c r="P358" s="137" t="s">
        <v>20</v>
      </c>
      <c r="Q358" s="137" t="s">
        <v>20</v>
      </c>
    </row>
    <row r="359" spans="2:17" ht="39" x14ac:dyDescent="0.25">
      <c r="B359" s="137">
        <v>357</v>
      </c>
      <c r="C359" s="135" t="s">
        <v>321</v>
      </c>
      <c r="D359" s="138" t="s">
        <v>3669</v>
      </c>
      <c r="E359" s="139">
        <v>45408</v>
      </c>
      <c r="F359" s="140">
        <v>0.82430555555555551</v>
      </c>
      <c r="G359" s="138" t="s">
        <v>4184</v>
      </c>
      <c r="H359" s="138" t="s">
        <v>2873</v>
      </c>
      <c r="I359" s="138" t="s">
        <v>4185</v>
      </c>
      <c r="J359" s="142">
        <v>10000</v>
      </c>
      <c r="K359" s="142">
        <v>10000</v>
      </c>
      <c r="L359" s="137" t="s">
        <v>20</v>
      </c>
      <c r="M359" s="137" t="s">
        <v>20</v>
      </c>
      <c r="N359" s="137" t="s">
        <v>20</v>
      </c>
      <c r="O359" s="137" t="s">
        <v>20</v>
      </c>
      <c r="P359" s="137" t="s">
        <v>20</v>
      </c>
      <c r="Q359" s="137" t="s">
        <v>20</v>
      </c>
    </row>
    <row r="360" spans="2:17" ht="58.5" x14ac:dyDescent="0.25">
      <c r="B360" s="137">
        <v>358</v>
      </c>
      <c r="C360" s="135" t="s">
        <v>321</v>
      </c>
      <c r="D360" s="138" t="s">
        <v>3669</v>
      </c>
      <c r="E360" s="139">
        <v>45410</v>
      </c>
      <c r="F360" s="140">
        <v>0.56527777777777777</v>
      </c>
      <c r="G360" s="138" t="s">
        <v>4186</v>
      </c>
      <c r="H360" s="138" t="s">
        <v>4187</v>
      </c>
      <c r="I360" s="138" t="s">
        <v>4188</v>
      </c>
      <c r="J360" s="142">
        <v>10000</v>
      </c>
      <c r="K360" s="142">
        <v>10000</v>
      </c>
      <c r="L360" s="137" t="s">
        <v>20</v>
      </c>
      <c r="M360" s="137" t="s">
        <v>20</v>
      </c>
      <c r="N360" s="137" t="s">
        <v>20</v>
      </c>
      <c r="O360" s="137" t="s">
        <v>20</v>
      </c>
      <c r="P360" s="137" t="s">
        <v>20</v>
      </c>
      <c r="Q360" s="137" t="s">
        <v>20</v>
      </c>
    </row>
    <row r="361" spans="2:17" ht="39" x14ac:dyDescent="0.25">
      <c r="B361" s="137">
        <v>359</v>
      </c>
      <c r="C361" s="135" t="s">
        <v>321</v>
      </c>
      <c r="D361" s="138" t="s">
        <v>3669</v>
      </c>
      <c r="E361" s="139">
        <v>45412</v>
      </c>
      <c r="F361" s="140">
        <v>0.18402777777777779</v>
      </c>
      <c r="G361" s="138" t="s">
        <v>4189</v>
      </c>
      <c r="H361" s="138" t="s">
        <v>2873</v>
      </c>
      <c r="I361" s="138" t="s">
        <v>4178</v>
      </c>
      <c r="J361" s="142">
        <v>20000</v>
      </c>
      <c r="K361" s="142">
        <v>10000</v>
      </c>
      <c r="L361" s="137" t="s">
        <v>20</v>
      </c>
      <c r="M361" s="137" t="s">
        <v>20</v>
      </c>
      <c r="N361" s="137" t="s">
        <v>20</v>
      </c>
      <c r="O361" s="137" t="s">
        <v>20</v>
      </c>
      <c r="P361" s="137" t="s">
        <v>20</v>
      </c>
      <c r="Q361" s="137" t="s">
        <v>20</v>
      </c>
    </row>
    <row r="362" spans="2:17" ht="58.5" x14ac:dyDescent="0.25">
      <c r="B362" s="137">
        <v>360</v>
      </c>
      <c r="C362" s="135" t="s">
        <v>321</v>
      </c>
      <c r="D362" s="138" t="s">
        <v>3669</v>
      </c>
      <c r="E362" s="139">
        <v>45412</v>
      </c>
      <c r="F362" s="140">
        <v>0.68055555555555558</v>
      </c>
      <c r="G362" s="138" t="s">
        <v>4190</v>
      </c>
      <c r="H362" s="138" t="s">
        <v>4191</v>
      </c>
      <c r="I362" s="138" t="s">
        <v>1994</v>
      </c>
      <c r="J362" s="142" t="s">
        <v>341</v>
      </c>
      <c r="K362" s="142" t="s">
        <v>341</v>
      </c>
      <c r="L362" s="137" t="s">
        <v>20</v>
      </c>
      <c r="M362" s="137" t="s">
        <v>20</v>
      </c>
      <c r="N362" s="137" t="s">
        <v>20</v>
      </c>
      <c r="O362" s="137" t="s">
        <v>20</v>
      </c>
      <c r="P362" s="137" t="s">
        <v>20</v>
      </c>
      <c r="Q362" s="137" t="s">
        <v>20</v>
      </c>
    </row>
    <row r="363" spans="2:17" ht="58.5" x14ac:dyDescent="0.25">
      <c r="B363" s="137">
        <v>361</v>
      </c>
      <c r="C363" s="135" t="s">
        <v>321</v>
      </c>
      <c r="D363" s="138" t="s">
        <v>3669</v>
      </c>
      <c r="E363" s="139">
        <v>45412</v>
      </c>
      <c r="F363" s="140">
        <v>0.80208333333333337</v>
      </c>
      <c r="G363" s="138" t="s">
        <v>4192</v>
      </c>
      <c r="H363" s="138" t="s">
        <v>4187</v>
      </c>
      <c r="I363" s="138" t="s">
        <v>4193</v>
      </c>
      <c r="J363" s="142">
        <v>10000</v>
      </c>
      <c r="K363" s="142">
        <v>10000</v>
      </c>
      <c r="L363" s="137" t="s">
        <v>20</v>
      </c>
      <c r="M363" s="137" t="s">
        <v>20</v>
      </c>
      <c r="N363" s="137" t="s">
        <v>20</v>
      </c>
      <c r="O363" s="137" t="s">
        <v>20</v>
      </c>
      <c r="P363" s="137" t="s">
        <v>20</v>
      </c>
      <c r="Q363" s="137" t="s">
        <v>20</v>
      </c>
    </row>
    <row r="364" spans="2:17" ht="21" x14ac:dyDescent="0.25">
      <c r="B364" s="137">
        <v>362</v>
      </c>
      <c r="C364" s="135" t="s">
        <v>321</v>
      </c>
      <c r="D364" s="138" t="s">
        <v>3669</v>
      </c>
      <c r="E364" s="139">
        <v>45412</v>
      </c>
      <c r="F364" s="140">
        <v>0.98055555555555551</v>
      </c>
      <c r="G364" s="138" t="s">
        <v>4194</v>
      </c>
      <c r="H364" s="138" t="s">
        <v>3755</v>
      </c>
      <c r="I364" s="138" t="s">
        <v>4195</v>
      </c>
      <c r="J364" s="142">
        <v>2000</v>
      </c>
      <c r="K364" s="142">
        <v>10000</v>
      </c>
      <c r="L364" s="137" t="s">
        <v>20</v>
      </c>
      <c r="M364" s="137" t="s">
        <v>20</v>
      </c>
      <c r="N364" s="137" t="s">
        <v>20</v>
      </c>
      <c r="O364" s="137" t="s">
        <v>20</v>
      </c>
      <c r="P364" s="137" t="s">
        <v>20</v>
      </c>
      <c r="Q364" s="137" t="s">
        <v>20</v>
      </c>
    </row>
    <row r="365" spans="2:17" ht="58.5" x14ac:dyDescent="0.25">
      <c r="B365" s="137">
        <v>363</v>
      </c>
      <c r="C365" s="135" t="s">
        <v>321</v>
      </c>
      <c r="D365" s="138" t="s">
        <v>580</v>
      </c>
      <c r="E365" s="139">
        <v>45387</v>
      </c>
      <c r="F365" s="140">
        <v>0.36736111111111114</v>
      </c>
      <c r="G365" s="138" t="s">
        <v>4196</v>
      </c>
      <c r="H365" s="138" t="s">
        <v>3795</v>
      </c>
      <c r="I365" s="138" t="s">
        <v>3796</v>
      </c>
      <c r="J365" s="142" t="s">
        <v>583</v>
      </c>
      <c r="K365" s="142">
        <v>50000000</v>
      </c>
      <c r="L365" s="137" t="s">
        <v>20</v>
      </c>
      <c r="M365" s="137" t="s">
        <v>20</v>
      </c>
      <c r="N365" s="137" t="s">
        <v>20</v>
      </c>
      <c r="O365" s="137" t="s">
        <v>20</v>
      </c>
      <c r="P365" s="137" t="s">
        <v>20</v>
      </c>
      <c r="Q365" s="137" t="s">
        <v>20</v>
      </c>
    </row>
    <row r="366" spans="2:17" ht="58.5" x14ac:dyDescent="0.25">
      <c r="B366" s="137">
        <v>364</v>
      </c>
      <c r="C366" s="135" t="s">
        <v>321</v>
      </c>
      <c r="D366" s="138" t="s">
        <v>580</v>
      </c>
      <c r="E366" s="139">
        <v>45388</v>
      </c>
      <c r="F366" s="140">
        <v>0.6</v>
      </c>
      <c r="G366" s="138" t="s">
        <v>4197</v>
      </c>
      <c r="H366" s="138" t="s">
        <v>3795</v>
      </c>
      <c r="I366" s="138" t="s">
        <v>3796</v>
      </c>
      <c r="J366" s="142" t="s">
        <v>583</v>
      </c>
      <c r="K366" s="142">
        <v>50000000</v>
      </c>
      <c r="L366" s="137" t="s">
        <v>20</v>
      </c>
      <c r="M366" s="137" t="s">
        <v>20</v>
      </c>
      <c r="N366" s="137" t="s">
        <v>20</v>
      </c>
      <c r="O366" s="137" t="s">
        <v>20</v>
      </c>
      <c r="P366" s="137" t="s">
        <v>20</v>
      </c>
      <c r="Q366" s="137" t="s">
        <v>20</v>
      </c>
    </row>
    <row r="367" spans="2:17" ht="78" x14ac:dyDescent="0.25">
      <c r="B367" s="137">
        <v>365</v>
      </c>
      <c r="C367" s="135" t="s">
        <v>321</v>
      </c>
      <c r="D367" s="138" t="s">
        <v>580</v>
      </c>
      <c r="E367" s="139">
        <v>45390</v>
      </c>
      <c r="F367" s="140">
        <v>0.46250000000000002</v>
      </c>
      <c r="G367" s="138" t="s">
        <v>4198</v>
      </c>
      <c r="H367" s="138" t="s">
        <v>4199</v>
      </c>
      <c r="I367" s="138" t="s">
        <v>4200</v>
      </c>
      <c r="J367" s="142">
        <v>50000</v>
      </c>
      <c r="K367" s="142">
        <v>10000000</v>
      </c>
      <c r="L367" s="137" t="s">
        <v>20</v>
      </c>
      <c r="M367" s="137" t="s">
        <v>20</v>
      </c>
      <c r="N367" s="137" t="s">
        <v>20</v>
      </c>
      <c r="O367" s="137" t="s">
        <v>20</v>
      </c>
      <c r="P367" s="137" t="s">
        <v>20</v>
      </c>
      <c r="Q367" s="137" t="s">
        <v>20</v>
      </c>
    </row>
    <row r="368" spans="2:17" ht="58.5" x14ac:dyDescent="0.25">
      <c r="B368" s="137">
        <v>366</v>
      </c>
      <c r="C368" s="135" t="s">
        <v>321</v>
      </c>
      <c r="D368" s="138" t="s">
        <v>580</v>
      </c>
      <c r="E368" s="139">
        <v>45366</v>
      </c>
      <c r="F368" s="140">
        <v>0.77916666666666667</v>
      </c>
      <c r="G368" s="138" t="s">
        <v>4201</v>
      </c>
      <c r="H368" s="138" t="s">
        <v>3795</v>
      </c>
      <c r="I368" s="138" t="s">
        <v>3796</v>
      </c>
      <c r="J368" s="142"/>
      <c r="K368" s="142"/>
      <c r="L368" s="137" t="s">
        <v>20</v>
      </c>
      <c r="M368" s="137" t="s">
        <v>20</v>
      </c>
      <c r="N368" s="137" t="s">
        <v>20</v>
      </c>
      <c r="O368" s="137" t="s">
        <v>20</v>
      </c>
      <c r="P368" s="137" t="s">
        <v>20</v>
      </c>
      <c r="Q368" s="137" t="s">
        <v>20</v>
      </c>
    </row>
    <row r="369" spans="2:17" ht="39" x14ac:dyDescent="0.25">
      <c r="B369" s="137">
        <v>367</v>
      </c>
      <c r="C369" s="135" t="s">
        <v>321</v>
      </c>
      <c r="D369" s="138" t="s">
        <v>580</v>
      </c>
      <c r="E369" s="139">
        <v>45367</v>
      </c>
      <c r="F369" s="140">
        <v>0.46319444444444446</v>
      </c>
      <c r="G369" s="138" t="s">
        <v>4202</v>
      </c>
      <c r="H369" s="138" t="s">
        <v>3795</v>
      </c>
      <c r="I369" s="138" t="s">
        <v>3796</v>
      </c>
      <c r="J369" s="142"/>
      <c r="K369" s="142"/>
      <c r="L369" s="137" t="s">
        <v>20</v>
      </c>
      <c r="M369" s="137" t="s">
        <v>20</v>
      </c>
      <c r="N369" s="137" t="s">
        <v>20</v>
      </c>
      <c r="O369" s="137" t="s">
        <v>20</v>
      </c>
      <c r="P369" s="137" t="s">
        <v>20</v>
      </c>
      <c r="Q369" s="137" t="s">
        <v>20</v>
      </c>
    </row>
    <row r="370" spans="2:17" ht="78" x14ac:dyDescent="0.25">
      <c r="B370" s="137">
        <v>368</v>
      </c>
      <c r="C370" s="135" t="s">
        <v>321</v>
      </c>
      <c r="D370" s="138" t="s">
        <v>3654</v>
      </c>
      <c r="E370" s="139">
        <v>45413</v>
      </c>
      <c r="F370" s="140">
        <v>0.46736111111111112</v>
      </c>
      <c r="G370" s="138" t="s">
        <v>4203</v>
      </c>
      <c r="H370" s="138" t="s">
        <v>4204</v>
      </c>
      <c r="I370" s="138" t="s">
        <v>4205</v>
      </c>
      <c r="J370" s="142">
        <v>900000</v>
      </c>
      <c r="K370" s="142">
        <v>49100000</v>
      </c>
      <c r="L370" s="141" t="s">
        <v>20</v>
      </c>
      <c r="M370" s="141" t="s">
        <v>20</v>
      </c>
      <c r="N370" s="141" t="s">
        <v>20</v>
      </c>
      <c r="O370" s="141" t="s">
        <v>20</v>
      </c>
      <c r="P370" s="141" t="s">
        <v>20</v>
      </c>
      <c r="Q370" s="141" t="s">
        <v>20</v>
      </c>
    </row>
    <row r="371" spans="2:17" ht="58.5" x14ac:dyDescent="0.25">
      <c r="B371" s="137">
        <v>369</v>
      </c>
      <c r="C371" s="135" t="s">
        <v>321</v>
      </c>
      <c r="D371" s="138" t="s">
        <v>3654</v>
      </c>
      <c r="E371" s="139">
        <v>45413</v>
      </c>
      <c r="F371" s="140">
        <v>0.62222222222222223</v>
      </c>
      <c r="G371" s="138" t="s">
        <v>3715</v>
      </c>
      <c r="H371" s="138" t="s">
        <v>3656</v>
      </c>
      <c r="I371" s="138" t="s">
        <v>3716</v>
      </c>
      <c r="J371" s="142">
        <v>1000</v>
      </c>
      <c r="K371" s="142">
        <v>99000</v>
      </c>
      <c r="L371" s="141" t="s">
        <v>20</v>
      </c>
      <c r="M371" s="141" t="s">
        <v>20</v>
      </c>
      <c r="N371" s="141" t="s">
        <v>20</v>
      </c>
      <c r="O371" s="141" t="s">
        <v>20</v>
      </c>
      <c r="P371" s="141" t="s">
        <v>20</v>
      </c>
      <c r="Q371" s="141" t="s">
        <v>20</v>
      </c>
    </row>
    <row r="372" spans="2:17" ht="58.5" x14ac:dyDescent="0.25">
      <c r="B372" s="137">
        <v>370</v>
      </c>
      <c r="C372" s="135" t="s">
        <v>321</v>
      </c>
      <c r="D372" s="138" t="s">
        <v>3654</v>
      </c>
      <c r="E372" s="139">
        <v>45413</v>
      </c>
      <c r="F372" s="140">
        <v>0.69027777777777777</v>
      </c>
      <c r="G372" s="138" t="s">
        <v>4206</v>
      </c>
      <c r="H372" s="138" t="s">
        <v>3656</v>
      </c>
      <c r="I372" s="138" t="s">
        <v>3662</v>
      </c>
      <c r="J372" s="142">
        <v>1000</v>
      </c>
      <c r="K372" s="142">
        <v>99000</v>
      </c>
      <c r="L372" s="141" t="s">
        <v>20</v>
      </c>
      <c r="M372" s="141" t="s">
        <v>20</v>
      </c>
      <c r="N372" s="141" t="s">
        <v>20</v>
      </c>
      <c r="O372" s="141" t="s">
        <v>20</v>
      </c>
      <c r="P372" s="141" t="s">
        <v>20</v>
      </c>
      <c r="Q372" s="141" t="s">
        <v>20</v>
      </c>
    </row>
    <row r="373" spans="2:17" ht="58.5" x14ac:dyDescent="0.25">
      <c r="B373" s="137">
        <v>371</v>
      </c>
      <c r="C373" s="135" t="s">
        <v>321</v>
      </c>
      <c r="D373" s="138" t="s">
        <v>3654</v>
      </c>
      <c r="E373" s="139">
        <v>45413</v>
      </c>
      <c r="F373" s="140">
        <v>0.74652777777777779</v>
      </c>
      <c r="G373" s="138" t="s">
        <v>3715</v>
      </c>
      <c r="H373" s="138" t="s">
        <v>3656</v>
      </c>
      <c r="I373" s="138" t="s">
        <v>3716</v>
      </c>
      <c r="J373" s="142">
        <v>1000</v>
      </c>
      <c r="K373" s="142">
        <v>99000</v>
      </c>
      <c r="L373" s="141" t="s">
        <v>20</v>
      </c>
      <c r="M373" s="141" t="s">
        <v>20</v>
      </c>
      <c r="N373" s="141" t="s">
        <v>20</v>
      </c>
      <c r="O373" s="141" t="s">
        <v>20</v>
      </c>
      <c r="P373" s="141" t="s">
        <v>20</v>
      </c>
      <c r="Q373" s="141" t="s">
        <v>20</v>
      </c>
    </row>
    <row r="374" spans="2:17" ht="58.5" x14ac:dyDescent="0.25">
      <c r="B374" s="137">
        <v>372</v>
      </c>
      <c r="C374" s="135" t="s">
        <v>321</v>
      </c>
      <c r="D374" s="138" t="s">
        <v>3654</v>
      </c>
      <c r="E374" s="139">
        <v>45414</v>
      </c>
      <c r="F374" s="140">
        <v>0.7</v>
      </c>
      <c r="G374" s="138" t="s">
        <v>4207</v>
      </c>
      <c r="H374" s="138" t="s">
        <v>3656</v>
      </c>
      <c r="I374" s="138" t="s">
        <v>4208</v>
      </c>
      <c r="J374" s="142">
        <v>70000</v>
      </c>
      <c r="K374" s="142">
        <v>493000</v>
      </c>
      <c r="L374" s="141" t="s">
        <v>20</v>
      </c>
      <c r="M374" s="141" t="s">
        <v>20</v>
      </c>
      <c r="N374" s="141" t="s">
        <v>20</v>
      </c>
      <c r="O374" s="141" t="s">
        <v>20</v>
      </c>
      <c r="P374" s="141" t="s">
        <v>20</v>
      </c>
      <c r="Q374" s="141" t="s">
        <v>20</v>
      </c>
    </row>
    <row r="375" spans="2:17" ht="39" x14ac:dyDescent="0.25">
      <c r="B375" s="137">
        <v>373</v>
      </c>
      <c r="C375" s="135" t="s">
        <v>321</v>
      </c>
      <c r="D375" s="138" t="s">
        <v>3654</v>
      </c>
      <c r="E375" s="139">
        <v>45414</v>
      </c>
      <c r="F375" s="140">
        <v>0.94513888888888886</v>
      </c>
      <c r="G375" s="138" t="s">
        <v>4209</v>
      </c>
      <c r="H375" s="138" t="s">
        <v>4204</v>
      </c>
      <c r="I375" s="138" t="s">
        <v>3872</v>
      </c>
      <c r="J375" s="142">
        <v>200000</v>
      </c>
      <c r="K375" s="142">
        <v>800000</v>
      </c>
      <c r="L375" s="141" t="s">
        <v>20</v>
      </c>
      <c r="M375" s="141" t="s">
        <v>20</v>
      </c>
      <c r="N375" s="141" t="s">
        <v>20</v>
      </c>
      <c r="O375" s="141" t="s">
        <v>20</v>
      </c>
      <c r="P375" s="141" t="s">
        <v>20</v>
      </c>
      <c r="Q375" s="141" t="s">
        <v>20</v>
      </c>
    </row>
    <row r="376" spans="2:17" ht="58.5" x14ac:dyDescent="0.25">
      <c r="B376" s="137">
        <v>374</v>
      </c>
      <c r="C376" s="135" t="s">
        <v>321</v>
      </c>
      <c r="D376" s="138" t="s">
        <v>3654</v>
      </c>
      <c r="E376" s="139">
        <v>45415</v>
      </c>
      <c r="F376" s="140">
        <v>0.55000000000000004</v>
      </c>
      <c r="G376" s="138" t="s">
        <v>4210</v>
      </c>
      <c r="H376" s="138" t="s">
        <v>3656</v>
      </c>
      <c r="I376" s="138" t="s">
        <v>4211</v>
      </c>
      <c r="J376" s="142">
        <v>2000</v>
      </c>
      <c r="K376" s="142">
        <v>4998000</v>
      </c>
      <c r="L376" s="141" t="s">
        <v>20</v>
      </c>
      <c r="M376" s="141" t="s">
        <v>20</v>
      </c>
      <c r="N376" s="141" t="s">
        <v>20</v>
      </c>
      <c r="O376" s="141" t="s">
        <v>20</v>
      </c>
      <c r="P376" s="141" t="s">
        <v>20</v>
      </c>
      <c r="Q376" s="141" t="s">
        <v>20</v>
      </c>
    </row>
    <row r="377" spans="2:17" ht="39" x14ac:dyDescent="0.25">
      <c r="B377" s="137">
        <v>375</v>
      </c>
      <c r="C377" s="135" t="s">
        <v>321</v>
      </c>
      <c r="D377" s="138" t="s">
        <v>3654</v>
      </c>
      <c r="E377" s="139">
        <v>45416</v>
      </c>
      <c r="F377" s="140">
        <v>0.3888888888888889</v>
      </c>
      <c r="G377" s="138" t="s">
        <v>4212</v>
      </c>
      <c r="H377" s="138" t="s">
        <v>3876</v>
      </c>
      <c r="I377" s="138" t="s">
        <v>4213</v>
      </c>
      <c r="J377" s="142">
        <v>650000</v>
      </c>
      <c r="K377" s="142">
        <v>350000</v>
      </c>
      <c r="L377" s="141" t="s">
        <v>20</v>
      </c>
      <c r="M377" s="141" t="s">
        <v>20</v>
      </c>
      <c r="N377" s="141" t="s">
        <v>20</v>
      </c>
      <c r="O377" s="141" t="s">
        <v>20</v>
      </c>
      <c r="P377" s="141" t="s">
        <v>20</v>
      </c>
      <c r="Q377" s="141" t="s">
        <v>20</v>
      </c>
    </row>
    <row r="378" spans="2:17" ht="58.5" x14ac:dyDescent="0.25">
      <c r="B378" s="137">
        <v>376</v>
      </c>
      <c r="C378" s="135" t="s">
        <v>321</v>
      </c>
      <c r="D378" s="138" t="s">
        <v>3654</v>
      </c>
      <c r="E378" s="139">
        <v>45417</v>
      </c>
      <c r="F378" s="140">
        <v>0.63888888888888884</v>
      </c>
      <c r="G378" s="138" t="s">
        <v>4214</v>
      </c>
      <c r="H378" s="138" t="s">
        <v>3656</v>
      </c>
      <c r="I378" s="138" t="s">
        <v>3662</v>
      </c>
      <c r="J378" s="142" t="s">
        <v>341</v>
      </c>
      <c r="K378" s="142">
        <v>1000000</v>
      </c>
      <c r="L378" s="141" t="s">
        <v>20</v>
      </c>
      <c r="M378" s="141" t="s">
        <v>20</v>
      </c>
      <c r="N378" s="141" t="s">
        <v>20</v>
      </c>
      <c r="O378" s="141" t="s">
        <v>20</v>
      </c>
      <c r="P378" s="141" t="s">
        <v>20</v>
      </c>
      <c r="Q378" s="141" t="s">
        <v>20</v>
      </c>
    </row>
    <row r="379" spans="2:17" ht="58.5" x14ac:dyDescent="0.25">
      <c r="B379" s="137">
        <v>377</v>
      </c>
      <c r="C379" s="135" t="s">
        <v>321</v>
      </c>
      <c r="D379" s="138" t="s">
        <v>3654</v>
      </c>
      <c r="E379" s="139">
        <v>45417</v>
      </c>
      <c r="F379" s="140">
        <v>0.84097222222222223</v>
      </c>
      <c r="G379" s="138" t="s">
        <v>4215</v>
      </c>
      <c r="H379" s="138" t="s">
        <v>3876</v>
      </c>
      <c r="I379" s="138" t="s">
        <v>3863</v>
      </c>
      <c r="J379" s="142">
        <v>400000</v>
      </c>
      <c r="K379" s="142">
        <v>600000</v>
      </c>
      <c r="L379" s="141" t="s">
        <v>20</v>
      </c>
      <c r="M379" s="141">
        <v>1</v>
      </c>
      <c r="N379" s="141" t="s">
        <v>20</v>
      </c>
      <c r="O379" s="141">
        <v>1</v>
      </c>
      <c r="P379" s="141" t="s">
        <v>20</v>
      </c>
      <c r="Q379" s="141" t="s">
        <v>20</v>
      </c>
    </row>
    <row r="380" spans="2:17" ht="58.5" x14ac:dyDescent="0.25">
      <c r="B380" s="137">
        <v>378</v>
      </c>
      <c r="C380" s="135" t="s">
        <v>321</v>
      </c>
      <c r="D380" s="138" t="s">
        <v>3654</v>
      </c>
      <c r="E380" s="139">
        <v>45419</v>
      </c>
      <c r="F380" s="140">
        <v>0.56597222222222221</v>
      </c>
      <c r="G380" s="138" t="s">
        <v>4216</v>
      </c>
      <c r="H380" s="138" t="s">
        <v>3656</v>
      </c>
      <c r="I380" s="138" t="s">
        <v>3911</v>
      </c>
      <c r="J380" s="142">
        <v>2000</v>
      </c>
      <c r="K380" s="142">
        <v>98000</v>
      </c>
      <c r="L380" s="141" t="s">
        <v>20</v>
      </c>
      <c r="M380" s="141" t="s">
        <v>20</v>
      </c>
      <c r="N380" s="141" t="s">
        <v>20</v>
      </c>
      <c r="O380" s="141" t="s">
        <v>20</v>
      </c>
      <c r="P380" s="141" t="s">
        <v>20</v>
      </c>
      <c r="Q380" s="141" t="s">
        <v>20</v>
      </c>
    </row>
    <row r="381" spans="2:17" ht="58.5" x14ac:dyDescent="0.25">
      <c r="B381" s="137">
        <v>379</v>
      </c>
      <c r="C381" s="135" t="s">
        <v>321</v>
      </c>
      <c r="D381" s="138" t="s">
        <v>3654</v>
      </c>
      <c r="E381" s="139">
        <v>45420</v>
      </c>
      <c r="F381" s="140">
        <v>0.38194444444444442</v>
      </c>
      <c r="G381" s="138" t="s">
        <v>4217</v>
      </c>
      <c r="H381" s="138" t="s">
        <v>4218</v>
      </c>
      <c r="I381" s="138" t="s">
        <v>4219</v>
      </c>
      <c r="J381" s="142">
        <v>2000</v>
      </c>
      <c r="K381" s="142">
        <v>98000</v>
      </c>
      <c r="L381" s="141" t="s">
        <v>20</v>
      </c>
      <c r="M381" s="141" t="s">
        <v>20</v>
      </c>
      <c r="N381" s="141" t="s">
        <v>20</v>
      </c>
      <c r="O381" s="141" t="s">
        <v>20</v>
      </c>
      <c r="P381" s="141" t="s">
        <v>20</v>
      </c>
      <c r="Q381" s="141" t="s">
        <v>20</v>
      </c>
    </row>
    <row r="382" spans="2:17" ht="58.5" x14ac:dyDescent="0.25">
      <c r="B382" s="137">
        <v>380</v>
      </c>
      <c r="C382" s="135" t="s">
        <v>321</v>
      </c>
      <c r="D382" s="138" t="s">
        <v>3654</v>
      </c>
      <c r="E382" s="139">
        <v>45420</v>
      </c>
      <c r="F382" s="140">
        <v>0.46180555555555558</v>
      </c>
      <c r="G382" s="138" t="s">
        <v>4220</v>
      </c>
      <c r="H382" s="138" t="s">
        <v>4221</v>
      </c>
      <c r="I382" s="138" t="s">
        <v>4219</v>
      </c>
      <c r="J382" s="142">
        <v>1000</v>
      </c>
      <c r="K382" s="142">
        <v>99000</v>
      </c>
      <c r="L382" s="141" t="s">
        <v>20</v>
      </c>
      <c r="M382" s="141" t="s">
        <v>20</v>
      </c>
      <c r="N382" s="141" t="s">
        <v>20</v>
      </c>
      <c r="O382" s="141" t="s">
        <v>20</v>
      </c>
      <c r="P382" s="141" t="s">
        <v>20</v>
      </c>
      <c r="Q382" s="141" t="s">
        <v>20</v>
      </c>
    </row>
    <row r="383" spans="2:17" ht="58.5" x14ac:dyDescent="0.25">
      <c r="B383" s="137">
        <v>381</v>
      </c>
      <c r="C383" s="135" t="s">
        <v>321</v>
      </c>
      <c r="D383" s="138" t="s">
        <v>3654</v>
      </c>
      <c r="E383" s="139">
        <v>45421</v>
      </c>
      <c r="F383" s="140">
        <v>1.5972222222222221E-2</v>
      </c>
      <c r="G383" s="138" t="s">
        <v>4222</v>
      </c>
      <c r="H383" s="138" t="s">
        <v>4223</v>
      </c>
      <c r="I383" s="138" t="s">
        <v>4224</v>
      </c>
      <c r="J383" s="142">
        <v>1000</v>
      </c>
      <c r="K383" s="142">
        <v>999000</v>
      </c>
      <c r="L383" s="141" t="s">
        <v>20</v>
      </c>
      <c r="M383" s="141" t="s">
        <v>20</v>
      </c>
      <c r="N383" s="141" t="s">
        <v>20</v>
      </c>
      <c r="O383" s="141" t="s">
        <v>20</v>
      </c>
      <c r="P383" s="141" t="s">
        <v>20</v>
      </c>
      <c r="Q383" s="141" t="s">
        <v>20</v>
      </c>
    </row>
    <row r="384" spans="2:17" ht="39" x14ac:dyDescent="0.25">
      <c r="B384" s="137">
        <v>382</v>
      </c>
      <c r="C384" s="135" t="s">
        <v>321</v>
      </c>
      <c r="D384" s="138" t="s">
        <v>3654</v>
      </c>
      <c r="E384" s="139">
        <v>45421</v>
      </c>
      <c r="F384" s="140">
        <v>0.97569444444444442</v>
      </c>
      <c r="G384" s="138" t="s">
        <v>4225</v>
      </c>
      <c r="H384" s="138" t="s">
        <v>3876</v>
      </c>
      <c r="I384" s="138" t="s">
        <v>4226</v>
      </c>
      <c r="J384" s="142">
        <v>1000</v>
      </c>
      <c r="K384" s="142">
        <v>99000</v>
      </c>
      <c r="L384" s="141" t="s">
        <v>20</v>
      </c>
      <c r="M384" s="141" t="s">
        <v>20</v>
      </c>
      <c r="N384" s="141" t="s">
        <v>20</v>
      </c>
      <c r="O384" s="141" t="s">
        <v>20</v>
      </c>
      <c r="P384" s="141" t="s">
        <v>20</v>
      </c>
      <c r="Q384" s="141" t="s">
        <v>20</v>
      </c>
    </row>
    <row r="385" spans="2:17" ht="58.5" x14ac:dyDescent="0.25">
      <c r="B385" s="137">
        <v>383</v>
      </c>
      <c r="C385" s="135" t="s">
        <v>321</v>
      </c>
      <c r="D385" s="138" t="s">
        <v>3654</v>
      </c>
      <c r="E385" s="139">
        <v>45424</v>
      </c>
      <c r="F385" s="140">
        <v>0.69861111111111107</v>
      </c>
      <c r="G385" s="138" t="s">
        <v>4227</v>
      </c>
      <c r="H385" s="138" t="s">
        <v>3656</v>
      </c>
      <c r="I385" s="138" t="s">
        <v>4228</v>
      </c>
      <c r="J385" s="142">
        <v>2000</v>
      </c>
      <c r="K385" s="142">
        <v>98000</v>
      </c>
      <c r="L385" s="141" t="s">
        <v>20</v>
      </c>
      <c r="M385" s="141" t="s">
        <v>20</v>
      </c>
      <c r="N385" s="141" t="s">
        <v>20</v>
      </c>
      <c r="O385" s="141" t="s">
        <v>20</v>
      </c>
      <c r="P385" s="141" t="s">
        <v>20</v>
      </c>
      <c r="Q385" s="141" t="s">
        <v>20</v>
      </c>
    </row>
    <row r="386" spans="2:17" ht="58.5" x14ac:dyDescent="0.25">
      <c r="B386" s="137">
        <v>384</v>
      </c>
      <c r="C386" s="135" t="s">
        <v>321</v>
      </c>
      <c r="D386" s="138" t="s">
        <v>3654</v>
      </c>
      <c r="E386" s="139">
        <v>45426</v>
      </c>
      <c r="F386" s="140">
        <v>0.46875</v>
      </c>
      <c r="G386" s="138" t="s">
        <v>4229</v>
      </c>
      <c r="H386" s="138" t="s">
        <v>3656</v>
      </c>
      <c r="I386" s="138" t="s">
        <v>4230</v>
      </c>
      <c r="J386" s="142">
        <v>1000</v>
      </c>
      <c r="K386" s="142">
        <v>99000</v>
      </c>
      <c r="L386" s="141" t="s">
        <v>20</v>
      </c>
      <c r="M386" s="141" t="s">
        <v>20</v>
      </c>
      <c r="N386" s="141" t="s">
        <v>20</v>
      </c>
      <c r="O386" s="141" t="s">
        <v>20</v>
      </c>
      <c r="P386" s="141" t="s">
        <v>20</v>
      </c>
      <c r="Q386" s="141" t="s">
        <v>20</v>
      </c>
    </row>
    <row r="387" spans="2:17" ht="58.5" x14ac:dyDescent="0.25">
      <c r="B387" s="137">
        <v>385</v>
      </c>
      <c r="C387" s="135" t="s">
        <v>321</v>
      </c>
      <c r="D387" s="138" t="s">
        <v>3654</v>
      </c>
      <c r="E387" s="139">
        <v>45427</v>
      </c>
      <c r="F387" s="140">
        <v>0.81319444444444444</v>
      </c>
      <c r="G387" s="138" t="s">
        <v>4231</v>
      </c>
      <c r="H387" s="138" t="s">
        <v>3656</v>
      </c>
      <c r="I387" s="138" t="s">
        <v>4232</v>
      </c>
      <c r="J387" s="142">
        <v>1000</v>
      </c>
      <c r="K387" s="142">
        <v>99000</v>
      </c>
      <c r="L387" s="141" t="s">
        <v>20</v>
      </c>
      <c r="M387" s="141" t="s">
        <v>20</v>
      </c>
      <c r="N387" s="141" t="s">
        <v>20</v>
      </c>
      <c r="O387" s="141" t="s">
        <v>20</v>
      </c>
      <c r="P387" s="141" t="s">
        <v>20</v>
      </c>
      <c r="Q387" s="141" t="s">
        <v>20</v>
      </c>
    </row>
    <row r="388" spans="2:17" ht="58.5" x14ac:dyDescent="0.25">
      <c r="B388" s="137">
        <v>386</v>
      </c>
      <c r="C388" s="135" t="s">
        <v>321</v>
      </c>
      <c r="D388" s="138" t="s">
        <v>3654</v>
      </c>
      <c r="E388" s="139">
        <v>45430</v>
      </c>
      <c r="F388" s="140">
        <v>0.12569444444444444</v>
      </c>
      <c r="G388" s="138" t="s">
        <v>4233</v>
      </c>
      <c r="H388" s="138" t="s">
        <v>3656</v>
      </c>
      <c r="I388" s="138" t="s">
        <v>4234</v>
      </c>
      <c r="J388" s="142">
        <v>1000</v>
      </c>
      <c r="K388" s="142">
        <v>99000</v>
      </c>
      <c r="L388" s="141" t="s">
        <v>20</v>
      </c>
      <c r="M388" s="141" t="s">
        <v>20</v>
      </c>
      <c r="N388" s="141" t="s">
        <v>20</v>
      </c>
      <c r="O388" s="141" t="s">
        <v>20</v>
      </c>
      <c r="P388" s="141" t="s">
        <v>20</v>
      </c>
      <c r="Q388" s="141" t="s">
        <v>20</v>
      </c>
    </row>
    <row r="389" spans="2:17" ht="97.5" x14ac:dyDescent="0.25">
      <c r="B389" s="137">
        <v>387</v>
      </c>
      <c r="C389" s="135" t="s">
        <v>321</v>
      </c>
      <c r="D389" s="138" t="s">
        <v>3654</v>
      </c>
      <c r="E389" s="139">
        <v>45438</v>
      </c>
      <c r="F389" s="140">
        <v>0.4284722222222222</v>
      </c>
      <c r="G389" s="138" t="s">
        <v>4235</v>
      </c>
      <c r="H389" s="138" t="s">
        <v>4236</v>
      </c>
      <c r="I389" s="138" t="s">
        <v>4237</v>
      </c>
      <c r="J389" s="142">
        <v>700000</v>
      </c>
      <c r="K389" s="142">
        <v>2300000</v>
      </c>
      <c r="L389" s="141" t="s">
        <v>20</v>
      </c>
      <c r="M389" s="141" t="s">
        <v>20</v>
      </c>
      <c r="N389" s="141">
        <v>2</v>
      </c>
      <c r="O389" s="141" t="s">
        <v>20</v>
      </c>
      <c r="P389" s="141" t="s">
        <v>20</v>
      </c>
      <c r="Q389" s="141" t="s">
        <v>20</v>
      </c>
    </row>
    <row r="390" spans="2:17" ht="39" x14ac:dyDescent="0.25">
      <c r="B390" s="137">
        <v>388</v>
      </c>
      <c r="C390" s="135" t="s">
        <v>321</v>
      </c>
      <c r="D390" s="138" t="s">
        <v>3654</v>
      </c>
      <c r="E390" s="139">
        <v>45443</v>
      </c>
      <c r="F390" s="140">
        <v>6.25E-2</v>
      </c>
      <c r="G390" s="138" t="s">
        <v>4238</v>
      </c>
      <c r="H390" s="138" t="s">
        <v>4236</v>
      </c>
      <c r="I390" s="138" t="s">
        <v>4234</v>
      </c>
      <c r="J390" s="142">
        <v>1000</v>
      </c>
      <c r="K390" s="142">
        <v>9000</v>
      </c>
      <c r="L390" s="141" t="s">
        <v>20</v>
      </c>
      <c r="M390" s="141" t="s">
        <v>20</v>
      </c>
      <c r="N390" s="141" t="s">
        <v>20</v>
      </c>
      <c r="O390" s="141" t="s">
        <v>20</v>
      </c>
      <c r="P390" s="141" t="s">
        <v>20</v>
      </c>
      <c r="Q390" s="141" t="s">
        <v>20</v>
      </c>
    </row>
    <row r="391" spans="2:17" ht="39" x14ac:dyDescent="0.25">
      <c r="B391" s="137">
        <v>389</v>
      </c>
      <c r="C391" s="135" t="s">
        <v>321</v>
      </c>
      <c r="D391" s="138" t="s">
        <v>3721</v>
      </c>
      <c r="E391" s="139">
        <v>45413</v>
      </c>
      <c r="F391" s="140">
        <v>0.65277777777777779</v>
      </c>
      <c r="G391" s="138" t="s">
        <v>4239</v>
      </c>
      <c r="H391" s="141" t="s">
        <v>3659</v>
      </c>
      <c r="I391" s="138" t="s">
        <v>4240</v>
      </c>
      <c r="J391" s="142">
        <v>20000</v>
      </c>
      <c r="K391" s="142">
        <v>280000</v>
      </c>
      <c r="L391" s="141" t="s">
        <v>20</v>
      </c>
      <c r="M391" s="141" t="s">
        <v>20</v>
      </c>
      <c r="N391" s="141" t="s">
        <v>20</v>
      </c>
      <c r="O391" s="141" t="s">
        <v>20</v>
      </c>
      <c r="P391" s="141" t="s">
        <v>20</v>
      </c>
      <c r="Q391" s="141" t="s">
        <v>20</v>
      </c>
    </row>
    <row r="392" spans="2:17" ht="58.5" x14ac:dyDescent="0.25">
      <c r="B392" s="137">
        <v>390</v>
      </c>
      <c r="C392" s="135" t="s">
        <v>321</v>
      </c>
      <c r="D392" s="138" t="s">
        <v>3721</v>
      </c>
      <c r="E392" s="139">
        <v>45416</v>
      </c>
      <c r="F392" s="140">
        <v>0.57638888888888884</v>
      </c>
      <c r="G392" s="138" t="s">
        <v>4241</v>
      </c>
      <c r="H392" s="141" t="s">
        <v>3656</v>
      </c>
      <c r="I392" s="138" t="s">
        <v>4242</v>
      </c>
      <c r="J392" s="142">
        <v>500000</v>
      </c>
      <c r="K392" s="142">
        <v>1000000</v>
      </c>
      <c r="L392" s="141" t="s">
        <v>20</v>
      </c>
      <c r="M392" s="141" t="s">
        <v>20</v>
      </c>
      <c r="N392" s="141" t="s">
        <v>20</v>
      </c>
      <c r="O392" s="141" t="s">
        <v>20</v>
      </c>
      <c r="P392" s="141" t="s">
        <v>20</v>
      </c>
      <c r="Q392" s="141" t="s">
        <v>20</v>
      </c>
    </row>
    <row r="393" spans="2:17" ht="58.5" x14ac:dyDescent="0.25">
      <c r="B393" s="137">
        <v>391</v>
      </c>
      <c r="C393" s="135" t="s">
        <v>321</v>
      </c>
      <c r="D393" s="138" t="s">
        <v>3721</v>
      </c>
      <c r="E393" s="139">
        <v>45416</v>
      </c>
      <c r="F393" s="140">
        <v>0.69930555555555551</v>
      </c>
      <c r="G393" s="138" t="s">
        <v>4243</v>
      </c>
      <c r="H393" s="141" t="s">
        <v>3656</v>
      </c>
      <c r="I393" s="138" t="s">
        <v>4244</v>
      </c>
      <c r="J393" s="142">
        <v>100000</v>
      </c>
      <c r="K393" s="142">
        <v>400000</v>
      </c>
      <c r="L393" s="141" t="s">
        <v>20</v>
      </c>
      <c r="M393" s="141" t="s">
        <v>20</v>
      </c>
      <c r="N393" s="141" t="s">
        <v>20</v>
      </c>
      <c r="O393" s="141" t="s">
        <v>20</v>
      </c>
      <c r="P393" s="141" t="s">
        <v>20</v>
      </c>
      <c r="Q393" s="141" t="s">
        <v>20</v>
      </c>
    </row>
    <row r="394" spans="2:17" ht="58.5" x14ac:dyDescent="0.25">
      <c r="B394" s="137">
        <v>392</v>
      </c>
      <c r="C394" s="135" t="s">
        <v>321</v>
      </c>
      <c r="D394" s="138" t="s">
        <v>3721</v>
      </c>
      <c r="E394" s="139">
        <v>45416</v>
      </c>
      <c r="F394" s="140">
        <v>0.77430555555555558</v>
      </c>
      <c r="G394" s="138" t="s">
        <v>4245</v>
      </c>
      <c r="H394" s="138" t="s">
        <v>3656</v>
      </c>
      <c r="I394" s="138" t="s">
        <v>4246</v>
      </c>
      <c r="J394" s="142">
        <v>100000</v>
      </c>
      <c r="K394" s="142">
        <v>1400000</v>
      </c>
      <c r="L394" s="141" t="s">
        <v>20</v>
      </c>
      <c r="M394" s="141" t="s">
        <v>20</v>
      </c>
      <c r="N394" s="141" t="s">
        <v>20</v>
      </c>
      <c r="O394" s="141" t="s">
        <v>20</v>
      </c>
      <c r="P394" s="141" t="s">
        <v>20</v>
      </c>
      <c r="Q394" s="141" t="s">
        <v>20</v>
      </c>
    </row>
    <row r="395" spans="2:17" ht="39" x14ac:dyDescent="0.25">
      <c r="B395" s="137">
        <v>393</v>
      </c>
      <c r="C395" s="135" t="s">
        <v>321</v>
      </c>
      <c r="D395" s="138" t="s">
        <v>3721</v>
      </c>
      <c r="E395" s="139">
        <v>45416</v>
      </c>
      <c r="F395" s="140">
        <v>0.85</v>
      </c>
      <c r="G395" s="138" t="s">
        <v>4247</v>
      </c>
      <c r="H395" s="138" t="s">
        <v>3952</v>
      </c>
      <c r="I395" s="138" t="s">
        <v>4248</v>
      </c>
      <c r="J395" s="142">
        <v>300000</v>
      </c>
      <c r="K395" s="142">
        <v>700000</v>
      </c>
      <c r="L395" s="141" t="s">
        <v>20</v>
      </c>
      <c r="M395" s="141" t="s">
        <v>20</v>
      </c>
      <c r="N395" s="141" t="s">
        <v>20</v>
      </c>
      <c r="O395" s="141" t="s">
        <v>20</v>
      </c>
      <c r="P395" s="141" t="s">
        <v>20</v>
      </c>
      <c r="Q395" s="141" t="s">
        <v>20</v>
      </c>
    </row>
    <row r="396" spans="2:17" ht="58.5" x14ac:dyDescent="0.25">
      <c r="B396" s="137">
        <v>394</v>
      </c>
      <c r="C396" s="135" t="s">
        <v>321</v>
      </c>
      <c r="D396" s="138" t="s">
        <v>3721</v>
      </c>
      <c r="E396" s="139">
        <v>45417</v>
      </c>
      <c r="F396" s="140">
        <v>0.45902777777777776</v>
      </c>
      <c r="G396" s="138" t="s">
        <v>4249</v>
      </c>
      <c r="H396" s="138" t="s">
        <v>3656</v>
      </c>
      <c r="I396" s="138" t="s">
        <v>4246</v>
      </c>
      <c r="J396" s="142">
        <v>100000</v>
      </c>
      <c r="K396" s="142">
        <v>1300000</v>
      </c>
      <c r="L396" s="141" t="s">
        <v>20</v>
      </c>
      <c r="M396" s="141" t="s">
        <v>20</v>
      </c>
      <c r="N396" s="141" t="s">
        <v>20</v>
      </c>
      <c r="O396" s="141" t="s">
        <v>20</v>
      </c>
      <c r="P396" s="141" t="s">
        <v>20</v>
      </c>
      <c r="Q396" s="141" t="s">
        <v>20</v>
      </c>
    </row>
    <row r="397" spans="2:17" ht="58.5" x14ac:dyDescent="0.25">
      <c r="B397" s="137">
        <v>395</v>
      </c>
      <c r="C397" s="135" t="s">
        <v>321</v>
      </c>
      <c r="D397" s="138" t="s">
        <v>3721</v>
      </c>
      <c r="E397" s="139">
        <v>45418</v>
      </c>
      <c r="F397" s="140">
        <v>0.15277777777777779</v>
      </c>
      <c r="G397" s="138" t="s">
        <v>4245</v>
      </c>
      <c r="H397" s="138" t="s">
        <v>4250</v>
      </c>
      <c r="I397" s="138" t="s">
        <v>4246</v>
      </c>
      <c r="J397" s="142">
        <v>50000</v>
      </c>
      <c r="K397" s="142">
        <v>950000</v>
      </c>
      <c r="L397" s="141" t="s">
        <v>20</v>
      </c>
      <c r="M397" s="141" t="s">
        <v>20</v>
      </c>
      <c r="N397" s="141" t="s">
        <v>20</v>
      </c>
      <c r="O397" s="141" t="s">
        <v>20</v>
      </c>
      <c r="P397" s="141" t="s">
        <v>20</v>
      </c>
      <c r="Q397" s="141" t="s">
        <v>20</v>
      </c>
    </row>
    <row r="398" spans="2:17" ht="58.5" x14ac:dyDescent="0.25">
      <c r="B398" s="137">
        <v>396</v>
      </c>
      <c r="C398" s="135" t="s">
        <v>321</v>
      </c>
      <c r="D398" s="138" t="s">
        <v>3721</v>
      </c>
      <c r="E398" s="139">
        <v>45420</v>
      </c>
      <c r="F398" s="140">
        <v>0.68680555555555556</v>
      </c>
      <c r="G398" s="138" t="s">
        <v>4251</v>
      </c>
      <c r="H398" s="138" t="s">
        <v>4250</v>
      </c>
      <c r="I398" s="138" t="s">
        <v>3662</v>
      </c>
      <c r="J398" s="142">
        <v>5000</v>
      </c>
      <c r="K398" s="142">
        <v>995000</v>
      </c>
      <c r="L398" s="141" t="s">
        <v>20</v>
      </c>
      <c r="M398" s="141" t="s">
        <v>20</v>
      </c>
      <c r="N398" s="141" t="s">
        <v>20</v>
      </c>
      <c r="O398" s="141" t="s">
        <v>20</v>
      </c>
      <c r="P398" s="141" t="s">
        <v>20</v>
      </c>
      <c r="Q398" s="141" t="s">
        <v>20</v>
      </c>
    </row>
    <row r="399" spans="2:17" ht="15.75" customHeight="1" x14ac:dyDescent="0.25">
      <c r="B399" s="137">
        <v>397</v>
      </c>
      <c r="C399" s="135" t="s">
        <v>321</v>
      </c>
      <c r="D399" s="138" t="s">
        <v>3721</v>
      </c>
      <c r="E399" s="139">
        <v>45420</v>
      </c>
      <c r="F399" s="145">
        <v>0.91041666666666665</v>
      </c>
      <c r="G399" s="138" t="s">
        <v>4252</v>
      </c>
      <c r="H399" s="138" t="s">
        <v>3902</v>
      </c>
      <c r="I399" s="138" t="s">
        <v>4253</v>
      </c>
      <c r="J399" s="142">
        <v>5000</v>
      </c>
      <c r="K399" s="142">
        <v>995000</v>
      </c>
      <c r="L399" s="141" t="s">
        <v>20</v>
      </c>
      <c r="M399" s="141" t="s">
        <v>20</v>
      </c>
      <c r="N399" s="141" t="s">
        <v>20</v>
      </c>
      <c r="O399" s="141" t="s">
        <v>20</v>
      </c>
      <c r="P399" s="141" t="s">
        <v>20</v>
      </c>
      <c r="Q399" s="141" t="s">
        <v>20</v>
      </c>
    </row>
    <row r="400" spans="2:17" ht="19.5" customHeight="1" x14ac:dyDescent="0.25">
      <c r="B400" s="137">
        <v>398</v>
      </c>
      <c r="C400" s="135" t="s">
        <v>321</v>
      </c>
      <c r="D400" s="138" t="s">
        <v>3721</v>
      </c>
      <c r="E400" s="139"/>
      <c r="F400" s="145"/>
      <c r="G400" s="138" t="s">
        <v>4254</v>
      </c>
      <c r="H400" s="138"/>
      <c r="I400" s="138"/>
      <c r="J400" s="142"/>
      <c r="K400" s="142"/>
      <c r="L400" s="141"/>
      <c r="M400" s="141"/>
      <c r="N400" s="141"/>
      <c r="O400" s="141"/>
      <c r="P400" s="141"/>
      <c r="Q400" s="141"/>
    </row>
    <row r="401" spans="2:17" ht="39" x14ac:dyDescent="0.25">
      <c r="B401" s="137">
        <v>399</v>
      </c>
      <c r="C401" s="135" t="s">
        <v>321</v>
      </c>
      <c r="D401" s="138" t="s">
        <v>3721</v>
      </c>
      <c r="E401" s="139">
        <v>45424</v>
      </c>
      <c r="F401" s="140">
        <v>0.81944444444444442</v>
      </c>
      <c r="G401" s="138" t="s">
        <v>4255</v>
      </c>
      <c r="H401" s="138" t="s">
        <v>3902</v>
      </c>
      <c r="I401" s="138" t="s">
        <v>4256</v>
      </c>
      <c r="J401" s="142">
        <v>1000</v>
      </c>
      <c r="K401" s="142">
        <v>4000</v>
      </c>
      <c r="L401" s="141" t="s">
        <v>20</v>
      </c>
      <c r="M401" s="141" t="s">
        <v>20</v>
      </c>
      <c r="N401" s="141" t="s">
        <v>20</v>
      </c>
      <c r="O401" s="141" t="s">
        <v>20</v>
      </c>
      <c r="P401" s="141" t="s">
        <v>20</v>
      </c>
      <c r="Q401" s="141" t="s">
        <v>20</v>
      </c>
    </row>
    <row r="402" spans="2:17" ht="39" x14ac:dyDescent="0.25">
      <c r="B402" s="137">
        <v>400</v>
      </c>
      <c r="C402" s="135" t="s">
        <v>321</v>
      </c>
      <c r="D402" s="138" t="s">
        <v>3721</v>
      </c>
      <c r="E402" s="139">
        <v>45429</v>
      </c>
      <c r="F402" s="140">
        <v>0.62916666666666665</v>
      </c>
      <c r="G402" s="138" t="s">
        <v>4257</v>
      </c>
      <c r="H402" s="138" t="s">
        <v>3902</v>
      </c>
      <c r="I402" s="138" t="s">
        <v>4258</v>
      </c>
      <c r="J402" s="142">
        <v>100000</v>
      </c>
      <c r="K402" s="142">
        <v>400000</v>
      </c>
      <c r="L402" s="141" t="s">
        <v>20</v>
      </c>
      <c r="M402" s="141" t="s">
        <v>20</v>
      </c>
      <c r="N402" s="141" t="s">
        <v>20</v>
      </c>
      <c r="O402" s="141" t="s">
        <v>20</v>
      </c>
      <c r="P402" s="141" t="s">
        <v>20</v>
      </c>
      <c r="Q402" s="141" t="s">
        <v>20</v>
      </c>
    </row>
    <row r="403" spans="2:17" ht="58.5" x14ac:dyDescent="0.25">
      <c r="B403" s="137">
        <v>401</v>
      </c>
      <c r="C403" s="135" t="s">
        <v>321</v>
      </c>
      <c r="D403" s="138" t="s">
        <v>3721</v>
      </c>
      <c r="E403" s="139">
        <v>45431</v>
      </c>
      <c r="F403" s="140">
        <v>0.55000000000000004</v>
      </c>
      <c r="G403" s="138" t="s">
        <v>4259</v>
      </c>
      <c r="H403" s="138" t="s">
        <v>3656</v>
      </c>
      <c r="I403" s="138" t="s">
        <v>3662</v>
      </c>
      <c r="J403" s="142">
        <v>1000</v>
      </c>
      <c r="K403" s="142">
        <v>9000</v>
      </c>
      <c r="L403" s="141" t="s">
        <v>20</v>
      </c>
      <c r="M403" s="141" t="s">
        <v>20</v>
      </c>
      <c r="N403" s="141" t="s">
        <v>20</v>
      </c>
      <c r="O403" s="141" t="s">
        <v>20</v>
      </c>
      <c r="P403" s="141" t="s">
        <v>20</v>
      </c>
      <c r="Q403" s="141" t="s">
        <v>20</v>
      </c>
    </row>
    <row r="404" spans="2:17" ht="58.5" x14ac:dyDescent="0.25">
      <c r="B404" s="137">
        <v>402</v>
      </c>
      <c r="C404" s="135" t="s">
        <v>321</v>
      </c>
      <c r="D404" s="138" t="s">
        <v>3721</v>
      </c>
      <c r="E404" s="139">
        <v>45433</v>
      </c>
      <c r="F404" s="140">
        <v>0.67500000000000004</v>
      </c>
      <c r="G404" s="138" t="s">
        <v>4260</v>
      </c>
      <c r="H404" s="138" t="s">
        <v>4261</v>
      </c>
      <c r="I404" s="138" t="s">
        <v>4228</v>
      </c>
      <c r="J404" s="142">
        <v>5000</v>
      </c>
      <c r="K404" s="142">
        <v>1995000</v>
      </c>
      <c r="L404" s="141" t="s">
        <v>20</v>
      </c>
      <c r="M404" s="141" t="s">
        <v>20</v>
      </c>
      <c r="N404" s="141" t="s">
        <v>20</v>
      </c>
      <c r="O404" s="141" t="s">
        <v>20</v>
      </c>
      <c r="P404" s="141" t="s">
        <v>20</v>
      </c>
      <c r="Q404" s="141" t="s">
        <v>20</v>
      </c>
    </row>
    <row r="405" spans="2:17" ht="58.5" x14ac:dyDescent="0.25">
      <c r="B405" s="137">
        <v>403</v>
      </c>
      <c r="C405" s="135" t="s">
        <v>321</v>
      </c>
      <c r="D405" s="138" t="s">
        <v>3721</v>
      </c>
      <c r="E405" s="139">
        <v>45439</v>
      </c>
      <c r="F405" s="140">
        <v>0.72013888888888888</v>
      </c>
      <c r="G405" s="138" t="s">
        <v>4262</v>
      </c>
      <c r="H405" s="138" t="s">
        <v>3656</v>
      </c>
      <c r="I405" s="138" t="s">
        <v>4263</v>
      </c>
      <c r="J405" s="142">
        <v>800000</v>
      </c>
      <c r="K405" s="142">
        <v>9200000</v>
      </c>
      <c r="L405" s="141" t="s">
        <v>20</v>
      </c>
      <c r="M405" s="141" t="s">
        <v>20</v>
      </c>
      <c r="N405" s="141" t="s">
        <v>20</v>
      </c>
      <c r="O405" s="141" t="s">
        <v>20</v>
      </c>
      <c r="P405" s="141" t="s">
        <v>20</v>
      </c>
      <c r="Q405" s="141" t="s">
        <v>20</v>
      </c>
    </row>
    <row r="406" spans="2:17" ht="58.5" x14ac:dyDescent="0.25">
      <c r="B406" s="137">
        <v>404</v>
      </c>
      <c r="C406" s="135" t="s">
        <v>321</v>
      </c>
      <c r="D406" s="138" t="s">
        <v>3721</v>
      </c>
      <c r="E406" s="139">
        <v>45441</v>
      </c>
      <c r="F406" s="140">
        <v>0.42986111111111114</v>
      </c>
      <c r="G406" s="138" t="s">
        <v>4264</v>
      </c>
      <c r="H406" s="138" t="s">
        <v>3656</v>
      </c>
      <c r="I406" s="138" t="s">
        <v>4228</v>
      </c>
      <c r="J406" s="142"/>
      <c r="K406" s="142">
        <v>10000</v>
      </c>
      <c r="L406" s="141" t="s">
        <v>20</v>
      </c>
      <c r="M406" s="141" t="s">
        <v>20</v>
      </c>
      <c r="N406" s="141" t="s">
        <v>20</v>
      </c>
      <c r="O406" s="141" t="s">
        <v>20</v>
      </c>
      <c r="P406" s="141" t="s">
        <v>20</v>
      </c>
      <c r="Q406" s="141" t="s">
        <v>20</v>
      </c>
    </row>
    <row r="407" spans="2:17" ht="39" x14ac:dyDescent="0.25">
      <c r="B407" s="137">
        <v>405</v>
      </c>
      <c r="C407" s="135" t="s">
        <v>321</v>
      </c>
      <c r="D407" s="138" t="s">
        <v>317</v>
      </c>
      <c r="E407" s="139">
        <v>45047</v>
      </c>
      <c r="F407" s="140">
        <v>0.94513888888888886</v>
      </c>
      <c r="G407" s="138" t="s">
        <v>460</v>
      </c>
      <c r="H407" s="138" t="s">
        <v>461</v>
      </c>
      <c r="I407" s="138" t="s">
        <v>462</v>
      </c>
      <c r="J407" s="136"/>
      <c r="K407" s="142">
        <v>200000</v>
      </c>
      <c r="L407" s="137" t="s">
        <v>20</v>
      </c>
      <c r="M407" s="137" t="s">
        <v>20</v>
      </c>
      <c r="N407" s="137" t="s">
        <v>20</v>
      </c>
      <c r="O407" s="137" t="s">
        <v>20</v>
      </c>
      <c r="P407" s="137" t="s">
        <v>20</v>
      </c>
      <c r="Q407" s="137" t="s">
        <v>20</v>
      </c>
    </row>
    <row r="408" spans="2:17" ht="29.25" customHeight="1" x14ac:dyDescent="0.25">
      <c r="B408" s="137">
        <v>406</v>
      </c>
      <c r="C408" s="135" t="s">
        <v>321</v>
      </c>
      <c r="D408" s="138" t="s">
        <v>317</v>
      </c>
      <c r="E408" s="139">
        <v>45415</v>
      </c>
      <c r="F408" s="140">
        <v>0.15138888888888888</v>
      </c>
      <c r="G408" s="138" t="s">
        <v>463</v>
      </c>
      <c r="H408" s="138"/>
      <c r="I408" s="138" t="s">
        <v>4265</v>
      </c>
      <c r="J408" s="142"/>
      <c r="K408" s="142"/>
      <c r="L408" s="137" t="s">
        <v>20</v>
      </c>
      <c r="M408" s="137" t="s">
        <v>20</v>
      </c>
      <c r="N408" s="137" t="s">
        <v>20</v>
      </c>
      <c r="O408" s="137" t="s">
        <v>20</v>
      </c>
      <c r="P408" s="137" t="s">
        <v>20</v>
      </c>
      <c r="Q408" s="137" t="s">
        <v>20</v>
      </c>
    </row>
    <row r="409" spans="2:17" ht="39" x14ac:dyDescent="0.25">
      <c r="B409" s="137">
        <v>407</v>
      </c>
      <c r="C409" s="135" t="s">
        <v>321</v>
      </c>
      <c r="D409" s="138" t="s">
        <v>317</v>
      </c>
      <c r="E409" s="139">
        <v>45416</v>
      </c>
      <c r="F409" s="140">
        <v>0.41319444444444442</v>
      </c>
      <c r="G409" s="138" t="s">
        <v>464</v>
      </c>
      <c r="H409" s="138" t="s">
        <v>352</v>
      </c>
      <c r="I409" s="138" t="s">
        <v>4266</v>
      </c>
      <c r="J409" s="142">
        <v>2000</v>
      </c>
      <c r="K409" s="142">
        <v>198000</v>
      </c>
      <c r="L409" s="137" t="s">
        <v>20</v>
      </c>
      <c r="M409" s="137" t="s">
        <v>20</v>
      </c>
      <c r="N409" s="137" t="s">
        <v>20</v>
      </c>
      <c r="O409" s="137" t="s">
        <v>20</v>
      </c>
      <c r="P409" s="137" t="s">
        <v>20</v>
      </c>
      <c r="Q409" s="137" t="s">
        <v>20</v>
      </c>
    </row>
    <row r="410" spans="2:17" ht="21" x14ac:dyDescent="0.25">
      <c r="B410" s="137">
        <v>408</v>
      </c>
      <c r="C410" s="135" t="s">
        <v>321</v>
      </c>
      <c r="D410" s="138" t="s">
        <v>317</v>
      </c>
      <c r="E410" s="139">
        <v>45417</v>
      </c>
      <c r="F410" s="140">
        <v>0.61250000000000004</v>
      </c>
      <c r="G410" s="138" t="s">
        <v>465</v>
      </c>
      <c r="H410" s="138" t="s">
        <v>406</v>
      </c>
      <c r="I410" s="138" t="s">
        <v>380</v>
      </c>
      <c r="J410" s="142">
        <v>80000</v>
      </c>
      <c r="K410" s="142">
        <v>120000</v>
      </c>
      <c r="L410" s="137" t="s">
        <v>20</v>
      </c>
      <c r="M410" s="137" t="s">
        <v>20</v>
      </c>
      <c r="N410" s="137" t="s">
        <v>20</v>
      </c>
      <c r="O410" s="137" t="s">
        <v>20</v>
      </c>
      <c r="P410" s="137" t="s">
        <v>20</v>
      </c>
      <c r="Q410" s="137" t="s">
        <v>20</v>
      </c>
    </row>
    <row r="411" spans="2:17" ht="58.5" x14ac:dyDescent="0.25">
      <c r="B411" s="137">
        <v>409</v>
      </c>
      <c r="C411" s="135" t="s">
        <v>321</v>
      </c>
      <c r="D411" s="138" t="s">
        <v>317</v>
      </c>
      <c r="E411" s="139">
        <v>45433</v>
      </c>
      <c r="F411" s="140">
        <v>0.59375</v>
      </c>
      <c r="G411" s="138" t="s">
        <v>466</v>
      </c>
      <c r="H411" s="138" t="s">
        <v>467</v>
      </c>
      <c r="I411" s="138" t="s">
        <v>4267</v>
      </c>
      <c r="J411" s="136"/>
      <c r="K411" s="142">
        <v>500000</v>
      </c>
      <c r="L411" s="137" t="s">
        <v>20</v>
      </c>
      <c r="M411" s="137" t="s">
        <v>20</v>
      </c>
      <c r="N411" s="137" t="s">
        <v>20</v>
      </c>
      <c r="O411" s="137" t="s">
        <v>20</v>
      </c>
      <c r="P411" s="137" t="s">
        <v>20</v>
      </c>
      <c r="Q411" s="137" t="s">
        <v>20</v>
      </c>
    </row>
    <row r="412" spans="2:17" ht="58.5" x14ac:dyDescent="0.25">
      <c r="B412" s="137">
        <v>410</v>
      </c>
      <c r="C412" s="135" t="s">
        <v>321</v>
      </c>
      <c r="D412" s="138" t="s">
        <v>317</v>
      </c>
      <c r="E412" s="139">
        <v>45433</v>
      </c>
      <c r="F412" s="140">
        <v>0.81111111111111112</v>
      </c>
      <c r="G412" s="138" t="s">
        <v>468</v>
      </c>
      <c r="H412" s="138" t="s">
        <v>352</v>
      </c>
      <c r="I412" s="138" t="s">
        <v>469</v>
      </c>
      <c r="J412" s="136"/>
      <c r="K412" s="142">
        <v>300000</v>
      </c>
      <c r="L412" s="137" t="s">
        <v>20</v>
      </c>
      <c r="M412" s="137" t="s">
        <v>20</v>
      </c>
      <c r="N412" s="137" t="s">
        <v>20</v>
      </c>
      <c r="O412" s="137" t="s">
        <v>20</v>
      </c>
      <c r="P412" s="137" t="s">
        <v>20</v>
      </c>
      <c r="Q412" s="137" t="s">
        <v>20</v>
      </c>
    </row>
    <row r="413" spans="2:17" ht="39" x14ac:dyDescent="0.25">
      <c r="B413" s="137">
        <v>411</v>
      </c>
      <c r="C413" s="135" t="s">
        <v>321</v>
      </c>
      <c r="D413" s="138" t="s">
        <v>317</v>
      </c>
      <c r="E413" s="139">
        <v>45435</v>
      </c>
      <c r="F413" s="140">
        <v>0.94930555555555551</v>
      </c>
      <c r="G413" s="138" t="s">
        <v>470</v>
      </c>
      <c r="H413" s="138" t="s">
        <v>357</v>
      </c>
      <c r="I413" s="138" t="s">
        <v>471</v>
      </c>
      <c r="J413" s="142">
        <v>30000</v>
      </c>
      <c r="K413" s="142">
        <v>170000</v>
      </c>
      <c r="L413" s="137" t="s">
        <v>20</v>
      </c>
      <c r="M413" s="137" t="s">
        <v>20</v>
      </c>
      <c r="N413" s="137" t="s">
        <v>20</v>
      </c>
      <c r="O413" s="137" t="s">
        <v>20</v>
      </c>
      <c r="P413" s="137" t="s">
        <v>20</v>
      </c>
      <c r="Q413" s="137" t="s">
        <v>20</v>
      </c>
    </row>
    <row r="414" spans="2:17" ht="21" x14ac:dyDescent="0.25">
      <c r="B414" s="137">
        <v>412</v>
      </c>
      <c r="C414" s="135" t="s">
        <v>321</v>
      </c>
      <c r="D414" s="138" t="s">
        <v>317</v>
      </c>
      <c r="E414" s="139">
        <v>45438</v>
      </c>
      <c r="F414" s="140">
        <v>6.5277777777777782E-2</v>
      </c>
      <c r="G414" s="138" t="s">
        <v>472</v>
      </c>
      <c r="H414" s="138" t="s">
        <v>385</v>
      </c>
      <c r="I414" s="138" t="s">
        <v>473</v>
      </c>
      <c r="J414" s="142">
        <v>1000</v>
      </c>
      <c r="K414" s="142">
        <v>50000</v>
      </c>
      <c r="L414" s="137" t="s">
        <v>20</v>
      </c>
      <c r="M414" s="137" t="s">
        <v>20</v>
      </c>
      <c r="N414" s="137" t="s">
        <v>20</v>
      </c>
      <c r="O414" s="137" t="s">
        <v>20</v>
      </c>
      <c r="P414" s="137" t="s">
        <v>20</v>
      </c>
      <c r="Q414" s="137" t="s">
        <v>20</v>
      </c>
    </row>
    <row r="415" spans="2:17" ht="21" x14ac:dyDescent="0.25">
      <c r="B415" s="137">
        <v>413</v>
      </c>
      <c r="C415" s="135" t="s">
        <v>321</v>
      </c>
      <c r="D415" s="138" t="s">
        <v>317</v>
      </c>
      <c r="E415" s="139">
        <v>45442</v>
      </c>
      <c r="F415" s="140">
        <v>0.78819444444444442</v>
      </c>
      <c r="G415" s="138" t="s">
        <v>474</v>
      </c>
      <c r="H415" s="138" t="s">
        <v>385</v>
      </c>
      <c r="I415" s="138" t="s">
        <v>475</v>
      </c>
      <c r="J415" s="142">
        <v>10000</v>
      </c>
      <c r="K415" s="142">
        <v>490000</v>
      </c>
      <c r="L415" s="137" t="s">
        <v>20</v>
      </c>
      <c r="M415" s="137" t="s">
        <v>20</v>
      </c>
      <c r="N415" s="137" t="s">
        <v>20</v>
      </c>
      <c r="O415" s="137" t="s">
        <v>20</v>
      </c>
      <c r="P415" s="137" t="s">
        <v>20</v>
      </c>
      <c r="Q415" s="137" t="s">
        <v>20</v>
      </c>
    </row>
    <row r="416" spans="2:17" ht="32.25" customHeight="1" x14ac:dyDescent="0.25">
      <c r="B416" s="137">
        <v>414</v>
      </c>
      <c r="C416" s="135" t="s">
        <v>321</v>
      </c>
      <c r="D416" s="138" t="s">
        <v>306</v>
      </c>
      <c r="E416" s="139">
        <v>45413</v>
      </c>
      <c r="F416" s="140">
        <v>0.54236111111111107</v>
      </c>
      <c r="G416" s="138" t="s">
        <v>4040</v>
      </c>
      <c r="H416" s="141" t="s">
        <v>3726</v>
      </c>
      <c r="I416" s="138" t="s">
        <v>4268</v>
      </c>
      <c r="J416" s="136"/>
      <c r="K416" s="136"/>
      <c r="L416" s="137" t="s">
        <v>20</v>
      </c>
      <c r="M416" s="137" t="s">
        <v>20</v>
      </c>
      <c r="N416" s="137" t="s">
        <v>20</v>
      </c>
      <c r="O416" s="137" t="s">
        <v>20</v>
      </c>
      <c r="P416" s="137" t="s">
        <v>20</v>
      </c>
      <c r="Q416" s="137" t="s">
        <v>20</v>
      </c>
    </row>
    <row r="417" spans="2:17" ht="32.25" customHeight="1" x14ac:dyDescent="0.25">
      <c r="B417" s="137">
        <v>415</v>
      </c>
      <c r="C417" s="135" t="s">
        <v>321</v>
      </c>
      <c r="D417" s="138" t="s">
        <v>306</v>
      </c>
      <c r="E417" s="139">
        <v>45415</v>
      </c>
      <c r="F417" s="140">
        <v>0.53611111111111109</v>
      </c>
      <c r="G417" s="138" t="s">
        <v>4269</v>
      </c>
      <c r="H417" s="141" t="s">
        <v>3726</v>
      </c>
      <c r="I417" s="138" t="s">
        <v>4270</v>
      </c>
      <c r="J417" s="136"/>
      <c r="K417" s="136"/>
      <c r="L417" s="137" t="s">
        <v>20</v>
      </c>
      <c r="M417" s="137" t="s">
        <v>20</v>
      </c>
      <c r="N417" s="137" t="s">
        <v>20</v>
      </c>
      <c r="O417" s="137" t="s">
        <v>20</v>
      </c>
      <c r="P417" s="137" t="s">
        <v>20</v>
      </c>
      <c r="Q417" s="137" t="s">
        <v>20</v>
      </c>
    </row>
    <row r="418" spans="2:17" ht="32.25" customHeight="1" x14ac:dyDescent="0.25">
      <c r="B418" s="137">
        <v>416</v>
      </c>
      <c r="C418" s="135" t="s">
        <v>321</v>
      </c>
      <c r="D418" s="138" t="s">
        <v>306</v>
      </c>
      <c r="E418" s="139">
        <v>45416</v>
      </c>
      <c r="F418" s="140">
        <v>0.59722222222222221</v>
      </c>
      <c r="G418" s="138" t="s">
        <v>4271</v>
      </c>
      <c r="H418" s="141" t="s">
        <v>3726</v>
      </c>
      <c r="I418" s="138" t="s">
        <v>4272</v>
      </c>
      <c r="J418" s="136"/>
      <c r="K418" s="136"/>
      <c r="L418" s="137" t="s">
        <v>20</v>
      </c>
      <c r="M418" s="137" t="s">
        <v>20</v>
      </c>
      <c r="N418" s="137" t="s">
        <v>20</v>
      </c>
      <c r="O418" s="137" t="s">
        <v>20</v>
      </c>
      <c r="P418" s="137" t="s">
        <v>20</v>
      </c>
      <c r="Q418" s="137" t="s">
        <v>20</v>
      </c>
    </row>
    <row r="419" spans="2:17" ht="58.5" x14ac:dyDescent="0.25">
      <c r="B419" s="137">
        <v>417</v>
      </c>
      <c r="C419" s="135" t="s">
        <v>321</v>
      </c>
      <c r="D419" s="138" t="s">
        <v>306</v>
      </c>
      <c r="E419" s="139">
        <v>45418</v>
      </c>
      <c r="F419" s="140">
        <v>0.33680555555555558</v>
      </c>
      <c r="G419" s="138" t="s">
        <v>4273</v>
      </c>
      <c r="H419" s="141" t="s">
        <v>4029</v>
      </c>
      <c r="I419" s="138" t="s">
        <v>4274</v>
      </c>
      <c r="J419" s="136"/>
      <c r="K419" s="136"/>
      <c r="L419" s="137" t="s">
        <v>20</v>
      </c>
      <c r="M419" s="137" t="s">
        <v>20</v>
      </c>
      <c r="N419" s="137" t="s">
        <v>20</v>
      </c>
      <c r="O419" s="137" t="s">
        <v>20</v>
      </c>
      <c r="P419" s="137" t="s">
        <v>20</v>
      </c>
      <c r="Q419" s="137" t="s">
        <v>20</v>
      </c>
    </row>
    <row r="420" spans="2:17" ht="58.5" x14ac:dyDescent="0.25">
      <c r="B420" s="137">
        <v>418</v>
      </c>
      <c r="C420" s="135" t="s">
        <v>321</v>
      </c>
      <c r="D420" s="138" t="s">
        <v>306</v>
      </c>
      <c r="E420" s="139">
        <v>45418</v>
      </c>
      <c r="F420" s="140">
        <v>0.69374999999999998</v>
      </c>
      <c r="G420" s="138" t="s">
        <v>4271</v>
      </c>
      <c r="H420" s="141" t="s">
        <v>4029</v>
      </c>
      <c r="I420" s="138" t="s">
        <v>4275</v>
      </c>
      <c r="J420" s="136"/>
      <c r="K420" s="136"/>
      <c r="L420" s="137" t="s">
        <v>20</v>
      </c>
      <c r="M420" s="137" t="s">
        <v>20</v>
      </c>
      <c r="N420" s="137" t="s">
        <v>20</v>
      </c>
      <c r="O420" s="137" t="s">
        <v>20</v>
      </c>
      <c r="P420" s="137" t="s">
        <v>20</v>
      </c>
      <c r="Q420" s="137" t="s">
        <v>20</v>
      </c>
    </row>
    <row r="421" spans="2:17" ht="48" customHeight="1" x14ac:dyDescent="0.25">
      <c r="B421" s="137">
        <v>419</v>
      </c>
      <c r="C421" s="135" t="s">
        <v>321</v>
      </c>
      <c r="D421" s="138" t="s">
        <v>306</v>
      </c>
      <c r="E421" s="139">
        <v>45418</v>
      </c>
      <c r="F421" s="140">
        <v>0.79861111111111116</v>
      </c>
      <c r="G421" s="138" t="s">
        <v>4271</v>
      </c>
      <c r="H421" s="141" t="s">
        <v>4029</v>
      </c>
      <c r="I421" s="138" t="s">
        <v>4276</v>
      </c>
      <c r="J421" s="136"/>
      <c r="K421" s="136"/>
      <c r="L421" s="137" t="s">
        <v>20</v>
      </c>
      <c r="M421" s="137" t="s">
        <v>20</v>
      </c>
      <c r="N421" s="137" t="s">
        <v>20</v>
      </c>
      <c r="O421" s="137" t="s">
        <v>20</v>
      </c>
      <c r="P421" s="137" t="s">
        <v>20</v>
      </c>
      <c r="Q421" s="137" t="s">
        <v>20</v>
      </c>
    </row>
    <row r="422" spans="2:17" ht="48" customHeight="1" x14ac:dyDescent="0.25">
      <c r="B422" s="137">
        <v>420</v>
      </c>
      <c r="C422" s="135" t="s">
        <v>321</v>
      </c>
      <c r="D422" s="138" t="s">
        <v>306</v>
      </c>
      <c r="E422" s="139">
        <v>45421</v>
      </c>
      <c r="F422" s="140">
        <v>0.33263888888888887</v>
      </c>
      <c r="G422" s="138" t="s">
        <v>4277</v>
      </c>
      <c r="H422" s="141" t="s">
        <v>4029</v>
      </c>
      <c r="I422" s="138" t="s">
        <v>4278</v>
      </c>
      <c r="J422" s="136"/>
      <c r="K422" s="136"/>
      <c r="L422" s="137" t="s">
        <v>20</v>
      </c>
      <c r="M422" s="137" t="s">
        <v>20</v>
      </c>
      <c r="N422" s="137" t="s">
        <v>20</v>
      </c>
      <c r="O422" s="137" t="s">
        <v>20</v>
      </c>
      <c r="P422" s="137" t="s">
        <v>20</v>
      </c>
      <c r="Q422" s="137" t="s">
        <v>20</v>
      </c>
    </row>
    <row r="423" spans="2:17" ht="48" customHeight="1" x14ac:dyDescent="0.25">
      <c r="B423" s="137">
        <v>421</v>
      </c>
      <c r="C423" s="135" t="s">
        <v>321</v>
      </c>
      <c r="D423" s="138" t="s">
        <v>306</v>
      </c>
      <c r="E423" s="139">
        <v>45424</v>
      </c>
      <c r="F423" s="140">
        <v>5.2083333333333336E-2</v>
      </c>
      <c r="G423" s="138" t="s">
        <v>4279</v>
      </c>
      <c r="H423" s="141" t="s">
        <v>4280</v>
      </c>
      <c r="I423" s="138" t="s">
        <v>4281</v>
      </c>
      <c r="J423" s="142">
        <v>200000</v>
      </c>
      <c r="K423" s="142">
        <v>600000</v>
      </c>
      <c r="L423" s="137" t="s">
        <v>20</v>
      </c>
      <c r="M423" s="137" t="s">
        <v>20</v>
      </c>
      <c r="N423" s="137" t="s">
        <v>20</v>
      </c>
      <c r="O423" s="137" t="s">
        <v>20</v>
      </c>
      <c r="P423" s="137" t="s">
        <v>20</v>
      </c>
      <c r="Q423" s="137" t="s">
        <v>20</v>
      </c>
    </row>
    <row r="424" spans="2:17" ht="48" customHeight="1" x14ac:dyDescent="0.25">
      <c r="B424" s="137">
        <v>422</v>
      </c>
      <c r="C424" s="135" t="s">
        <v>321</v>
      </c>
      <c r="D424" s="138" t="s">
        <v>306</v>
      </c>
      <c r="E424" s="139">
        <v>45426</v>
      </c>
      <c r="F424" s="140">
        <v>0.80208333333333337</v>
      </c>
      <c r="G424" s="138" t="s">
        <v>4282</v>
      </c>
      <c r="H424" s="141" t="s">
        <v>4029</v>
      </c>
      <c r="I424" s="138" t="s">
        <v>4283</v>
      </c>
      <c r="J424" s="136"/>
      <c r="K424" s="136"/>
      <c r="L424" s="137" t="s">
        <v>20</v>
      </c>
      <c r="M424" s="137" t="s">
        <v>20</v>
      </c>
      <c r="N424" s="137" t="s">
        <v>20</v>
      </c>
      <c r="O424" s="137" t="s">
        <v>20</v>
      </c>
      <c r="P424" s="137" t="s">
        <v>20</v>
      </c>
      <c r="Q424" s="137" t="s">
        <v>20</v>
      </c>
    </row>
    <row r="425" spans="2:17" ht="47.25" customHeight="1" x14ac:dyDescent="0.25">
      <c r="B425" s="137">
        <v>423</v>
      </c>
      <c r="C425" s="135" t="s">
        <v>321</v>
      </c>
      <c r="D425" s="138" t="s">
        <v>306</v>
      </c>
      <c r="E425" s="139">
        <v>45432</v>
      </c>
      <c r="F425" s="140">
        <v>4.8611111111111112E-3</v>
      </c>
      <c r="G425" s="138" t="s">
        <v>4284</v>
      </c>
      <c r="H425" s="141" t="s">
        <v>4285</v>
      </c>
      <c r="I425" s="138" t="s">
        <v>4286</v>
      </c>
      <c r="J425" s="142">
        <v>1000</v>
      </c>
      <c r="K425" s="142">
        <v>19000</v>
      </c>
      <c r="L425" s="137" t="s">
        <v>20</v>
      </c>
      <c r="M425" s="137" t="s">
        <v>20</v>
      </c>
      <c r="N425" s="137" t="s">
        <v>20</v>
      </c>
      <c r="O425" s="137" t="s">
        <v>20</v>
      </c>
      <c r="P425" s="137" t="s">
        <v>20</v>
      </c>
      <c r="Q425" s="137" t="s">
        <v>20</v>
      </c>
    </row>
    <row r="426" spans="2:17" ht="47.25" customHeight="1" x14ac:dyDescent="0.25">
      <c r="B426" s="137">
        <v>424</v>
      </c>
      <c r="C426" s="135" t="s">
        <v>321</v>
      </c>
      <c r="D426" s="138" t="s">
        <v>306</v>
      </c>
      <c r="E426" s="139">
        <v>45432</v>
      </c>
      <c r="F426" s="140">
        <v>0.6381944444444444</v>
      </c>
      <c r="G426" s="138" t="s">
        <v>4287</v>
      </c>
      <c r="H426" s="141" t="s">
        <v>4280</v>
      </c>
      <c r="I426" s="138" t="s">
        <v>4288</v>
      </c>
      <c r="J426" s="136"/>
      <c r="K426" s="142">
        <v>1000000</v>
      </c>
      <c r="L426" s="137" t="s">
        <v>20</v>
      </c>
      <c r="M426" s="137" t="s">
        <v>20</v>
      </c>
      <c r="N426" s="137" t="s">
        <v>20</v>
      </c>
      <c r="O426" s="137" t="s">
        <v>20</v>
      </c>
      <c r="P426" s="137" t="s">
        <v>20</v>
      </c>
      <c r="Q426" s="137" t="s">
        <v>20</v>
      </c>
    </row>
    <row r="427" spans="2:17" ht="58.5" x14ac:dyDescent="0.25">
      <c r="B427" s="137">
        <v>425</v>
      </c>
      <c r="C427" s="135" t="s">
        <v>321</v>
      </c>
      <c r="D427" s="138" t="s">
        <v>580</v>
      </c>
      <c r="E427" s="139">
        <v>45414</v>
      </c>
      <c r="F427" s="140">
        <v>0.75138888888888888</v>
      </c>
      <c r="G427" s="138" t="s">
        <v>4289</v>
      </c>
      <c r="H427" s="138" t="s">
        <v>3795</v>
      </c>
      <c r="I427" s="138" t="s">
        <v>3796</v>
      </c>
      <c r="J427" s="142" t="s">
        <v>583</v>
      </c>
      <c r="K427" s="142">
        <v>5000000</v>
      </c>
      <c r="L427" s="137" t="s">
        <v>20</v>
      </c>
      <c r="M427" s="137" t="s">
        <v>20</v>
      </c>
      <c r="N427" s="137" t="s">
        <v>20</v>
      </c>
      <c r="O427" s="137" t="s">
        <v>20</v>
      </c>
      <c r="P427" s="137" t="s">
        <v>20</v>
      </c>
      <c r="Q427" s="137" t="s">
        <v>20</v>
      </c>
    </row>
    <row r="428" spans="2:17" ht="58.5" x14ac:dyDescent="0.25">
      <c r="B428" s="137">
        <v>426</v>
      </c>
      <c r="C428" s="135" t="s">
        <v>321</v>
      </c>
      <c r="D428" s="138" t="s">
        <v>580</v>
      </c>
      <c r="E428" s="139">
        <v>45417</v>
      </c>
      <c r="F428" s="140">
        <v>0.47916666666666669</v>
      </c>
      <c r="G428" s="138" t="s">
        <v>4290</v>
      </c>
      <c r="H428" s="138" t="s">
        <v>3795</v>
      </c>
      <c r="I428" s="138" t="s">
        <v>3796</v>
      </c>
      <c r="J428" s="142" t="s">
        <v>583</v>
      </c>
      <c r="K428" s="142"/>
      <c r="L428" s="137" t="s">
        <v>20</v>
      </c>
      <c r="M428" s="137" t="s">
        <v>20</v>
      </c>
      <c r="N428" s="137" t="s">
        <v>20</v>
      </c>
      <c r="O428" s="137" t="s">
        <v>20</v>
      </c>
      <c r="P428" s="137" t="s">
        <v>20</v>
      </c>
      <c r="Q428" s="137" t="s">
        <v>20</v>
      </c>
    </row>
    <row r="429" spans="2:17" ht="58.5" x14ac:dyDescent="0.25">
      <c r="B429" s="137">
        <v>427</v>
      </c>
      <c r="C429" s="135" t="s">
        <v>321</v>
      </c>
      <c r="D429" s="138" t="s">
        <v>580</v>
      </c>
      <c r="E429" s="139">
        <v>45419</v>
      </c>
      <c r="F429" s="140">
        <v>0.42916666666666664</v>
      </c>
      <c r="G429" s="138" t="s">
        <v>4291</v>
      </c>
      <c r="H429" s="138" t="s">
        <v>4292</v>
      </c>
      <c r="I429" s="138" t="s">
        <v>3796</v>
      </c>
      <c r="J429" s="142"/>
      <c r="K429" s="142"/>
      <c r="L429" s="137" t="s">
        <v>20</v>
      </c>
      <c r="M429" s="137" t="s">
        <v>20</v>
      </c>
      <c r="N429" s="137" t="s">
        <v>20</v>
      </c>
      <c r="O429" s="137" t="s">
        <v>20</v>
      </c>
      <c r="P429" s="137" t="s">
        <v>20</v>
      </c>
      <c r="Q429" s="137" t="s">
        <v>20</v>
      </c>
    </row>
    <row r="430" spans="2:17" ht="39" x14ac:dyDescent="0.25">
      <c r="B430" s="137">
        <v>428</v>
      </c>
      <c r="C430" s="135" t="s">
        <v>321</v>
      </c>
      <c r="D430" s="138" t="s">
        <v>580</v>
      </c>
      <c r="E430" s="139">
        <v>45422</v>
      </c>
      <c r="F430" s="140">
        <v>0.36805555555555558</v>
      </c>
      <c r="G430" s="138" t="s">
        <v>4293</v>
      </c>
      <c r="H430" s="138" t="s">
        <v>3795</v>
      </c>
      <c r="I430" s="138" t="s">
        <v>3796</v>
      </c>
      <c r="J430" s="142"/>
      <c r="K430" s="142"/>
      <c r="L430" s="137" t="s">
        <v>20</v>
      </c>
      <c r="M430" s="137" t="s">
        <v>20</v>
      </c>
      <c r="N430" s="137" t="s">
        <v>20</v>
      </c>
      <c r="O430" s="137" t="s">
        <v>20</v>
      </c>
      <c r="P430" s="137" t="s">
        <v>20</v>
      </c>
      <c r="Q430" s="137" t="s">
        <v>20</v>
      </c>
    </row>
    <row r="431" spans="2:17" ht="58.5" x14ac:dyDescent="0.25">
      <c r="B431" s="137">
        <v>429</v>
      </c>
      <c r="C431" s="135" t="s">
        <v>321</v>
      </c>
      <c r="D431" s="138" t="s">
        <v>580</v>
      </c>
      <c r="E431" s="139">
        <v>45427</v>
      </c>
      <c r="F431" s="140">
        <v>0.80902777777777779</v>
      </c>
      <c r="G431" s="138" t="s">
        <v>4294</v>
      </c>
      <c r="H431" s="138" t="s">
        <v>3795</v>
      </c>
      <c r="I431" s="138" t="s">
        <v>3796</v>
      </c>
      <c r="J431" s="142"/>
      <c r="K431" s="142"/>
      <c r="L431" s="137" t="s">
        <v>20</v>
      </c>
      <c r="M431" s="137" t="s">
        <v>20</v>
      </c>
      <c r="N431" s="137" t="s">
        <v>20</v>
      </c>
      <c r="O431" s="137" t="s">
        <v>20</v>
      </c>
      <c r="P431" s="137" t="s">
        <v>20</v>
      </c>
      <c r="Q431" s="137" t="s">
        <v>20</v>
      </c>
    </row>
    <row r="432" spans="2:17" ht="58.5" x14ac:dyDescent="0.25">
      <c r="B432" s="137">
        <v>430</v>
      </c>
      <c r="C432" s="135" t="s">
        <v>321</v>
      </c>
      <c r="D432" s="138" t="s">
        <v>580</v>
      </c>
      <c r="E432" s="139">
        <v>45428</v>
      </c>
      <c r="F432" s="140">
        <v>0.52361111111111114</v>
      </c>
      <c r="G432" s="138" t="s">
        <v>4295</v>
      </c>
      <c r="H432" s="138" t="s">
        <v>3795</v>
      </c>
      <c r="I432" s="138" t="s">
        <v>4296</v>
      </c>
      <c r="J432" s="142" t="s">
        <v>583</v>
      </c>
      <c r="K432" s="142"/>
      <c r="L432" s="137" t="s">
        <v>20</v>
      </c>
      <c r="M432" s="137" t="s">
        <v>20</v>
      </c>
      <c r="N432" s="137" t="s">
        <v>20</v>
      </c>
      <c r="O432" s="137" t="s">
        <v>20</v>
      </c>
      <c r="P432" s="137" t="s">
        <v>20</v>
      </c>
      <c r="Q432" s="137" t="s">
        <v>20</v>
      </c>
    </row>
    <row r="433" spans="2:17" ht="19.5" customHeight="1" x14ac:dyDescent="0.25">
      <c r="B433" s="137">
        <v>431</v>
      </c>
      <c r="C433" s="135" t="s">
        <v>321</v>
      </c>
      <c r="D433" s="138" t="s">
        <v>580</v>
      </c>
      <c r="E433" s="139">
        <v>45434</v>
      </c>
      <c r="F433" s="145">
        <v>0.46319444444444446</v>
      </c>
      <c r="G433" s="138" t="s">
        <v>4297</v>
      </c>
      <c r="H433" s="138" t="s">
        <v>4298</v>
      </c>
      <c r="I433" s="138" t="s">
        <v>3796</v>
      </c>
      <c r="J433" s="142" t="s">
        <v>583</v>
      </c>
      <c r="K433" s="142"/>
      <c r="L433" s="137" t="s">
        <v>20</v>
      </c>
      <c r="M433" s="137" t="s">
        <v>20</v>
      </c>
      <c r="N433" s="137" t="s">
        <v>20</v>
      </c>
      <c r="O433" s="137" t="s">
        <v>20</v>
      </c>
      <c r="P433" s="137" t="s">
        <v>20</v>
      </c>
      <c r="Q433" s="137" t="s">
        <v>20</v>
      </c>
    </row>
    <row r="434" spans="2:17" ht="17.25" customHeight="1" x14ac:dyDescent="0.25">
      <c r="B434" s="137">
        <v>432</v>
      </c>
      <c r="C434" s="135" t="s">
        <v>321</v>
      </c>
      <c r="D434" s="138"/>
      <c r="E434" s="139"/>
      <c r="F434" s="145"/>
      <c r="G434" s="138"/>
      <c r="H434" s="138"/>
      <c r="I434" s="138"/>
      <c r="J434" s="142"/>
      <c r="K434" s="142">
        <v>2000000</v>
      </c>
      <c r="L434" s="137"/>
      <c r="M434" s="137"/>
      <c r="N434" s="137"/>
      <c r="O434" s="137"/>
      <c r="P434" s="137"/>
      <c r="Q434" s="137"/>
    </row>
    <row r="435" spans="2:17" ht="78" x14ac:dyDescent="0.25">
      <c r="B435" s="137">
        <v>433</v>
      </c>
      <c r="C435" s="135" t="s">
        <v>321</v>
      </c>
      <c r="D435" s="138" t="s">
        <v>580</v>
      </c>
      <c r="E435" s="139">
        <v>45437</v>
      </c>
      <c r="F435" s="140">
        <v>0.47638888888888886</v>
      </c>
      <c r="G435" s="144" t="s">
        <v>4299</v>
      </c>
      <c r="H435" s="138" t="s">
        <v>4300</v>
      </c>
      <c r="I435" s="138" t="s">
        <v>3796</v>
      </c>
      <c r="J435" s="142" t="s">
        <v>583</v>
      </c>
      <c r="K435" s="142">
        <v>2000000</v>
      </c>
      <c r="L435" s="137" t="s">
        <v>20</v>
      </c>
      <c r="M435" s="137" t="s">
        <v>20</v>
      </c>
      <c r="N435" s="137" t="s">
        <v>20</v>
      </c>
      <c r="O435" s="137" t="s">
        <v>20</v>
      </c>
      <c r="P435" s="137" t="s">
        <v>20</v>
      </c>
      <c r="Q435" s="137" t="s">
        <v>20</v>
      </c>
    </row>
    <row r="436" spans="2:17" ht="58.5" x14ac:dyDescent="0.25">
      <c r="B436" s="137">
        <v>434</v>
      </c>
      <c r="C436" s="135" t="s">
        <v>321</v>
      </c>
      <c r="D436" s="138" t="s">
        <v>580</v>
      </c>
      <c r="E436" s="139">
        <v>45440</v>
      </c>
      <c r="F436" s="140">
        <v>0.82013888888888886</v>
      </c>
      <c r="G436" s="144" t="s">
        <v>4301</v>
      </c>
      <c r="H436" s="138" t="s">
        <v>3795</v>
      </c>
      <c r="I436" s="138" t="s">
        <v>3796</v>
      </c>
      <c r="J436" s="142" t="s">
        <v>583</v>
      </c>
      <c r="K436" s="142">
        <v>1000000</v>
      </c>
      <c r="L436" s="137" t="s">
        <v>20</v>
      </c>
      <c r="M436" s="137" t="s">
        <v>20</v>
      </c>
      <c r="N436" s="137" t="s">
        <v>20</v>
      </c>
      <c r="O436" s="137" t="s">
        <v>20</v>
      </c>
      <c r="P436" s="137" t="s">
        <v>20</v>
      </c>
      <c r="Q436" s="137" t="s">
        <v>20</v>
      </c>
    </row>
    <row r="437" spans="2:17" ht="21" x14ac:dyDescent="0.25">
      <c r="B437" s="137">
        <v>435</v>
      </c>
      <c r="C437" s="135" t="s">
        <v>321</v>
      </c>
      <c r="D437" s="138" t="s">
        <v>307</v>
      </c>
      <c r="E437" s="139">
        <v>45413</v>
      </c>
      <c r="F437" s="140">
        <v>0.52013888888888893</v>
      </c>
      <c r="G437" s="141" t="s">
        <v>3969</v>
      </c>
      <c r="H437" s="141" t="s">
        <v>403</v>
      </c>
      <c r="I437" s="138" t="s">
        <v>404</v>
      </c>
      <c r="J437" s="142">
        <v>20000</v>
      </c>
      <c r="K437" s="142">
        <v>40000</v>
      </c>
      <c r="L437" s="137" t="s">
        <v>20</v>
      </c>
      <c r="M437" s="137" t="s">
        <v>20</v>
      </c>
      <c r="N437" s="137" t="s">
        <v>20</v>
      </c>
      <c r="O437" s="137" t="s">
        <v>20</v>
      </c>
      <c r="P437" s="137" t="s">
        <v>20</v>
      </c>
      <c r="Q437" s="137" t="s">
        <v>20</v>
      </c>
    </row>
    <row r="438" spans="2:17" ht="21" x14ac:dyDescent="0.25">
      <c r="B438" s="137">
        <v>436</v>
      </c>
      <c r="C438" s="135" t="s">
        <v>321</v>
      </c>
      <c r="D438" s="138" t="s">
        <v>307</v>
      </c>
      <c r="E438" s="139">
        <v>45414</v>
      </c>
      <c r="F438" s="140">
        <v>0.80555555555555558</v>
      </c>
      <c r="G438" s="141" t="s">
        <v>4302</v>
      </c>
      <c r="H438" s="141" t="s">
        <v>309</v>
      </c>
      <c r="I438" s="138" t="s">
        <v>476</v>
      </c>
      <c r="J438" s="142">
        <v>10000</v>
      </c>
      <c r="K438" s="142">
        <v>100000</v>
      </c>
      <c r="L438" s="137" t="s">
        <v>20</v>
      </c>
      <c r="M438" s="137" t="s">
        <v>20</v>
      </c>
      <c r="N438" s="137" t="s">
        <v>20</v>
      </c>
      <c r="O438" s="137" t="s">
        <v>20</v>
      </c>
      <c r="P438" s="137" t="s">
        <v>20</v>
      </c>
      <c r="Q438" s="137" t="s">
        <v>20</v>
      </c>
    </row>
    <row r="439" spans="2:17" ht="21" x14ac:dyDescent="0.25">
      <c r="B439" s="137">
        <v>437</v>
      </c>
      <c r="C439" s="135" t="s">
        <v>321</v>
      </c>
      <c r="D439" s="138" t="s">
        <v>307</v>
      </c>
      <c r="E439" s="139">
        <v>45415</v>
      </c>
      <c r="F439" s="140">
        <v>0.58888888888888891</v>
      </c>
      <c r="G439" s="141" t="s">
        <v>4303</v>
      </c>
      <c r="H439" s="141" t="s">
        <v>403</v>
      </c>
      <c r="I439" s="138" t="s">
        <v>404</v>
      </c>
      <c r="J439" s="142" t="s">
        <v>341</v>
      </c>
      <c r="K439" s="142" t="s">
        <v>341</v>
      </c>
      <c r="L439" s="137" t="s">
        <v>20</v>
      </c>
      <c r="M439" s="137" t="s">
        <v>20</v>
      </c>
      <c r="N439" s="137" t="s">
        <v>20</v>
      </c>
      <c r="O439" s="137" t="s">
        <v>20</v>
      </c>
      <c r="P439" s="137" t="s">
        <v>20</v>
      </c>
      <c r="Q439" s="137" t="s">
        <v>20</v>
      </c>
    </row>
    <row r="440" spans="2:17" ht="21" x14ac:dyDescent="0.25">
      <c r="B440" s="137">
        <v>438</v>
      </c>
      <c r="C440" s="135" t="s">
        <v>321</v>
      </c>
      <c r="D440" s="138" t="s">
        <v>307</v>
      </c>
      <c r="E440" s="139">
        <v>45416</v>
      </c>
      <c r="F440" s="140">
        <v>0.72569444444444442</v>
      </c>
      <c r="G440" s="141" t="s">
        <v>4304</v>
      </c>
      <c r="H440" s="141" t="s">
        <v>403</v>
      </c>
      <c r="I440" s="138" t="s">
        <v>404</v>
      </c>
      <c r="J440" s="142">
        <v>5000</v>
      </c>
      <c r="K440" s="142">
        <v>5000</v>
      </c>
      <c r="L440" s="137" t="s">
        <v>20</v>
      </c>
      <c r="M440" s="137" t="s">
        <v>20</v>
      </c>
      <c r="N440" s="137" t="s">
        <v>20</v>
      </c>
      <c r="O440" s="137" t="s">
        <v>20</v>
      </c>
      <c r="P440" s="137" t="s">
        <v>20</v>
      </c>
      <c r="Q440" s="137" t="s">
        <v>20</v>
      </c>
    </row>
    <row r="441" spans="2:17" ht="21" x14ac:dyDescent="0.25">
      <c r="B441" s="137">
        <v>439</v>
      </c>
      <c r="C441" s="135" t="s">
        <v>321</v>
      </c>
      <c r="D441" s="138" t="s">
        <v>307</v>
      </c>
      <c r="E441" s="139">
        <v>45418</v>
      </c>
      <c r="F441" s="140">
        <v>0.78055555555555556</v>
      </c>
      <c r="G441" s="141" t="s">
        <v>3990</v>
      </c>
      <c r="H441" s="141" t="s">
        <v>403</v>
      </c>
      <c r="I441" s="138" t="s">
        <v>404</v>
      </c>
      <c r="J441" s="142" t="s">
        <v>341</v>
      </c>
      <c r="K441" s="142" t="s">
        <v>341</v>
      </c>
      <c r="L441" s="137" t="s">
        <v>20</v>
      </c>
      <c r="M441" s="137" t="s">
        <v>20</v>
      </c>
      <c r="N441" s="137" t="s">
        <v>20</v>
      </c>
      <c r="O441" s="137" t="s">
        <v>20</v>
      </c>
      <c r="P441" s="137" t="s">
        <v>20</v>
      </c>
      <c r="Q441" s="137" t="s">
        <v>20</v>
      </c>
    </row>
    <row r="442" spans="2:17" ht="21" x14ac:dyDescent="0.25">
      <c r="B442" s="137">
        <v>440</v>
      </c>
      <c r="C442" s="135" t="s">
        <v>321</v>
      </c>
      <c r="D442" s="138" t="s">
        <v>307</v>
      </c>
      <c r="E442" s="139">
        <v>45419</v>
      </c>
      <c r="F442" s="140">
        <v>0.79374999999999996</v>
      </c>
      <c r="G442" s="141" t="s">
        <v>4305</v>
      </c>
      <c r="H442" s="141" t="s">
        <v>477</v>
      </c>
      <c r="I442" s="138" t="s">
        <v>478</v>
      </c>
      <c r="J442" s="142">
        <v>5000</v>
      </c>
      <c r="K442" s="142">
        <v>50000</v>
      </c>
      <c r="L442" s="137" t="s">
        <v>20</v>
      </c>
      <c r="M442" s="137" t="s">
        <v>20</v>
      </c>
      <c r="N442" s="137" t="s">
        <v>20</v>
      </c>
      <c r="O442" s="137" t="s">
        <v>20</v>
      </c>
      <c r="P442" s="137" t="s">
        <v>20</v>
      </c>
      <c r="Q442" s="137" t="s">
        <v>20</v>
      </c>
    </row>
    <row r="443" spans="2:17" ht="21" x14ac:dyDescent="0.25">
      <c r="B443" s="137">
        <v>441</v>
      </c>
      <c r="C443" s="135" t="s">
        <v>321</v>
      </c>
      <c r="D443" s="138" t="s">
        <v>307</v>
      </c>
      <c r="E443" s="139">
        <v>45420</v>
      </c>
      <c r="F443" s="140">
        <v>0.48055555555555557</v>
      </c>
      <c r="G443" s="141" t="s">
        <v>4305</v>
      </c>
      <c r="H443" s="141" t="s">
        <v>477</v>
      </c>
      <c r="I443" s="138" t="s">
        <v>478</v>
      </c>
      <c r="J443" s="142">
        <v>5000</v>
      </c>
      <c r="K443" s="142">
        <v>95000</v>
      </c>
      <c r="L443" s="137" t="s">
        <v>20</v>
      </c>
      <c r="M443" s="141"/>
      <c r="N443" s="141"/>
      <c r="O443" s="141"/>
      <c r="P443" s="141"/>
      <c r="Q443" s="141"/>
    </row>
    <row r="444" spans="2:17" ht="21" x14ac:dyDescent="0.25">
      <c r="B444" s="137">
        <v>442</v>
      </c>
      <c r="C444" s="135" t="s">
        <v>321</v>
      </c>
      <c r="D444" s="138" t="s">
        <v>307</v>
      </c>
      <c r="E444" s="139">
        <v>45422</v>
      </c>
      <c r="F444" s="140">
        <v>0.72222222222222221</v>
      </c>
      <c r="G444" s="141" t="s">
        <v>479</v>
      </c>
      <c r="H444" s="141" t="s">
        <v>309</v>
      </c>
      <c r="I444" s="138" t="s">
        <v>4306</v>
      </c>
      <c r="J444" s="142" t="s">
        <v>341</v>
      </c>
      <c r="K444" s="142">
        <v>50000</v>
      </c>
      <c r="L444" s="137" t="s">
        <v>20</v>
      </c>
      <c r="M444" s="137" t="s">
        <v>20</v>
      </c>
      <c r="N444" s="137" t="s">
        <v>20</v>
      </c>
      <c r="O444" s="137" t="s">
        <v>20</v>
      </c>
      <c r="P444" s="137" t="s">
        <v>20</v>
      </c>
      <c r="Q444" s="137" t="s">
        <v>20</v>
      </c>
    </row>
    <row r="445" spans="2:17" ht="39" x14ac:dyDescent="0.25">
      <c r="B445" s="137">
        <v>443</v>
      </c>
      <c r="C445" s="135" t="s">
        <v>321</v>
      </c>
      <c r="D445" s="138" t="s">
        <v>307</v>
      </c>
      <c r="E445" s="139">
        <v>45428</v>
      </c>
      <c r="F445" s="140">
        <v>0.4236111111111111</v>
      </c>
      <c r="G445" s="141" t="s">
        <v>4307</v>
      </c>
      <c r="H445" s="141" t="s">
        <v>309</v>
      </c>
      <c r="I445" s="138" t="s">
        <v>480</v>
      </c>
      <c r="J445" s="142">
        <v>3000</v>
      </c>
      <c r="K445" s="142">
        <v>50000</v>
      </c>
      <c r="L445" s="137" t="s">
        <v>20</v>
      </c>
      <c r="M445" s="137" t="s">
        <v>20</v>
      </c>
      <c r="N445" s="137" t="s">
        <v>20</v>
      </c>
      <c r="O445" s="137" t="s">
        <v>20</v>
      </c>
      <c r="P445" s="137" t="s">
        <v>20</v>
      </c>
      <c r="Q445" s="137" t="s">
        <v>20</v>
      </c>
    </row>
    <row r="446" spans="2:17" ht="39" x14ac:dyDescent="0.25">
      <c r="B446" s="137">
        <v>444</v>
      </c>
      <c r="C446" s="135" t="s">
        <v>321</v>
      </c>
      <c r="D446" s="138" t="s">
        <v>307</v>
      </c>
      <c r="E446" s="139">
        <v>45432</v>
      </c>
      <c r="F446" s="140">
        <v>0.8354166666666667</v>
      </c>
      <c r="G446" s="141" t="s">
        <v>4308</v>
      </c>
      <c r="H446" s="141" t="s">
        <v>309</v>
      </c>
      <c r="I446" s="138" t="s">
        <v>481</v>
      </c>
      <c r="J446" s="142">
        <v>5000</v>
      </c>
      <c r="K446" s="142">
        <v>100000</v>
      </c>
      <c r="L446" s="137" t="s">
        <v>20</v>
      </c>
      <c r="M446" s="137" t="s">
        <v>20</v>
      </c>
      <c r="N446" s="137" t="s">
        <v>20</v>
      </c>
      <c r="O446" s="137" t="s">
        <v>20</v>
      </c>
      <c r="P446" s="137" t="s">
        <v>20</v>
      </c>
      <c r="Q446" s="137" t="s">
        <v>20</v>
      </c>
    </row>
    <row r="447" spans="2:17" ht="21" x14ac:dyDescent="0.25">
      <c r="B447" s="137">
        <v>445</v>
      </c>
      <c r="C447" s="135" t="s">
        <v>321</v>
      </c>
      <c r="D447" s="138" t="s">
        <v>307</v>
      </c>
      <c r="E447" s="139">
        <v>45434</v>
      </c>
      <c r="F447" s="140">
        <v>0.81180555555555556</v>
      </c>
      <c r="G447" s="141" t="s">
        <v>4309</v>
      </c>
      <c r="H447" s="141" t="s">
        <v>309</v>
      </c>
      <c r="I447" s="138" t="s">
        <v>482</v>
      </c>
      <c r="J447" s="143" t="s">
        <v>4310</v>
      </c>
      <c r="K447" s="142">
        <v>100000</v>
      </c>
      <c r="L447" s="137" t="s">
        <v>20</v>
      </c>
      <c r="M447" s="137" t="s">
        <v>20</v>
      </c>
      <c r="N447" s="137" t="s">
        <v>20</v>
      </c>
      <c r="O447" s="137" t="s">
        <v>20</v>
      </c>
      <c r="P447" s="137" t="s">
        <v>20</v>
      </c>
      <c r="Q447" s="137" t="s">
        <v>20</v>
      </c>
    </row>
    <row r="448" spans="2:17" ht="58.5" x14ac:dyDescent="0.25">
      <c r="B448" s="137">
        <v>446</v>
      </c>
      <c r="C448" s="135" t="s">
        <v>321</v>
      </c>
      <c r="D448" s="138" t="s">
        <v>4311</v>
      </c>
      <c r="E448" s="139">
        <v>45413</v>
      </c>
      <c r="F448" s="140">
        <v>0.60972222222222228</v>
      </c>
      <c r="G448" s="138" t="s">
        <v>4312</v>
      </c>
      <c r="H448" s="138" t="s">
        <v>3752</v>
      </c>
      <c r="I448" s="138" t="s">
        <v>4313</v>
      </c>
      <c r="J448" s="142">
        <v>15000</v>
      </c>
      <c r="K448" s="142">
        <v>5000</v>
      </c>
      <c r="L448" s="137" t="s">
        <v>20</v>
      </c>
      <c r="M448" s="137" t="s">
        <v>20</v>
      </c>
      <c r="N448" s="137" t="s">
        <v>20</v>
      </c>
      <c r="O448" s="137" t="s">
        <v>20</v>
      </c>
      <c r="P448" s="137" t="s">
        <v>20</v>
      </c>
      <c r="Q448" s="137" t="s">
        <v>20</v>
      </c>
    </row>
    <row r="449" spans="2:17" ht="31.5" customHeight="1" x14ac:dyDescent="0.25">
      <c r="B449" s="137">
        <v>447</v>
      </c>
      <c r="C449" s="135" t="s">
        <v>321</v>
      </c>
      <c r="D449" s="138" t="s">
        <v>3685</v>
      </c>
      <c r="E449" s="139">
        <v>45415</v>
      </c>
      <c r="F449" s="140">
        <v>0.53749999999999998</v>
      </c>
      <c r="G449" s="138" t="s">
        <v>4314</v>
      </c>
      <c r="H449" s="138" t="s">
        <v>406</v>
      </c>
      <c r="I449" s="138" t="s">
        <v>4315</v>
      </c>
      <c r="J449" s="142" t="s">
        <v>341</v>
      </c>
      <c r="K449" s="142" t="s">
        <v>341</v>
      </c>
      <c r="L449" s="137" t="s">
        <v>20</v>
      </c>
      <c r="M449" s="137" t="s">
        <v>20</v>
      </c>
      <c r="N449" s="137" t="s">
        <v>20</v>
      </c>
      <c r="O449" s="137" t="s">
        <v>20</v>
      </c>
      <c r="P449" s="137" t="s">
        <v>20</v>
      </c>
      <c r="Q449" s="137" t="s">
        <v>20</v>
      </c>
    </row>
    <row r="450" spans="2:17" ht="39" x14ac:dyDescent="0.25">
      <c r="B450" s="137">
        <v>448</v>
      </c>
      <c r="C450" s="135" t="s">
        <v>321</v>
      </c>
      <c r="D450" s="138" t="s">
        <v>3685</v>
      </c>
      <c r="E450" s="139">
        <v>45415</v>
      </c>
      <c r="F450" s="140">
        <v>0.70486111111111116</v>
      </c>
      <c r="G450" s="138" t="s">
        <v>4316</v>
      </c>
      <c r="H450" s="138" t="s">
        <v>406</v>
      </c>
      <c r="I450" s="138" t="s">
        <v>4315</v>
      </c>
      <c r="J450" s="142" t="s">
        <v>341</v>
      </c>
      <c r="K450" s="142" t="s">
        <v>341</v>
      </c>
      <c r="L450" s="137" t="s">
        <v>20</v>
      </c>
      <c r="M450" s="137" t="s">
        <v>20</v>
      </c>
      <c r="N450" s="137" t="s">
        <v>20</v>
      </c>
      <c r="O450" s="137" t="s">
        <v>20</v>
      </c>
      <c r="P450" s="137" t="s">
        <v>20</v>
      </c>
      <c r="Q450" s="137" t="s">
        <v>20</v>
      </c>
    </row>
    <row r="451" spans="2:17" ht="39" x14ac:dyDescent="0.25">
      <c r="B451" s="137">
        <v>449</v>
      </c>
      <c r="C451" s="135" t="s">
        <v>321</v>
      </c>
      <c r="D451" s="138" t="s">
        <v>3685</v>
      </c>
      <c r="E451" s="139">
        <v>45415</v>
      </c>
      <c r="F451" s="140">
        <v>0.7631944444444444</v>
      </c>
      <c r="G451" s="138" t="s">
        <v>4317</v>
      </c>
      <c r="H451" s="138" t="s">
        <v>406</v>
      </c>
      <c r="I451" s="138" t="s">
        <v>4315</v>
      </c>
      <c r="J451" s="142" t="s">
        <v>341</v>
      </c>
      <c r="K451" s="142" t="s">
        <v>341</v>
      </c>
      <c r="L451" s="137" t="s">
        <v>20</v>
      </c>
      <c r="M451" s="137" t="s">
        <v>20</v>
      </c>
      <c r="N451" s="137" t="s">
        <v>20</v>
      </c>
      <c r="O451" s="137" t="s">
        <v>20</v>
      </c>
      <c r="P451" s="137" t="s">
        <v>20</v>
      </c>
      <c r="Q451" s="137" t="s">
        <v>20</v>
      </c>
    </row>
    <row r="452" spans="2:17" ht="39" x14ac:dyDescent="0.25">
      <c r="B452" s="137">
        <v>450</v>
      </c>
      <c r="C452" s="135" t="s">
        <v>321</v>
      </c>
      <c r="D452" s="138" t="s">
        <v>4111</v>
      </c>
      <c r="E452" s="139">
        <v>45415</v>
      </c>
      <c r="F452" s="140">
        <v>0.74791666666666667</v>
      </c>
      <c r="G452" s="138" t="s">
        <v>4318</v>
      </c>
      <c r="H452" s="138" t="s">
        <v>1904</v>
      </c>
      <c r="I452" s="138" t="s">
        <v>4319</v>
      </c>
      <c r="J452" s="142">
        <v>5000</v>
      </c>
      <c r="K452" s="142">
        <v>5000</v>
      </c>
      <c r="L452" s="137" t="s">
        <v>20</v>
      </c>
      <c r="M452" s="137" t="s">
        <v>20</v>
      </c>
      <c r="N452" s="137" t="s">
        <v>20</v>
      </c>
      <c r="O452" s="137" t="s">
        <v>20</v>
      </c>
      <c r="P452" s="137" t="s">
        <v>20</v>
      </c>
      <c r="Q452" s="137" t="s">
        <v>20</v>
      </c>
    </row>
    <row r="453" spans="2:17" ht="58.5" x14ac:dyDescent="0.25">
      <c r="B453" s="137">
        <v>451</v>
      </c>
      <c r="C453" s="135" t="s">
        <v>321</v>
      </c>
      <c r="D453" s="138" t="s">
        <v>3669</v>
      </c>
      <c r="E453" s="139">
        <v>45417</v>
      </c>
      <c r="F453" s="140">
        <v>0.87430555555555556</v>
      </c>
      <c r="G453" s="138" t="s">
        <v>4320</v>
      </c>
      <c r="H453" s="138" t="s">
        <v>3752</v>
      </c>
      <c r="I453" s="138" t="s">
        <v>2163</v>
      </c>
      <c r="J453" s="142" t="s">
        <v>341</v>
      </c>
      <c r="K453" s="142" t="s">
        <v>341</v>
      </c>
      <c r="L453" s="137" t="s">
        <v>20</v>
      </c>
      <c r="M453" s="137" t="s">
        <v>20</v>
      </c>
      <c r="N453" s="137" t="s">
        <v>20</v>
      </c>
      <c r="O453" s="137" t="s">
        <v>20</v>
      </c>
      <c r="P453" s="137" t="s">
        <v>20</v>
      </c>
      <c r="Q453" s="137" t="s">
        <v>20</v>
      </c>
    </row>
    <row r="454" spans="2:17" ht="58.5" x14ac:dyDescent="0.25">
      <c r="B454" s="137">
        <v>452</v>
      </c>
      <c r="C454" s="135" t="s">
        <v>321</v>
      </c>
      <c r="D454" s="138" t="s">
        <v>4111</v>
      </c>
      <c r="E454" s="139">
        <v>45417</v>
      </c>
      <c r="F454" s="140">
        <v>0.44236111111111109</v>
      </c>
      <c r="G454" s="138" t="s">
        <v>4321</v>
      </c>
      <c r="H454" s="138" t="s">
        <v>3752</v>
      </c>
      <c r="I454" s="138" t="s">
        <v>4322</v>
      </c>
      <c r="J454" s="142">
        <v>20000</v>
      </c>
      <c r="K454" s="142">
        <v>10000</v>
      </c>
      <c r="L454" s="137" t="s">
        <v>20</v>
      </c>
      <c r="M454" s="137" t="s">
        <v>20</v>
      </c>
      <c r="N454" s="137" t="s">
        <v>20</v>
      </c>
      <c r="O454" s="137" t="s">
        <v>20</v>
      </c>
      <c r="P454" s="137" t="s">
        <v>20</v>
      </c>
      <c r="Q454" s="137" t="s">
        <v>20</v>
      </c>
    </row>
    <row r="455" spans="2:17" ht="21" x14ac:dyDescent="0.25">
      <c r="B455" s="137">
        <v>453</v>
      </c>
      <c r="C455" s="135" t="s">
        <v>321</v>
      </c>
      <c r="D455" s="138" t="s">
        <v>4111</v>
      </c>
      <c r="E455" s="139">
        <v>45418</v>
      </c>
      <c r="F455" s="140">
        <v>0.42708333333333331</v>
      </c>
      <c r="G455" s="138" t="s">
        <v>4323</v>
      </c>
      <c r="H455" s="138" t="s">
        <v>1904</v>
      </c>
      <c r="I455" s="138" t="s">
        <v>4324</v>
      </c>
      <c r="J455" s="142" t="s">
        <v>341</v>
      </c>
      <c r="K455" s="142" t="s">
        <v>341</v>
      </c>
      <c r="L455" s="137" t="s">
        <v>20</v>
      </c>
      <c r="M455" s="137" t="s">
        <v>20</v>
      </c>
      <c r="N455" s="137" t="s">
        <v>20</v>
      </c>
      <c r="O455" s="137" t="s">
        <v>20</v>
      </c>
      <c r="P455" s="137" t="s">
        <v>20</v>
      </c>
      <c r="Q455" s="137" t="s">
        <v>20</v>
      </c>
    </row>
    <row r="456" spans="2:17" ht="39" x14ac:dyDescent="0.25">
      <c r="B456" s="137">
        <v>454</v>
      </c>
      <c r="C456" s="135" t="s">
        <v>321</v>
      </c>
      <c r="D456" s="138" t="s">
        <v>4111</v>
      </c>
      <c r="E456" s="139">
        <v>45421</v>
      </c>
      <c r="F456" s="140">
        <v>0.98472222222222228</v>
      </c>
      <c r="G456" s="138" t="s">
        <v>4325</v>
      </c>
      <c r="H456" s="138" t="s">
        <v>4113</v>
      </c>
      <c r="I456" s="138" t="s">
        <v>2757</v>
      </c>
      <c r="J456" s="142" t="s">
        <v>341</v>
      </c>
      <c r="K456" s="142" t="s">
        <v>341</v>
      </c>
      <c r="L456" s="137" t="s">
        <v>20</v>
      </c>
      <c r="M456" s="137" t="s">
        <v>20</v>
      </c>
      <c r="N456" s="137" t="s">
        <v>20</v>
      </c>
      <c r="O456" s="137" t="s">
        <v>20</v>
      </c>
      <c r="P456" s="137" t="s">
        <v>20</v>
      </c>
      <c r="Q456" s="137" t="s">
        <v>20</v>
      </c>
    </row>
    <row r="457" spans="2:17" ht="58.5" x14ac:dyDescent="0.25">
      <c r="B457" s="137">
        <v>455</v>
      </c>
      <c r="C457" s="135" t="s">
        <v>321</v>
      </c>
      <c r="D457" s="138" t="s">
        <v>3685</v>
      </c>
      <c r="E457" s="139">
        <v>45420</v>
      </c>
      <c r="F457" s="140">
        <v>0.91111111111111109</v>
      </c>
      <c r="G457" s="138" t="s">
        <v>4326</v>
      </c>
      <c r="H457" s="138" t="s">
        <v>406</v>
      </c>
      <c r="I457" s="138" t="s">
        <v>4327</v>
      </c>
      <c r="J457" s="142" t="s">
        <v>4328</v>
      </c>
      <c r="K457" s="142" t="s">
        <v>341</v>
      </c>
      <c r="L457" s="137" t="s">
        <v>20</v>
      </c>
      <c r="M457" s="137" t="s">
        <v>20</v>
      </c>
      <c r="N457" s="137" t="s">
        <v>20</v>
      </c>
      <c r="O457" s="137" t="s">
        <v>20</v>
      </c>
      <c r="P457" s="137" t="s">
        <v>20</v>
      </c>
      <c r="Q457" s="137" t="s">
        <v>20</v>
      </c>
    </row>
    <row r="458" spans="2:17" ht="39" x14ac:dyDescent="0.25">
      <c r="B458" s="137">
        <v>456</v>
      </c>
      <c r="C458" s="135" t="s">
        <v>321</v>
      </c>
      <c r="D458" s="138" t="s">
        <v>4111</v>
      </c>
      <c r="E458" s="139">
        <v>45422</v>
      </c>
      <c r="F458" s="140">
        <v>0.80902777777777779</v>
      </c>
      <c r="G458" s="138" t="s">
        <v>4329</v>
      </c>
      <c r="H458" s="138" t="s">
        <v>2873</v>
      </c>
      <c r="I458" s="138" t="s">
        <v>3088</v>
      </c>
      <c r="J458" s="142">
        <v>10000</v>
      </c>
      <c r="K458" s="142">
        <v>15000</v>
      </c>
      <c r="L458" s="141"/>
      <c r="M458" s="141"/>
      <c r="N458" s="141"/>
      <c r="O458" s="141"/>
      <c r="P458" s="141"/>
      <c r="Q458" s="141"/>
    </row>
    <row r="459" spans="2:17" ht="78" x14ac:dyDescent="0.25">
      <c r="B459" s="137">
        <v>457</v>
      </c>
      <c r="C459" s="135" t="s">
        <v>321</v>
      </c>
      <c r="D459" s="138" t="s">
        <v>3685</v>
      </c>
      <c r="E459" s="139">
        <v>45422</v>
      </c>
      <c r="F459" s="140">
        <v>0.40416666666666667</v>
      </c>
      <c r="G459" s="138" t="s">
        <v>4330</v>
      </c>
      <c r="H459" s="138" t="s">
        <v>406</v>
      </c>
      <c r="I459" s="138" t="s">
        <v>390</v>
      </c>
      <c r="J459" s="142" t="s">
        <v>4331</v>
      </c>
      <c r="K459" s="142" t="s">
        <v>4332</v>
      </c>
      <c r="L459" s="137" t="s">
        <v>20</v>
      </c>
      <c r="M459" s="137" t="s">
        <v>20</v>
      </c>
      <c r="N459" s="137" t="s">
        <v>20</v>
      </c>
      <c r="O459" s="137" t="s">
        <v>20</v>
      </c>
      <c r="P459" s="137" t="s">
        <v>20</v>
      </c>
      <c r="Q459" s="137" t="s">
        <v>20</v>
      </c>
    </row>
    <row r="460" spans="2:17" ht="58.5" x14ac:dyDescent="0.25">
      <c r="B460" s="137">
        <v>458</v>
      </c>
      <c r="C460" s="135" t="s">
        <v>321</v>
      </c>
      <c r="D460" s="138" t="s">
        <v>3669</v>
      </c>
      <c r="E460" s="139">
        <v>45426</v>
      </c>
      <c r="F460" s="140">
        <v>0.24652777777777779</v>
      </c>
      <c r="G460" s="138" t="s">
        <v>4333</v>
      </c>
      <c r="H460" s="138" t="s">
        <v>3752</v>
      </c>
      <c r="I460" s="138" t="s">
        <v>421</v>
      </c>
      <c r="J460" s="142">
        <v>14000</v>
      </c>
      <c r="K460" s="142">
        <v>4000</v>
      </c>
      <c r="L460" s="137" t="s">
        <v>20</v>
      </c>
      <c r="M460" s="137" t="s">
        <v>20</v>
      </c>
      <c r="N460" s="137" t="s">
        <v>20</v>
      </c>
      <c r="O460" s="137" t="s">
        <v>20</v>
      </c>
      <c r="P460" s="137" t="s">
        <v>20</v>
      </c>
      <c r="Q460" s="137" t="s">
        <v>20</v>
      </c>
    </row>
    <row r="461" spans="2:17" ht="39" x14ac:dyDescent="0.25">
      <c r="B461" s="137">
        <v>459</v>
      </c>
      <c r="C461" s="135" t="s">
        <v>321</v>
      </c>
      <c r="D461" s="138" t="s">
        <v>3669</v>
      </c>
      <c r="E461" s="139">
        <v>45426</v>
      </c>
      <c r="F461" s="140">
        <v>0.54097222222222219</v>
      </c>
      <c r="G461" s="138" t="s">
        <v>4334</v>
      </c>
      <c r="H461" s="138" t="s">
        <v>4335</v>
      </c>
      <c r="I461" s="138" t="s">
        <v>4336</v>
      </c>
      <c r="J461" s="142">
        <v>12000</v>
      </c>
      <c r="K461" s="142">
        <v>38000</v>
      </c>
      <c r="L461" s="137" t="s">
        <v>20</v>
      </c>
      <c r="M461" s="137" t="s">
        <v>20</v>
      </c>
      <c r="N461" s="137" t="s">
        <v>20</v>
      </c>
      <c r="O461" s="137" t="s">
        <v>20</v>
      </c>
      <c r="P461" s="137" t="s">
        <v>20</v>
      </c>
      <c r="Q461" s="137" t="s">
        <v>20</v>
      </c>
    </row>
    <row r="462" spans="2:17" ht="39" x14ac:dyDescent="0.25">
      <c r="B462" s="137">
        <v>460</v>
      </c>
      <c r="C462" s="135" t="s">
        <v>321</v>
      </c>
      <c r="D462" s="138" t="s">
        <v>3669</v>
      </c>
      <c r="E462" s="139">
        <v>45426</v>
      </c>
      <c r="F462" s="140">
        <v>0.65486111111111112</v>
      </c>
      <c r="G462" s="138" t="s">
        <v>4337</v>
      </c>
      <c r="H462" s="138" t="s">
        <v>4113</v>
      </c>
      <c r="I462" s="138" t="s">
        <v>469</v>
      </c>
      <c r="J462" s="142" t="s">
        <v>341</v>
      </c>
      <c r="K462" s="142" t="s">
        <v>341</v>
      </c>
      <c r="L462" s="137" t="s">
        <v>20</v>
      </c>
      <c r="M462" s="137" t="s">
        <v>20</v>
      </c>
      <c r="N462" s="137" t="s">
        <v>20</v>
      </c>
      <c r="O462" s="137" t="s">
        <v>20</v>
      </c>
      <c r="P462" s="137" t="s">
        <v>20</v>
      </c>
      <c r="Q462" s="137" t="s">
        <v>20</v>
      </c>
    </row>
    <row r="463" spans="2:17" ht="39" x14ac:dyDescent="0.25">
      <c r="B463" s="137">
        <v>461</v>
      </c>
      <c r="C463" s="135" t="s">
        <v>321</v>
      </c>
      <c r="D463" s="138" t="s">
        <v>4111</v>
      </c>
      <c r="E463" s="139">
        <v>45428</v>
      </c>
      <c r="F463" s="140">
        <v>0.95694444444444449</v>
      </c>
      <c r="G463" s="138" t="s">
        <v>4338</v>
      </c>
      <c r="H463" s="138" t="s">
        <v>406</v>
      </c>
      <c r="I463" s="138" t="s">
        <v>469</v>
      </c>
      <c r="J463" s="142" t="s">
        <v>341</v>
      </c>
      <c r="K463" s="142" t="s">
        <v>341</v>
      </c>
      <c r="L463" s="141"/>
      <c r="M463" s="141"/>
      <c r="N463" s="141"/>
      <c r="O463" s="141"/>
      <c r="P463" s="141"/>
      <c r="Q463" s="141"/>
    </row>
    <row r="464" spans="2:17" ht="58.5" x14ac:dyDescent="0.25">
      <c r="B464" s="137">
        <v>462</v>
      </c>
      <c r="C464" s="135" t="s">
        <v>321</v>
      </c>
      <c r="D464" s="138" t="s">
        <v>3669</v>
      </c>
      <c r="E464" s="139">
        <v>45429</v>
      </c>
      <c r="F464" s="140">
        <v>0.96250000000000002</v>
      </c>
      <c r="G464" s="138" t="s">
        <v>4339</v>
      </c>
      <c r="H464" s="138" t="s">
        <v>4340</v>
      </c>
      <c r="I464" s="138" t="s">
        <v>2511</v>
      </c>
      <c r="J464" s="142" t="s">
        <v>4341</v>
      </c>
      <c r="K464" s="142" t="s">
        <v>341</v>
      </c>
      <c r="L464" s="137" t="s">
        <v>20</v>
      </c>
      <c r="M464" s="137" t="s">
        <v>20</v>
      </c>
      <c r="N464" s="137" t="s">
        <v>20</v>
      </c>
      <c r="O464" s="137" t="s">
        <v>20</v>
      </c>
      <c r="P464" s="137" t="s">
        <v>20</v>
      </c>
      <c r="Q464" s="137" t="s">
        <v>20</v>
      </c>
    </row>
    <row r="465" spans="2:17" ht="39" x14ac:dyDescent="0.25">
      <c r="B465" s="137">
        <v>463</v>
      </c>
      <c r="C465" s="135" t="s">
        <v>321</v>
      </c>
      <c r="D465" s="138" t="s">
        <v>4111</v>
      </c>
      <c r="E465" s="139">
        <v>45430</v>
      </c>
      <c r="F465" s="140">
        <v>0.83333333333333337</v>
      </c>
      <c r="G465" s="138" t="s">
        <v>4342</v>
      </c>
      <c r="H465" s="138" t="s">
        <v>4343</v>
      </c>
      <c r="I465" s="138" t="s">
        <v>4344</v>
      </c>
      <c r="J465" s="142" t="s">
        <v>341</v>
      </c>
      <c r="K465" s="142" t="s">
        <v>341</v>
      </c>
      <c r="L465" s="137" t="s">
        <v>20</v>
      </c>
      <c r="M465" s="137" t="s">
        <v>20</v>
      </c>
      <c r="N465" s="137" t="s">
        <v>20</v>
      </c>
      <c r="O465" s="137" t="s">
        <v>20</v>
      </c>
      <c r="P465" s="137" t="s">
        <v>20</v>
      </c>
      <c r="Q465" s="137" t="s">
        <v>20</v>
      </c>
    </row>
    <row r="466" spans="2:17" ht="39" x14ac:dyDescent="0.25">
      <c r="B466" s="137">
        <v>464</v>
      </c>
      <c r="C466" s="135" t="s">
        <v>321</v>
      </c>
      <c r="D466" s="138" t="s">
        <v>3669</v>
      </c>
      <c r="E466" s="139">
        <v>45430</v>
      </c>
      <c r="F466" s="140">
        <v>0.94861111111111107</v>
      </c>
      <c r="G466" s="138" t="s">
        <v>4345</v>
      </c>
      <c r="H466" s="138" t="s">
        <v>4113</v>
      </c>
      <c r="I466" s="138" t="s">
        <v>3824</v>
      </c>
      <c r="J466" s="142" t="s">
        <v>354</v>
      </c>
      <c r="K466" s="142" t="s">
        <v>341</v>
      </c>
      <c r="L466" s="137" t="s">
        <v>20</v>
      </c>
      <c r="M466" s="137" t="s">
        <v>20</v>
      </c>
      <c r="N466" s="137" t="s">
        <v>20</v>
      </c>
      <c r="O466" s="137" t="s">
        <v>20</v>
      </c>
      <c r="P466" s="137" t="s">
        <v>20</v>
      </c>
      <c r="Q466" s="137" t="s">
        <v>20</v>
      </c>
    </row>
    <row r="467" spans="2:17" ht="39" x14ac:dyDescent="0.25">
      <c r="B467" s="137">
        <v>465</v>
      </c>
      <c r="C467" s="135" t="s">
        <v>321</v>
      </c>
      <c r="D467" s="138" t="s">
        <v>3685</v>
      </c>
      <c r="E467" s="139">
        <v>1805.2023999999999</v>
      </c>
      <c r="F467" s="140">
        <v>0.95347222222222228</v>
      </c>
      <c r="G467" s="138" t="s">
        <v>4346</v>
      </c>
      <c r="H467" s="138" t="s">
        <v>4108</v>
      </c>
      <c r="I467" s="138" t="s">
        <v>4347</v>
      </c>
      <c r="J467" s="142">
        <v>15000</v>
      </c>
      <c r="K467" s="142">
        <v>500000</v>
      </c>
      <c r="L467" s="137" t="s">
        <v>20</v>
      </c>
      <c r="M467" s="137" t="s">
        <v>20</v>
      </c>
      <c r="N467" s="137" t="s">
        <v>20</v>
      </c>
      <c r="O467" s="137" t="s">
        <v>20</v>
      </c>
      <c r="P467" s="137" t="s">
        <v>20</v>
      </c>
      <c r="Q467" s="137" t="s">
        <v>20</v>
      </c>
    </row>
    <row r="468" spans="2:17" ht="58.5" x14ac:dyDescent="0.25">
      <c r="B468" s="137">
        <v>466</v>
      </c>
      <c r="C468" s="135" t="s">
        <v>321</v>
      </c>
      <c r="D468" s="138" t="s">
        <v>4311</v>
      </c>
      <c r="E468" s="139">
        <v>45430</v>
      </c>
      <c r="F468" s="140">
        <v>0.96597222222222223</v>
      </c>
      <c r="G468" s="138" t="s">
        <v>4348</v>
      </c>
      <c r="H468" s="138" t="s">
        <v>4108</v>
      </c>
      <c r="I468" s="138" t="s">
        <v>2186</v>
      </c>
      <c r="J468" s="142">
        <v>10000</v>
      </c>
      <c r="K468" s="142">
        <v>10000</v>
      </c>
      <c r="L468" s="137" t="s">
        <v>20</v>
      </c>
      <c r="M468" s="137" t="s">
        <v>20</v>
      </c>
      <c r="N468" s="137" t="s">
        <v>20</v>
      </c>
      <c r="O468" s="137" t="s">
        <v>20</v>
      </c>
      <c r="P468" s="137" t="s">
        <v>20</v>
      </c>
      <c r="Q468" s="137" t="s">
        <v>20</v>
      </c>
    </row>
    <row r="469" spans="2:17" ht="58.5" x14ac:dyDescent="0.25">
      <c r="B469" s="137">
        <v>467</v>
      </c>
      <c r="C469" s="135" t="s">
        <v>321</v>
      </c>
      <c r="D469" s="138" t="s">
        <v>3669</v>
      </c>
      <c r="E469" s="139">
        <v>45433</v>
      </c>
      <c r="F469" s="140">
        <v>0.5395833333333333</v>
      </c>
      <c r="G469" s="138" t="s">
        <v>4349</v>
      </c>
      <c r="H469" s="138" t="s">
        <v>4113</v>
      </c>
      <c r="I469" s="138" t="s">
        <v>469</v>
      </c>
      <c r="J469" s="142" t="s">
        <v>341</v>
      </c>
      <c r="K469" s="142" t="s">
        <v>341</v>
      </c>
      <c r="L469" s="137" t="s">
        <v>20</v>
      </c>
      <c r="M469" s="137" t="s">
        <v>20</v>
      </c>
      <c r="N469" s="137" t="s">
        <v>20</v>
      </c>
      <c r="O469" s="137" t="s">
        <v>20</v>
      </c>
      <c r="P469" s="137" t="s">
        <v>20</v>
      </c>
      <c r="Q469" s="137" t="s">
        <v>20</v>
      </c>
    </row>
    <row r="470" spans="2:17" ht="39" x14ac:dyDescent="0.25">
      <c r="B470" s="137">
        <v>468</v>
      </c>
      <c r="C470" s="135" t="s">
        <v>321</v>
      </c>
      <c r="D470" s="138" t="s">
        <v>3669</v>
      </c>
      <c r="E470" s="139">
        <v>45433</v>
      </c>
      <c r="F470" s="140">
        <v>0.55486111111111114</v>
      </c>
      <c r="G470" s="138" t="s">
        <v>4350</v>
      </c>
      <c r="H470" s="138" t="s">
        <v>4113</v>
      </c>
      <c r="I470" s="138" t="s">
        <v>397</v>
      </c>
      <c r="J470" s="142" t="s">
        <v>341</v>
      </c>
      <c r="K470" s="142" t="s">
        <v>341</v>
      </c>
      <c r="L470" s="137" t="s">
        <v>20</v>
      </c>
      <c r="M470" s="137" t="s">
        <v>20</v>
      </c>
      <c r="N470" s="137" t="s">
        <v>20</v>
      </c>
      <c r="O470" s="137" t="s">
        <v>20</v>
      </c>
      <c r="P470" s="137" t="s">
        <v>20</v>
      </c>
      <c r="Q470" s="137" t="s">
        <v>20</v>
      </c>
    </row>
    <row r="471" spans="2:17" ht="39" x14ac:dyDescent="0.25">
      <c r="B471" s="137">
        <v>469</v>
      </c>
      <c r="C471" s="135" t="s">
        <v>321</v>
      </c>
      <c r="D471" s="138" t="s">
        <v>4111</v>
      </c>
      <c r="E471" s="139">
        <v>45434</v>
      </c>
      <c r="F471" s="140">
        <v>0.83680555555555558</v>
      </c>
      <c r="G471" s="138" t="s">
        <v>4351</v>
      </c>
      <c r="H471" s="138" t="s">
        <v>4108</v>
      </c>
      <c r="I471" s="138" t="s">
        <v>4352</v>
      </c>
      <c r="J471" s="142">
        <v>50000</v>
      </c>
      <c r="K471" s="142">
        <v>100000</v>
      </c>
      <c r="L471" s="137" t="s">
        <v>20</v>
      </c>
      <c r="M471" s="137" t="s">
        <v>20</v>
      </c>
      <c r="N471" s="137" t="s">
        <v>20</v>
      </c>
      <c r="O471" s="137" t="s">
        <v>20</v>
      </c>
      <c r="P471" s="137" t="s">
        <v>20</v>
      </c>
      <c r="Q471" s="137" t="s">
        <v>20</v>
      </c>
    </row>
    <row r="472" spans="2:17" ht="58.5" x14ac:dyDescent="0.25">
      <c r="B472" s="137">
        <v>470</v>
      </c>
      <c r="C472" s="135" t="s">
        <v>321</v>
      </c>
      <c r="D472" s="138" t="s">
        <v>3669</v>
      </c>
      <c r="E472" s="139">
        <v>45439</v>
      </c>
      <c r="F472" s="140">
        <v>0.44166666666666665</v>
      </c>
      <c r="G472" s="138" t="s">
        <v>4353</v>
      </c>
      <c r="H472" s="138" t="s">
        <v>4122</v>
      </c>
      <c r="I472" s="138" t="s">
        <v>4354</v>
      </c>
      <c r="J472" s="142" t="s">
        <v>341</v>
      </c>
      <c r="K472" s="142" t="s">
        <v>341</v>
      </c>
      <c r="L472" s="137" t="s">
        <v>20</v>
      </c>
      <c r="M472" s="137" t="s">
        <v>20</v>
      </c>
      <c r="N472" s="137" t="s">
        <v>20</v>
      </c>
      <c r="O472" s="137" t="s">
        <v>20</v>
      </c>
      <c r="P472" s="137" t="s">
        <v>20</v>
      </c>
      <c r="Q472" s="137" t="s">
        <v>20</v>
      </c>
    </row>
    <row r="473" spans="2:17" ht="39" x14ac:dyDescent="0.25">
      <c r="B473" s="137">
        <v>471</v>
      </c>
      <c r="C473" s="135" t="s">
        <v>321</v>
      </c>
      <c r="D473" s="138" t="s">
        <v>3669</v>
      </c>
      <c r="E473" s="139">
        <v>45440</v>
      </c>
      <c r="F473" s="140">
        <v>0.64861111111111114</v>
      </c>
      <c r="G473" s="138" t="s">
        <v>4355</v>
      </c>
      <c r="H473" s="138" t="s">
        <v>4108</v>
      </c>
      <c r="I473" s="138" t="s">
        <v>4356</v>
      </c>
      <c r="J473" s="142" t="s">
        <v>341</v>
      </c>
      <c r="K473" s="142" t="s">
        <v>341</v>
      </c>
      <c r="L473" s="137" t="s">
        <v>20</v>
      </c>
      <c r="M473" s="137" t="s">
        <v>20</v>
      </c>
      <c r="N473" s="137" t="s">
        <v>20</v>
      </c>
      <c r="O473" s="137" t="s">
        <v>20</v>
      </c>
      <c r="P473" s="137" t="s">
        <v>20</v>
      </c>
      <c r="Q473" s="137" t="s">
        <v>20</v>
      </c>
    </row>
    <row r="474" spans="2:17" ht="39" x14ac:dyDescent="0.25">
      <c r="B474" s="137">
        <v>472</v>
      </c>
      <c r="C474" s="135" t="s">
        <v>321</v>
      </c>
      <c r="D474" s="138" t="s">
        <v>4111</v>
      </c>
      <c r="E474" s="139">
        <v>45442</v>
      </c>
      <c r="F474" s="140">
        <v>0.125</v>
      </c>
      <c r="G474" s="138" t="s">
        <v>4357</v>
      </c>
      <c r="H474" s="138" t="s">
        <v>496</v>
      </c>
      <c r="I474" s="138" t="s">
        <v>496</v>
      </c>
      <c r="J474" s="142" t="s">
        <v>3674</v>
      </c>
      <c r="K474" s="142" t="s">
        <v>3674</v>
      </c>
      <c r="L474" s="137" t="s">
        <v>20</v>
      </c>
      <c r="M474" s="137" t="s">
        <v>20</v>
      </c>
      <c r="N474" s="137" t="s">
        <v>20</v>
      </c>
      <c r="O474" s="137" t="s">
        <v>20</v>
      </c>
      <c r="P474" s="137" t="s">
        <v>20</v>
      </c>
      <c r="Q474" s="137" t="s">
        <v>20</v>
      </c>
    </row>
    <row r="475" spans="2:17" ht="39" x14ac:dyDescent="0.25">
      <c r="B475" s="137">
        <v>473</v>
      </c>
      <c r="C475" s="135" t="s">
        <v>321</v>
      </c>
      <c r="D475" s="138" t="s">
        <v>4111</v>
      </c>
      <c r="E475" s="139">
        <v>45442</v>
      </c>
      <c r="F475" s="140">
        <v>0.24513888888888888</v>
      </c>
      <c r="G475" s="138" t="s">
        <v>4358</v>
      </c>
      <c r="H475" s="138" t="s">
        <v>2873</v>
      </c>
      <c r="I475" s="138" t="s">
        <v>4359</v>
      </c>
      <c r="J475" s="142">
        <v>5000</v>
      </c>
      <c r="K475" s="142">
        <v>5000</v>
      </c>
      <c r="L475" s="137" t="s">
        <v>20</v>
      </c>
      <c r="M475" s="137" t="s">
        <v>20</v>
      </c>
      <c r="N475" s="137" t="s">
        <v>20</v>
      </c>
      <c r="O475" s="137" t="s">
        <v>20</v>
      </c>
      <c r="P475" s="137" t="s">
        <v>20</v>
      </c>
      <c r="Q475" s="137" t="s">
        <v>20</v>
      </c>
    </row>
    <row r="476" spans="2:17" ht="78" x14ac:dyDescent="0.25">
      <c r="B476" s="137">
        <v>474</v>
      </c>
      <c r="C476" s="135" t="s">
        <v>321</v>
      </c>
      <c r="D476" s="138" t="s">
        <v>3669</v>
      </c>
      <c r="E476" s="139">
        <v>45443</v>
      </c>
      <c r="F476" s="140">
        <v>0.13194444444444445</v>
      </c>
      <c r="G476" s="138" t="s">
        <v>4360</v>
      </c>
      <c r="H476" s="138" t="s">
        <v>496</v>
      </c>
      <c r="I476" s="138" t="s">
        <v>496</v>
      </c>
      <c r="J476" s="142" t="s">
        <v>3674</v>
      </c>
      <c r="K476" s="142" t="s">
        <v>3674</v>
      </c>
      <c r="L476" s="137" t="s">
        <v>20</v>
      </c>
      <c r="M476" s="137" t="s">
        <v>20</v>
      </c>
      <c r="N476" s="137" t="s">
        <v>20</v>
      </c>
      <c r="O476" s="137" t="s">
        <v>20</v>
      </c>
      <c r="P476" s="137" t="s">
        <v>20</v>
      </c>
      <c r="Q476" s="137" t="s">
        <v>20</v>
      </c>
    </row>
    <row r="477" spans="2:17" ht="39" x14ac:dyDescent="0.25">
      <c r="B477" s="137">
        <v>475</v>
      </c>
      <c r="C477" s="135" t="s">
        <v>321</v>
      </c>
      <c r="D477" s="138" t="s">
        <v>334</v>
      </c>
      <c r="E477" s="139">
        <v>45081</v>
      </c>
      <c r="F477" s="140">
        <v>0.49305555555555558</v>
      </c>
      <c r="G477" s="138" t="s">
        <v>485</v>
      </c>
      <c r="H477" s="138" t="s">
        <v>461</v>
      </c>
      <c r="I477" s="138" t="s">
        <v>462</v>
      </c>
      <c r="J477" s="142" t="s">
        <v>341</v>
      </c>
      <c r="K477" s="143" t="s">
        <v>3836</v>
      </c>
      <c r="L477" s="141" t="s">
        <v>20</v>
      </c>
      <c r="M477" s="141" t="s">
        <v>20</v>
      </c>
      <c r="N477" s="141" t="s">
        <v>20</v>
      </c>
      <c r="O477" s="141" t="s">
        <v>20</v>
      </c>
      <c r="P477" s="141" t="s">
        <v>20</v>
      </c>
      <c r="Q477" s="141" t="s">
        <v>20</v>
      </c>
    </row>
    <row r="478" spans="2:17" ht="58.5" x14ac:dyDescent="0.25">
      <c r="B478" s="137">
        <v>476</v>
      </c>
      <c r="C478" s="135" t="s">
        <v>321</v>
      </c>
      <c r="D478" s="138" t="s">
        <v>334</v>
      </c>
      <c r="E478" s="139">
        <v>45450</v>
      </c>
      <c r="F478" s="140">
        <v>0.8041666666666667</v>
      </c>
      <c r="G478" s="138" t="s">
        <v>486</v>
      </c>
      <c r="H478" s="138" t="s">
        <v>352</v>
      </c>
      <c r="I478" s="138" t="s">
        <v>487</v>
      </c>
      <c r="J478" s="142" t="s">
        <v>341</v>
      </c>
      <c r="K478" s="143" t="s">
        <v>3845</v>
      </c>
      <c r="L478" s="141" t="s">
        <v>20</v>
      </c>
      <c r="M478" s="141" t="s">
        <v>20</v>
      </c>
      <c r="N478" s="141" t="s">
        <v>20</v>
      </c>
      <c r="O478" s="141" t="s">
        <v>20</v>
      </c>
      <c r="P478" s="141" t="s">
        <v>20</v>
      </c>
      <c r="Q478" s="141" t="s">
        <v>20</v>
      </c>
    </row>
    <row r="479" spans="2:17" ht="21" x14ac:dyDescent="0.25">
      <c r="B479" s="137">
        <v>477</v>
      </c>
      <c r="C479" s="135" t="s">
        <v>321</v>
      </c>
      <c r="D479" s="138" t="s">
        <v>334</v>
      </c>
      <c r="E479" s="139">
        <v>45457</v>
      </c>
      <c r="F479" s="140">
        <v>0.79166666666666663</v>
      </c>
      <c r="G479" s="138" t="s">
        <v>488</v>
      </c>
      <c r="H479" s="138" t="s">
        <v>489</v>
      </c>
      <c r="I479" s="138" t="s">
        <v>489</v>
      </c>
      <c r="J479" s="142"/>
      <c r="K479" s="142"/>
      <c r="L479" s="141" t="s">
        <v>20</v>
      </c>
      <c r="M479" s="141" t="s">
        <v>20</v>
      </c>
      <c r="N479" s="141" t="s">
        <v>20</v>
      </c>
      <c r="O479" s="141" t="s">
        <v>20</v>
      </c>
      <c r="P479" s="141" t="s">
        <v>20</v>
      </c>
      <c r="Q479" s="141" t="s">
        <v>20</v>
      </c>
    </row>
    <row r="480" spans="2:17" ht="39" x14ac:dyDescent="0.25">
      <c r="B480" s="137">
        <v>478</v>
      </c>
      <c r="C480" s="135" t="s">
        <v>321</v>
      </c>
      <c r="D480" s="138" t="s">
        <v>334</v>
      </c>
      <c r="E480" s="139">
        <v>45460</v>
      </c>
      <c r="F480" s="140">
        <v>0.87777777777777777</v>
      </c>
      <c r="G480" s="138" t="s">
        <v>490</v>
      </c>
      <c r="H480" s="138" t="s">
        <v>385</v>
      </c>
      <c r="I480" s="138" t="s">
        <v>491</v>
      </c>
      <c r="J480" s="142" t="s">
        <v>341</v>
      </c>
      <c r="K480" s="143" t="s">
        <v>3845</v>
      </c>
      <c r="L480" s="141" t="s">
        <v>20</v>
      </c>
      <c r="M480" s="141" t="s">
        <v>20</v>
      </c>
      <c r="N480" s="141" t="s">
        <v>20</v>
      </c>
      <c r="O480" s="141" t="s">
        <v>20</v>
      </c>
      <c r="P480" s="141" t="s">
        <v>20</v>
      </c>
      <c r="Q480" s="141" t="s">
        <v>20</v>
      </c>
    </row>
    <row r="481" spans="2:17" ht="39" x14ac:dyDescent="0.25">
      <c r="B481" s="137">
        <v>479</v>
      </c>
      <c r="C481" s="135" t="s">
        <v>321</v>
      </c>
      <c r="D481" s="138" t="s">
        <v>334</v>
      </c>
      <c r="E481" s="139">
        <v>45461</v>
      </c>
      <c r="F481" s="140">
        <v>0.50069444444444444</v>
      </c>
      <c r="G481" s="138" t="s">
        <v>492</v>
      </c>
      <c r="H481" s="138" t="s">
        <v>352</v>
      </c>
      <c r="I481" s="138" t="s">
        <v>372</v>
      </c>
      <c r="J481" s="142" t="s">
        <v>341</v>
      </c>
      <c r="K481" s="143" t="s">
        <v>4361</v>
      </c>
      <c r="L481" s="141" t="s">
        <v>20</v>
      </c>
      <c r="M481" s="141" t="s">
        <v>20</v>
      </c>
      <c r="N481" s="141" t="s">
        <v>20</v>
      </c>
      <c r="O481" s="141" t="s">
        <v>20</v>
      </c>
      <c r="P481" s="141" t="s">
        <v>20</v>
      </c>
      <c r="Q481" s="141" t="s">
        <v>20</v>
      </c>
    </row>
    <row r="482" spans="2:17" ht="39" x14ac:dyDescent="0.25">
      <c r="B482" s="137">
        <v>480</v>
      </c>
      <c r="C482" s="135" t="s">
        <v>321</v>
      </c>
      <c r="D482" s="138" t="s">
        <v>334</v>
      </c>
      <c r="E482" s="139">
        <v>45468</v>
      </c>
      <c r="F482" s="140">
        <v>0.21458333333333332</v>
      </c>
      <c r="G482" s="138" t="s">
        <v>493</v>
      </c>
      <c r="H482" s="138" t="s">
        <v>494</v>
      </c>
      <c r="I482" s="138" t="s">
        <v>495</v>
      </c>
      <c r="J482" s="142" t="s">
        <v>496</v>
      </c>
      <c r="K482" s="142"/>
      <c r="L482" s="141">
        <v>1</v>
      </c>
      <c r="M482" s="141" t="s">
        <v>20</v>
      </c>
      <c r="N482" s="141">
        <v>3</v>
      </c>
      <c r="O482" s="141" t="s">
        <v>20</v>
      </c>
      <c r="P482" s="141" t="s">
        <v>20</v>
      </c>
      <c r="Q482" s="141" t="s">
        <v>20</v>
      </c>
    </row>
    <row r="483" spans="2:17" ht="58.5" x14ac:dyDescent="0.25">
      <c r="B483" s="137">
        <v>481</v>
      </c>
      <c r="C483" s="135" t="s">
        <v>321</v>
      </c>
      <c r="D483" s="138" t="s">
        <v>3776</v>
      </c>
      <c r="E483" s="139">
        <v>45445</v>
      </c>
      <c r="F483" s="140">
        <v>3.7499999999999999E-2</v>
      </c>
      <c r="G483" s="138" t="s">
        <v>4362</v>
      </c>
      <c r="H483" s="138" t="s">
        <v>3656</v>
      </c>
      <c r="I483" s="138" t="s">
        <v>4228</v>
      </c>
      <c r="J483" s="142">
        <v>2000</v>
      </c>
      <c r="K483" s="142">
        <v>98000</v>
      </c>
      <c r="L483" s="141" t="s">
        <v>20</v>
      </c>
      <c r="M483" s="141" t="s">
        <v>20</v>
      </c>
      <c r="N483" s="141" t="s">
        <v>20</v>
      </c>
      <c r="O483" s="141" t="s">
        <v>20</v>
      </c>
      <c r="P483" s="141" t="s">
        <v>20</v>
      </c>
      <c r="Q483" s="141" t="s">
        <v>20</v>
      </c>
    </row>
    <row r="484" spans="2:17" ht="39" x14ac:dyDescent="0.25">
      <c r="B484" s="137">
        <v>482</v>
      </c>
      <c r="C484" s="135" t="s">
        <v>321</v>
      </c>
      <c r="D484" s="138" t="s">
        <v>3776</v>
      </c>
      <c r="E484" s="139">
        <v>45445</v>
      </c>
      <c r="F484" s="140">
        <v>0.51736111111111116</v>
      </c>
      <c r="G484" s="138" t="s">
        <v>4363</v>
      </c>
      <c r="H484" s="138" t="s">
        <v>4204</v>
      </c>
      <c r="I484" s="138" t="s">
        <v>4364</v>
      </c>
      <c r="J484" s="142">
        <v>50000</v>
      </c>
      <c r="K484" s="142">
        <v>950000</v>
      </c>
      <c r="L484" s="141" t="s">
        <v>20</v>
      </c>
      <c r="M484" s="141" t="s">
        <v>20</v>
      </c>
      <c r="N484" s="141" t="s">
        <v>20</v>
      </c>
      <c r="O484" s="141" t="s">
        <v>20</v>
      </c>
      <c r="P484" s="141" t="s">
        <v>20</v>
      </c>
      <c r="Q484" s="141" t="s">
        <v>20</v>
      </c>
    </row>
    <row r="485" spans="2:17" ht="58.5" x14ac:dyDescent="0.25">
      <c r="B485" s="137">
        <v>483</v>
      </c>
      <c r="C485" s="135" t="s">
        <v>321</v>
      </c>
      <c r="D485" s="138" t="s">
        <v>3776</v>
      </c>
      <c r="E485" s="139">
        <v>45446</v>
      </c>
      <c r="F485" s="140">
        <v>0.84375</v>
      </c>
      <c r="G485" s="138" t="s">
        <v>4365</v>
      </c>
      <c r="H485" s="138" t="s">
        <v>3656</v>
      </c>
      <c r="I485" s="138" t="s">
        <v>4366</v>
      </c>
      <c r="J485" s="142">
        <v>1000</v>
      </c>
      <c r="K485" s="142">
        <v>99000</v>
      </c>
      <c r="L485" s="141" t="s">
        <v>20</v>
      </c>
      <c r="M485" s="141"/>
      <c r="N485" s="141"/>
      <c r="O485" s="141"/>
      <c r="P485" s="141" t="s">
        <v>20</v>
      </c>
      <c r="Q485" s="141" t="s">
        <v>20</v>
      </c>
    </row>
    <row r="486" spans="2:17" ht="78" x14ac:dyDescent="0.25">
      <c r="B486" s="137">
        <v>484</v>
      </c>
      <c r="C486" s="135" t="s">
        <v>321</v>
      </c>
      <c r="D486" s="138" t="s">
        <v>3776</v>
      </c>
      <c r="E486" s="139">
        <v>45449</v>
      </c>
      <c r="F486" s="140">
        <v>8.611111111111111E-2</v>
      </c>
      <c r="G486" s="138" t="s">
        <v>4367</v>
      </c>
      <c r="H486" s="138" t="s">
        <v>4204</v>
      </c>
      <c r="I486" s="138" t="s">
        <v>3903</v>
      </c>
      <c r="J486" s="142">
        <v>10000</v>
      </c>
      <c r="K486" s="142">
        <v>990000</v>
      </c>
      <c r="L486" s="141" t="s">
        <v>20</v>
      </c>
      <c r="M486" s="141" t="s">
        <v>20</v>
      </c>
      <c r="N486" s="141" t="s">
        <v>20</v>
      </c>
      <c r="O486" s="141" t="s">
        <v>20</v>
      </c>
      <c r="P486" s="141" t="s">
        <v>20</v>
      </c>
      <c r="Q486" s="141" t="s">
        <v>20</v>
      </c>
    </row>
    <row r="487" spans="2:17" ht="58.5" x14ac:dyDescent="0.25">
      <c r="B487" s="137">
        <v>485</v>
      </c>
      <c r="C487" s="135" t="s">
        <v>321</v>
      </c>
      <c r="D487" s="138" t="s">
        <v>3776</v>
      </c>
      <c r="E487" s="139">
        <v>45451</v>
      </c>
      <c r="F487" s="140">
        <v>0.56041666666666667</v>
      </c>
      <c r="G487" s="138" t="s">
        <v>4368</v>
      </c>
      <c r="H487" s="138" t="s">
        <v>3656</v>
      </c>
      <c r="I487" s="138" t="s">
        <v>4369</v>
      </c>
      <c r="J487" s="142">
        <v>130000</v>
      </c>
      <c r="K487" s="142">
        <v>870000</v>
      </c>
      <c r="L487" s="141" t="s">
        <v>20</v>
      </c>
      <c r="M487" s="141" t="s">
        <v>20</v>
      </c>
      <c r="N487" s="141" t="s">
        <v>20</v>
      </c>
      <c r="O487" s="141" t="s">
        <v>20</v>
      </c>
      <c r="P487" s="141" t="s">
        <v>20</v>
      </c>
      <c r="Q487" s="141" t="s">
        <v>20</v>
      </c>
    </row>
    <row r="488" spans="2:17" ht="78" x14ac:dyDescent="0.25">
      <c r="B488" s="137">
        <v>486</v>
      </c>
      <c r="C488" s="135" t="s">
        <v>321</v>
      </c>
      <c r="D488" s="138" t="s">
        <v>3776</v>
      </c>
      <c r="E488" s="139">
        <v>45452</v>
      </c>
      <c r="F488" s="140">
        <v>0.74861111111111112</v>
      </c>
      <c r="G488" s="138" t="s">
        <v>4370</v>
      </c>
      <c r="H488" s="138" t="s">
        <v>4371</v>
      </c>
      <c r="I488" s="138" t="s">
        <v>3903</v>
      </c>
      <c r="J488" s="142">
        <v>300000</v>
      </c>
      <c r="K488" s="142">
        <v>700000</v>
      </c>
      <c r="L488" s="141" t="s">
        <v>20</v>
      </c>
      <c r="M488" s="141" t="s">
        <v>20</v>
      </c>
      <c r="N488" s="141" t="s">
        <v>20</v>
      </c>
      <c r="O488" s="141" t="s">
        <v>20</v>
      </c>
      <c r="P488" s="141" t="s">
        <v>20</v>
      </c>
      <c r="Q488" s="141" t="s">
        <v>20</v>
      </c>
    </row>
    <row r="489" spans="2:17" ht="58.5" x14ac:dyDescent="0.25">
      <c r="B489" s="137">
        <v>487</v>
      </c>
      <c r="C489" s="135" t="s">
        <v>321</v>
      </c>
      <c r="D489" s="138" t="s">
        <v>3776</v>
      </c>
      <c r="E489" s="139">
        <v>45453</v>
      </c>
      <c r="F489" s="140">
        <v>0.45208333333333334</v>
      </c>
      <c r="G489" s="138" t="s">
        <v>4372</v>
      </c>
      <c r="H489" s="138" t="s">
        <v>3656</v>
      </c>
      <c r="I489" s="138" t="s">
        <v>4373</v>
      </c>
      <c r="J489" s="142">
        <v>50000</v>
      </c>
      <c r="K489" s="142">
        <v>50000</v>
      </c>
      <c r="L489" s="141" t="s">
        <v>20</v>
      </c>
      <c r="M489" s="141" t="s">
        <v>20</v>
      </c>
      <c r="N489" s="141" t="s">
        <v>20</v>
      </c>
      <c r="O489" s="141" t="s">
        <v>20</v>
      </c>
      <c r="P489" s="141" t="s">
        <v>20</v>
      </c>
      <c r="Q489" s="141" t="s">
        <v>20</v>
      </c>
    </row>
    <row r="490" spans="2:17" ht="58.5" x14ac:dyDescent="0.25">
      <c r="B490" s="137">
        <v>488</v>
      </c>
      <c r="C490" s="135" t="s">
        <v>321</v>
      </c>
      <c r="D490" s="138" t="s">
        <v>3776</v>
      </c>
      <c r="E490" s="139">
        <v>45453</v>
      </c>
      <c r="F490" s="140">
        <v>0.65277777777777779</v>
      </c>
      <c r="G490" s="138" t="s">
        <v>4374</v>
      </c>
      <c r="H490" s="138" t="s">
        <v>3656</v>
      </c>
      <c r="I490" s="138" t="s">
        <v>3897</v>
      </c>
      <c r="J490" s="142">
        <v>1000</v>
      </c>
      <c r="K490" s="142">
        <v>99000</v>
      </c>
      <c r="L490" s="141" t="s">
        <v>20</v>
      </c>
      <c r="M490" s="141" t="s">
        <v>20</v>
      </c>
      <c r="N490" s="141" t="s">
        <v>20</v>
      </c>
      <c r="O490" s="141" t="s">
        <v>20</v>
      </c>
      <c r="P490" s="141" t="s">
        <v>20</v>
      </c>
      <c r="Q490" s="141" t="s">
        <v>20</v>
      </c>
    </row>
    <row r="491" spans="2:17" ht="58.5" x14ac:dyDescent="0.25">
      <c r="B491" s="137">
        <v>489</v>
      </c>
      <c r="C491" s="135" t="s">
        <v>321</v>
      </c>
      <c r="D491" s="138" t="s">
        <v>3776</v>
      </c>
      <c r="E491" s="139">
        <v>45454</v>
      </c>
      <c r="F491" s="140">
        <v>0.49861111111111112</v>
      </c>
      <c r="G491" s="138" t="s">
        <v>4375</v>
      </c>
      <c r="H491" s="138" t="s">
        <v>3656</v>
      </c>
      <c r="I491" s="138" t="s">
        <v>3662</v>
      </c>
      <c r="J491" s="142">
        <v>1000</v>
      </c>
      <c r="K491" s="142">
        <v>99000</v>
      </c>
      <c r="L491" s="141" t="s">
        <v>20</v>
      </c>
      <c r="M491" s="141" t="s">
        <v>20</v>
      </c>
      <c r="N491" s="141" t="s">
        <v>20</v>
      </c>
      <c r="O491" s="141" t="s">
        <v>20</v>
      </c>
      <c r="P491" s="141" t="s">
        <v>20</v>
      </c>
      <c r="Q491" s="141" t="s">
        <v>20</v>
      </c>
    </row>
    <row r="492" spans="2:17" ht="39" x14ac:dyDescent="0.25">
      <c r="B492" s="137">
        <v>490</v>
      </c>
      <c r="C492" s="135" t="s">
        <v>321</v>
      </c>
      <c r="D492" s="138" t="s">
        <v>3776</v>
      </c>
      <c r="E492" s="139">
        <v>45456</v>
      </c>
      <c r="F492" s="140">
        <v>1.4583333333333334E-2</v>
      </c>
      <c r="G492" s="138" t="s">
        <v>4376</v>
      </c>
      <c r="H492" s="138" t="s">
        <v>3876</v>
      </c>
      <c r="I492" s="138" t="s">
        <v>4377</v>
      </c>
      <c r="J492" s="142">
        <v>2000</v>
      </c>
      <c r="K492" s="142">
        <v>98000</v>
      </c>
      <c r="L492" s="141" t="s">
        <v>20</v>
      </c>
      <c r="M492" s="141" t="s">
        <v>20</v>
      </c>
      <c r="N492" s="141" t="s">
        <v>20</v>
      </c>
      <c r="O492" s="141" t="s">
        <v>20</v>
      </c>
      <c r="P492" s="141" t="s">
        <v>20</v>
      </c>
      <c r="Q492" s="141" t="s">
        <v>20</v>
      </c>
    </row>
    <row r="493" spans="2:17" ht="58.5" x14ac:dyDescent="0.25">
      <c r="B493" s="137">
        <v>491</v>
      </c>
      <c r="C493" s="135" t="s">
        <v>321</v>
      </c>
      <c r="D493" s="138" t="s">
        <v>3776</v>
      </c>
      <c r="E493" s="139">
        <v>45459</v>
      </c>
      <c r="F493" s="140">
        <v>0.82638888888888884</v>
      </c>
      <c r="G493" s="138" t="s">
        <v>4378</v>
      </c>
      <c r="H493" s="138" t="s">
        <v>3656</v>
      </c>
      <c r="I493" s="138" t="s">
        <v>3911</v>
      </c>
      <c r="J493" s="142">
        <v>2000</v>
      </c>
      <c r="K493" s="142">
        <v>98000</v>
      </c>
      <c r="L493" s="141" t="s">
        <v>20</v>
      </c>
      <c r="M493" s="141" t="s">
        <v>20</v>
      </c>
      <c r="N493" s="141" t="s">
        <v>20</v>
      </c>
      <c r="O493" s="141" t="s">
        <v>20</v>
      </c>
      <c r="P493" s="141" t="s">
        <v>20</v>
      </c>
      <c r="Q493" s="141" t="s">
        <v>20</v>
      </c>
    </row>
    <row r="494" spans="2:17" ht="29.25" customHeight="1" x14ac:dyDescent="0.25">
      <c r="B494" s="137">
        <v>492</v>
      </c>
      <c r="C494" s="135" t="s">
        <v>321</v>
      </c>
      <c r="D494" s="138" t="s">
        <v>3776</v>
      </c>
      <c r="E494" s="139">
        <v>45460</v>
      </c>
      <c r="F494" s="145">
        <v>0.1</v>
      </c>
      <c r="G494" s="138" t="s">
        <v>4379</v>
      </c>
      <c r="H494" s="138" t="s">
        <v>4218</v>
      </c>
      <c r="I494" s="138" t="s">
        <v>4380</v>
      </c>
      <c r="J494" s="142">
        <v>20000</v>
      </c>
      <c r="K494" s="142">
        <v>80000</v>
      </c>
      <c r="L494" s="141" t="s">
        <v>20</v>
      </c>
      <c r="M494" s="141" t="s">
        <v>20</v>
      </c>
      <c r="N494" s="141" t="s">
        <v>20</v>
      </c>
      <c r="O494" s="141" t="s">
        <v>20</v>
      </c>
      <c r="P494" s="141" t="s">
        <v>20</v>
      </c>
      <c r="Q494" s="141" t="s">
        <v>20</v>
      </c>
    </row>
    <row r="495" spans="2:17" ht="19.5" customHeight="1" x14ac:dyDescent="0.25">
      <c r="B495" s="137">
        <v>493</v>
      </c>
      <c r="C495" s="135" t="s">
        <v>321</v>
      </c>
      <c r="D495" s="138" t="s">
        <v>3776</v>
      </c>
      <c r="E495" s="139"/>
      <c r="F495" s="145"/>
      <c r="G495" s="138"/>
      <c r="H495" s="138"/>
      <c r="I495" s="138"/>
      <c r="J495" s="142"/>
      <c r="K495" s="142"/>
      <c r="L495" s="141"/>
      <c r="M495" s="141"/>
      <c r="N495" s="141"/>
      <c r="O495" s="141"/>
      <c r="P495" s="141"/>
      <c r="Q495" s="141"/>
    </row>
    <row r="496" spans="2:17" ht="58.5" x14ac:dyDescent="0.25">
      <c r="B496" s="137">
        <v>494</v>
      </c>
      <c r="C496" s="135" t="s">
        <v>321</v>
      </c>
      <c r="D496" s="138" t="s">
        <v>3776</v>
      </c>
      <c r="E496" s="139">
        <v>45463</v>
      </c>
      <c r="F496" s="140">
        <v>0.72916666666666663</v>
      </c>
      <c r="G496" s="138" t="s">
        <v>4381</v>
      </c>
      <c r="H496" s="138" t="s">
        <v>4382</v>
      </c>
      <c r="I496" s="138" t="s">
        <v>4383</v>
      </c>
      <c r="J496" s="142" t="s">
        <v>341</v>
      </c>
      <c r="K496" s="142">
        <v>100000</v>
      </c>
      <c r="L496" s="141" t="s">
        <v>20</v>
      </c>
      <c r="M496" s="141" t="s">
        <v>20</v>
      </c>
      <c r="N496" s="141">
        <v>3</v>
      </c>
      <c r="O496" s="141">
        <v>1</v>
      </c>
      <c r="P496" s="141" t="s">
        <v>20</v>
      </c>
      <c r="Q496" s="141" t="s">
        <v>20</v>
      </c>
    </row>
    <row r="497" spans="2:17" ht="58.5" x14ac:dyDescent="0.25">
      <c r="B497" s="137">
        <v>495</v>
      </c>
      <c r="C497" s="135" t="s">
        <v>321</v>
      </c>
      <c r="D497" s="138" t="s">
        <v>3776</v>
      </c>
      <c r="E497" s="139">
        <v>45465</v>
      </c>
      <c r="F497" s="140">
        <v>7.9861111111111105E-2</v>
      </c>
      <c r="G497" s="138" t="s">
        <v>4384</v>
      </c>
      <c r="H497" s="138" t="s">
        <v>4385</v>
      </c>
      <c r="I497" s="138" t="s">
        <v>4386</v>
      </c>
      <c r="J497" s="142">
        <v>950000</v>
      </c>
      <c r="K497" s="142">
        <v>550000</v>
      </c>
      <c r="L497" s="141" t="s">
        <v>20</v>
      </c>
      <c r="M497" s="141">
        <v>7</v>
      </c>
      <c r="N497" s="141" t="s">
        <v>20</v>
      </c>
      <c r="O497" s="141" t="s">
        <v>20</v>
      </c>
      <c r="P497" s="141" t="s">
        <v>20</v>
      </c>
      <c r="Q497" s="141">
        <v>2</v>
      </c>
    </row>
    <row r="498" spans="2:17" ht="29.25" customHeight="1" x14ac:dyDescent="0.25">
      <c r="B498" s="137">
        <v>496</v>
      </c>
      <c r="C498" s="135" t="s">
        <v>321</v>
      </c>
      <c r="D498" s="138" t="s">
        <v>3721</v>
      </c>
      <c r="E498" s="139">
        <v>45444</v>
      </c>
      <c r="F498" s="145">
        <v>0.9375</v>
      </c>
      <c r="G498" s="138" t="s">
        <v>4387</v>
      </c>
      <c r="H498" s="138" t="s">
        <v>3659</v>
      </c>
      <c r="I498" s="138" t="s">
        <v>4228</v>
      </c>
      <c r="J498" s="142">
        <v>1000</v>
      </c>
      <c r="K498" s="142">
        <v>99000</v>
      </c>
      <c r="L498" s="141" t="s">
        <v>20</v>
      </c>
      <c r="M498" s="141" t="s">
        <v>20</v>
      </c>
      <c r="N498" s="141" t="s">
        <v>20</v>
      </c>
      <c r="O498" s="141" t="s">
        <v>20</v>
      </c>
      <c r="P498" s="141" t="s">
        <v>20</v>
      </c>
      <c r="Q498" s="141" t="s">
        <v>20</v>
      </c>
    </row>
    <row r="499" spans="2:17" ht="17.25" customHeight="1" x14ac:dyDescent="0.25">
      <c r="B499" s="137">
        <v>497</v>
      </c>
      <c r="C499" s="135" t="s">
        <v>321</v>
      </c>
      <c r="D499" s="138" t="s">
        <v>3721</v>
      </c>
      <c r="E499" s="139"/>
      <c r="F499" s="145"/>
      <c r="G499" s="138"/>
      <c r="H499" s="138"/>
      <c r="I499" s="138"/>
      <c r="J499" s="142"/>
      <c r="K499" s="142"/>
      <c r="L499" s="141"/>
      <c r="M499" s="141"/>
      <c r="N499" s="141"/>
      <c r="O499" s="141"/>
      <c r="P499" s="141"/>
      <c r="Q499" s="141"/>
    </row>
    <row r="500" spans="2:17" ht="58.5" x14ac:dyDescent="0.25">
      <c r="B500" s="137">
        <v>498</v>
      </c>
      <c r="C500" s="135" t="s">
        <v>321</v>
      </c>
      <c r="D500" s="138" t="s">
        <v>3721</v>
      </c>
      <c r="E500" s="139">
        <v>45445</v>
      </c>
      <c r="F500" s="140">
        <v>0.10347222222222222</v>
      </c>
      <c r="G500" s="138" t="s">
        <v>4388</v>
      </c>
      <c r="H500" s="138" t="s">
        <v>4389</v>
      </c>
      <c r="I500" s="138" t="s">
        <v>4390</v>
      </c>
      <c r="J500" s="142">
        <v>20000</v>
      </c>
      <c r="K500" s="142">
        <v>980000</v>
      </c>
      <c r="L500" s="141" t="s">
        <v>20</v>
      </c>
      <c r="M500" s="141" t="s">
        <v>20</v>
      </c>
      <c r="N500" s="141" t="s">
        <v>20</v>
      </c>
      <c r="O500" s="141" t="s">
        <v>20</v>
      </c>
      <c r="P500" s="141" t="s">
        <v>20</v>
      </c>
      <c r="Q500" s="141" t="s">
        <v>20</v>
      </c>
    </row>
    <row r="501" spans="2:17" ht="39" x14ac:dyDescent="0.25">
      <c r="B501" s="137">
        <v>499</v>
      </c>
      <c r="C501" s="135" t="s">
        <v>321</v>
      </c>
      <c r="D501" s="138" t="s">
        <v>3721</v>
      </c>
      <c r="E501" s="139">
        <v>45446</v>
      </c>
      <c r="F501" s="140">
        <v>0.9819444444444444</v>
      </c>
      <c r="G501" s="138" t="s">
        <v>4391</v>
      </c>
      <c r="H501" s="138" t="s">
        <v>3659</v>
      </c>
      <c r="I501" s="138" t="s">
        <v>4392</v>
      </c>
      <c r="J501" s="142">
        <v>900000</v>
      </c>
      <c r="K501" s="142">
        <v>600000</v>
      </c>
      <c r="L501" s="141" t="s">
        <v>20</v>
      </c>
      <c r="M501" s="141" t="s">
        <v>20</v>
      </c>
      <c r="N501" s="141" t="s">
        <v>20</v>
      </c>
      <c r="O501" s="141" t="s">
        <v>20</v>
      </c>
      <c r="P501" s="141" t="s">
        <v>20</v>
      </c>
      <c r="Q501" s="141" t="s">
        <v>20</v>
      </c>
    </row>
    <row r="502" spans="2:17" ht="58.5" x14ac:dyDescent="0.25">
      <c r="B502" s="137">
        <v>500</v>
      </c>
      <c r="C502" s="135" t="s">
        <v>321</v>
      </c>
      <c r="D502" s="138" t="s">
        <v>3721</v>
      </c>
      <c r="E502" s="139">
        <v>45449</v>
      </c>
      <c r="F502" s="140">
        <v>0.84513888888888888</v>
      </c>
      <c r="G502" s="138" t="s">
        <v>4393</v>
      </c>
      <c r="H502" s="138" t="s">
        <v>3656</v>
      </c>
      <c r="I502" s="138" t="s">
        <v>4228</v>
      </c>
      <c r="J502" s="142">
        <v>3500</v>
      </c>
      <c r="K502" s="142">
        <v>996500</v>
      </c>
      <c r="L502" s="141" t="s">
        <v>20</v>
      </c>
      <c r="M502" s="141" t="s">
        <v>20</v>
      </c>
      <c r="N502" s="141" t="s">
        <v>20</v>
      </c>
      <c r="O502" s="141" t="s">
        <v>20</v>
      </c>
      <c r="P502" s="141" t="s">
        <v>20</v>
      </c>
      <c r="Q502" s="141" t="s">
        <v>20</v>
      </c>
    </row>
    <row r="503" spans="2:17" ht="39" x14ac:dyDescent="0.25">
      <c r="B503" s="137">
        <v>501</v>
      </c>
      <c r="C503" s="135" t="s">
        <v>321</v>
      </c>
      <c r="D503" s="138" t="s">
        <v>3721</v>
      </c>
      <c r="E503" s="139">
        <v>45454</v>
      </c>
      <c r="F503" s="140">
        <v>0.96319444444444446</v>
      </c>
      <c r="G503" s="138" t="s">
        <v>4394</v>
      </c>
      <c r="H503" s="138" t="s">
        <v>4395</v>
      </c>
      <c r="I503" s="138" t="s">
        <v>4396</v>
      </c>
      <c r="J503" s="142">
        <v>150000</v>
      </c>
      <c r="K503" s="142">
        <v>550000</v>
      </c>
      <c r="L503" s="141" t="s">
        <v>20</v>
      </c>
      <c r="M503" s="141" t="s">
        <v>20</v>
      </c>
      <c r="N503" s="141" t="s">
        <v>20</v>
      </c>
      <c r="O503" s="141" t="s">
        <v>20</v>
      </c>
      <c r="P503" s="141" t="s">
        <v>20</v>
      </c>
      <c r="Q503" s="141" t="s">
        <v>20</v>
      </c>
    </row>
    <row r="504" spans="2:17" ht="29.25" customHeight="1" x14ac:dyDescent="0.25">
      <c r="B504" s="137">
        <v>502</v>
      </c>
      <c r="C504" s="135" t="s">
        <v>321</v>
      </c>
      <c r="D504" s="138" t="s">
        <v>3721</v>
      </c>
      <c r="E504" s="139">
        <v>45455</v>
      </c>
      <c r="F504" s="145">
        <v>0.61805555555555558</v>
      </c>
      <c r="G504" s="138" t="s">
        <v>4397</v>
      </c>
      <c r="H504" s="138" t="s">
        <v>3656</v>
      </c>
      <c r="I504" s="138" t="s">
        <v>4228</v>
      </c>
      <c r="J504" s="142" t="s">
        <v>341</v>
      </c>
      <c r="K504" s="142">
        <v>1000000</v>
      </c>
      <c r="L504" s="141" t="s">
        <v>20</v>
      </c>
      <c r="M504" s="141" t="s">
        <v>20</v>
      </c>
      <c r="N504" s="141" t="s">
        <v>20</v>
      </c>
      <c r="O504" s="141" t="s">
        <v>20</v>
      </c>
      <c r="P504" s="141" t="s">
        <v>20</v>
      </c>
      <c r="Q504" s="141" t="s">
        <v>20</v>
      </c>
    </row>
    <row r="505" spans="2:17" ht="17.25" customHeight="1" x14ac:dyDescent="0.25">
      <c r="B505" s="137">
        <v>503</v>
      </c>
      <c r="C505" s="135" t="s">
        <v>321</v>
      </c>
      <c r="D505" s="138" t="s">
        <v>3721</v>
      </c>
      <c r="E505" s="139"/>
      <c r="F505" s="145"/>
      <c r="G505" s="138"/>
      <c r="H505" s="138"/>
      <c r="I505" s="138"/>
      <c r="J505" s="142"/>
      <c r="K505" s="142"/>
      <c r="L505" s="141"/>
      <c r="M505" s="141"/>
      <c r="N505" s="141"/>
      <c r="O505" s="141"/>
      <c r="P505" s="141"/>
      <c r="Q505" s="141"/>
    </row>
    <row r="506" spans="2:17" ht="39" x14ac:dyDescent="0.25">
      <c r="B506" s="137">
        <v>504</v>
      </c>
      <c r="C506" s="135" t="s">
        <v>321</v>
      </c>
      <c r="D506" s="138" t="s">
        <v>3721</v>
      </c>
      <c r="E506" s="139">
        <v>45470</v>
      </c>
      <c r="F506" s="140">
        <v>0.48402777777777778</v>
      </c>
      <c r="G506" s="138" t="s">
        <v>4398</v>
      </c>
      <c r="H506" s="138" t="s">
        <v>3659</v>
      </c>
      <c r="I506" s="138" t="s">
        <v>4399</v>
      </c>
      <c r="J506" s="142">
        <v>250000</v>
      </c>
      <c r="K506" s="142">
        <v>100000</v>
      </c>
      <c r="L506" s="141" t="s">
        <v>20</v>
      </c>
      <c r="M506" s="141" t="s">
        <v>20</v>
      </c>
      <c r="N506" s="141" t="s">
        <v>20</v>
      </c>
      <c r="O506" s="141" t="s">
        <v>20</v>
      </c>
      <c r="P506" s="141" t="s">
        <v>20</v>
      </c>
      <c r="Q506" s="141" t="s">
        <v>20</v>
      </c>
    </row>
    <row r="507" spans="2:17" ht="58.5" x14ac:dyDescent="0.25">
      <c r="B507" s="137">
        <v>505</v>
      </c>
      <c r="C507" s="135" t="s">
        <v>321</v>
      </c>
      <c r="D507" s="135" t="s">
        <v>580</v>
      </c>
      <c r="E507" s="139">
        <v>45444</v>
      </c>
      <c r="F507" s="140">
        <v>0.34375</v>
      </c>
      <c r="G507" s="138" t="s">
        <v>4400</v>
      </c>
      <c r="H507" s="138" t="s">
        <v>4401</v>
      </c>
      <c r="I507" s="138" t="s">
        <v>4402</v>
      </c>
      <c r="J507" s="142">
        <v>150000</v>
      </c>
      <c r="K507" s="142">
        <v>50000</v>
      </c>
      <c r="L507" s="141" t="s">
        <v>20</v>
      </c>
      <c r="M507" s="141" t="s">
        <v>20</v>
      </c>
      <c r="N507" s="141" t="s">
        <v>20</v>
      </c>
      <c r="O507" s="141" t="s">
        <v>20</v>
      </c>
      <c r="P507" s="141" t="s">
        <v>20</v>
      </c>
      <c r="Q507" s="141" t="s">
        <v>20</v>
      </c>
    </row>
    <row r="508" spans="2:17" ht="58.5" x14ac:dyDescent="0.25">
      <c r="B508" s="137">
        <v>506</v>
      </c>
      <c r="C508" s="135" t="s">
        <v>321</v>
      </c>
      <c r="D508" s="135" t="s">
        <v>580</v>
      </c>
      <c r="E508" s="139">
        <v>45445</v>
      </c>
      <c r="F508" s="140">
        <v>0.64583333333333337</v>
      </c>
      <c r="G508" s="138" t="s">
        <v>4403</v>
      </c>
      <c r="H508" s="138" t="s">
        <v>3795</v>
      </c>
      <c r="I508" s="138" t="s">
        <v>3796</v>
      </c>
      <c r="J508" s="142"/>
      <c r="K508" s="142"/>
      <c r="L508" s="141" t="s">
        <v>20</v>
      </c>
      <c r="M508" s="141" t="s">
        <v>20</v>
      </c>
      <c r="N508" s="141" t="s">
        <v>20</v>
      </c>
      <c r="O508" s="141" t="s">
        <v>20</v>
      </c>
      <c r="P508" s="141" t="s">
        <v>20</v>
      </c>
      <c r="Q508" s="141" t="s">
        <v>20</v>
      </c>
    </row>
    <row r="509" spans="2:17" ht="58.5" x14ac:dyDescent="0.25">
      <c r="B509" s="137">
        <v>507</v>
      </c>
      <c r="C509" s="135" t="s">
        <v>321</v>
      </c>
      <c r="D509" s="135" t="s">
        <v>580</v>
      </c>
      <c r="E509" s="139">
        <v>45418</v>
      </c>
      <c r="F509" s="140">
        <v>0.75416666666666665</v>
      </c>
      <c r="G509" s="138" t="s">
        <v>4404</v>
      </c>
      <c r="H509" s="138" t="s">
        <v>4292</v>
      </c>
      <c r="I509" s="138" t="s">
        <v>3796</v>
      </c>
      <c r="J509" s="142"/>
      <c r="K509" s="142"/>
      <c r="L509" s="141" t="s">
        <v>20</v>
      </c>
      <c r="M509" s="141" t="s">
        <v>20</v>
      </c>
      <c r="N509" s="141" t="s">
        <v>20</v>
      </c>
      <c r="O509" s="141" t="s">
        <v>20</v>
      </c>
      <c r="P509" s="141" t="s">
        <v>20</v>
      </c>
      <c r="Q509" s="141" t="s">
        <v>20</v>
      </c>
    </row>
    <row r="510" spans="2:17" ht="78" x14ac:dyDescent="0.25">
      <c r="B510" s="137">
        <v>508</v>
      </c>
      <c r="C510" s="135" t="s">
        <v>321</v>
      </c>
      <c r="D510" s="135" t="s">
        <v>580</v>
      </c>
      <c r="E510" s="139">
        <v>45450</v>
      </c>
      <c r="F510" s="140">
        <v>0.40625</v>
      </c>
      <c r="G510" s="138" t="s">
        <v>4405</v>
      </c>
      <c r="H510" s="138" t="s">
        <v>3795</v>
      </c>
      <c r="I510" s="138" t="s">
        <v>3796</v>
      </c>
      <c r="J510" s="142"/>
      <c r="K510" s="142"/>
      <c r="L510" s="141" t="s">
        <v>20</v>
      </c>
      <c r="M510" s="141" t="s">
        <v>20</v>
      </c>
      <c r="N510" s="141" t="s">
        <v>20</v>
      </c>
      <c r="O510" s="141" t="s">
        <v>20</v>
      </c>
      <c r="P510" s="141" t="s">
        <v>20</v>
      </c>
      <c r="Q510" s="141" t="s">
        <v>20</v>
      </c>
    </row>
    <row r="511" spans="2:17" ht="78" x14ac:dyDescent="0.25">
      <c r="B511" s="137">
        <v>509</v>
      </c>
      <c r="C511" s="135" t="s">
        <v>321</v>
      </c>
      <c r="D511" s="135" t="s">
        <v>580</v>
      </c>
      <c r="E511" s="139">
        <v>45450</v>
      </c>
      <c r="F511" s="140">
        <v>0.55138888888888893</v>
      </c>
      <c r="G511" s="138" t="s">
        <v>4405</v>
      </c>
      <c r="H511" s="138" t="s">
        <v>3795</v>
      </c>
      <c r="I511" s="138" t="s">
        <v>3796</v>
      </c>
      <c r="J511" s="142"/>
      <c r="K511" s="142"/>
      <c r="L511" s="141" t="s">
        <v>20</v>
      </c>
      <c r="M511" s="141" t="s">
        <v>20</v>
      </c>
      <c r="N511" s="141" t="s">
        <v>20</v>
      </c>
      <c r="O511" s="141" t="s">
        <v>20</v>
      </c>
      <c r="P511" s="141" t="s">
        <v>20</v>
      </c>
      <c r="Q511" s="141" t="s">
        <v>20</v>
      </c>
    </row>
    <row r="512" spans="2:17" ht="58.5" x14ac:dyDescent="0.25">
      <c r="B512" s="137">
        <v>510</v>
      </c>
      <c r="C512" s="135" t="s">
        <v>321</v>
      </c>
      <c r="D512" s="135" t="s">
        <v>580</v>
      </c>
      <c r="E512" s="139">
        <v>45451</v>
      </c>
      <c r="F512" s="140">
        <v>0.42708333333333331</v>
      </c>
      <c r="G512" s="138" t="s">
        <v>4406</v>
      </c>
      <c r="H512" s="138" t="s">
        <v>3795</v>
      </c>
      <c r="I512" s="138" t="s">
        <v>3796</v>
      </c>
      <c r="J512" s="142"/>
      <c r="K512" s="142"/>
      <c r="L512" s="141" t="s">
        <v>20</v>
      </c>
      <c r="M512" s="141" t="s">
        <v>20</v>
      </c>
      <c r="N512" s="141" t="s">
        <v>20</v>
      </c>
      <c r="O512" s="141" t="s">
        <v>20</v>
      </c>
      <c r="P512" s="141" t="s">
        <v>20</v>
      </c>
      <c r="Q512" s="141" t="s">
        <v>20</v>
      </c>
    </row>
    <row r="513" spans="2:17" ht="58.5" x14ac:dyDescent="0.25">
      <c r="B513" s="137">
        <v>511</v>
      </c>
      <c r="C513" s="135" t="s">
        <v>321</v>
      </c>
      <c r="D513" s="135" t="s">
        <v>580</v>
      </c>
      <c r="E513" s="139">
        <v>45456</v>
      </c>
      <c r="F513" s="140">
        <v>0.57499999999999996</v>
      </c>
      <c r="G513" s="138" t="s">
        <v>4407</v>
      </c>
      <c r="H513" s="138" t="s">
        <v>3795</v>
      </c>
      <c r="I513" s="138" t="s">
        <v>3796</v>
      </c>
      <c r="J513" s="142"/>
      <c r="K513" s="142"/>
      <c r="L513" s="141" t="s">
        <v>20</v>
      </c>
      <c r="M513" s="141" t="s">
        <v>20</v>
      </c>
      <c r="N513" s="141" t="s">
        <v>20</v>
      </c>
      <c r="O513" s="141" t="s">
        <v>20</v>
      </c>
      <c r="P513" s="141" t="s">
        <v>20</v>
      </c>
      <c r="Q513" s="141" t="s">
        <v>20</v>
      </c>
    </row>
    <row r="514" spans="2:17" ht="58.5" x14ac:dyDescent="0.25">
      <c r="B514" s="137">
        <v>512</v>
      </c>
      <c r="C514" s="135" t="s">
        <v>321</v>
      </c>
      <c r="D514" s="135" t="s">
        <v>580</v>
      </c>
      <c r="E514" s="139">
        <v>45460</v>
      </c>
      <c r="F514" s="140">
        <v>0.52222222222222225</v>
      </c>
      <c r="G514" s="138" t="s">
        <v>4408</v>
      </c>
      <c r="H514" s="138" t="s">
        <v>4401</v>
      </c>
      <c r="I514" s="138" t="s">
        <v>4409</v>
      </c>
      <c r="J514" s="142">
        <v>100000</v>
      </c>
      <c r="K514" s="142">
        <v>20000</v>
      </c>
      <c r="L514" s="141" t="s">
        <v>20</v>
      </c>
      <c r="M514" s="141" t="s">
        <v>20</v>
      </c>
      <c r="N514" s="141" t="s">
        <v>20</v>
      </c>
      <c r="O514" s="141" t="s">
        <v>20</v>
      </c>
      <c r="P514" s="141" t="s">
        <v>20</v>
      </c>
      <c r="Q514" s="141" t="s">
        <v>20</v>
      </c>
    </row>
    <row r="515" spans="2:17" ht="21" x14ac:dyDescent="0.25">
      <c r="B515" s="137">
        <v>513</v>
      </c>
      <c r="C515" s="135" t="s">
        <v>321</v>
      </c>
      <c r="D515" s="138" t="s">
        <v>307</v>
      </c>
      <c r="E515" s="139">
        <v>45448</v>
      </c>
      <c r="F515" s="140">
        <v>0.48472222222222222</v>
      </c>
      <c r="G515" s="138" t="s">
        <v>497</v>
      </c>
      <c r="H515" s="138" t="s">
        <v>498</v>
      </c>
      <c r="I515" s="138" t="s">
        <v>499</v>
      </c>
      <c r="J515" s="142">
        <v>5000</v>
      </c>
      <c r="K515" s="142">
        <v>45000</v>
      </c>
      <c r="L515" s="141" t="s">
        <v>20</v>
      </c>
      <c r="M515" s="141" t="s">
        <v>20</v>
      </c>
      <c r="N515" s="141" t="s">
        <v>20</v>
      </c>
      <c r="O515" s="141" t="s">
        <v>20</v>
      </c>
      <c r="P515" s="141" t="s">
        <v>20</v>
      </c>
      <c r="Q515" s="141" t="s">
        <v>20</v>
      </c>
    </row>
    <row r="516" spans="2:17" ht="39" x14ac:dyDescent="0.25">
      <c r="B516" s="137">
        <v>514</v>
      </c>
      <c r="C516" s="135" t="s">
        <v>321</v>
      </c>
      <c r="D516" s="138" t="s">
        <v>307</v>
      </c>
      <c r="E516" s="139">
        <v>45453</v>
      </c>
      <c r="F516" s="140">
        <v>0.25486111111111109</v>
      </c>
      <c r="G516" s="138" t="s">
        <v>4410</v>
      </c>
      <c r="H516" s="138" t="s">
        <v>500</v>
      </c>
      <c r="I516" s="138" t="s">
        <v>501</v>
      </c>
      <c r="J516" s="142">
        <v>20000</v>
      </c>
      <c r="K516" s="142">
        <v>500000</v>
      </c>
      <c r="L516" s="141" t="s">
        <v>20</v>
      </c>
      <c r="M516" s="141" t="s">
        <v>20</v>
      </c>
      <c r="N516" s="141" t="s">
        <v>20</v>
      </c>
      <c r="O516" s="141" t="s">
        <v>20</v>
      </c>
      <c r="P516" s="141" t="s">
        <v>20</v>
      </c>
      <c r="Q516" s="141" t="s">
        <v>20</v>
      </c>
    </row>
    <row r="517" spans="2:17" ht="21" x14ac:dyDescent="0.25">
      <c r="B517" s="137">
        <v>515</v>
      </c>
      <c r="C517" s="135" t="s">
        <v>321</v>
      </c>
      <c r="D517" s="138" t="s">
        <v>307</v>
      </c>
      <c r="E517" s="139">
        <v>45454</v>
      </c>
      <c r="F517" s="140">
        <v>0.77013888888888893</v>
      </c>
      <c r="G517" s="138" t="s">
        <v>4411</v>
      </c>
      <c r="H517" s="138" t="s">
        <v>502</v>
      </c>
      <c r="I517" s="138" t="s">
        <v>503</v>
      </c>
      <c r="J517" s="142">
        <v>20000</v>
      </c>
      <c r="K517" s="142">
        <v>50000</v>
      </c>
      <c r="L517" s="141" t="s">
        <v>20</v>
      </c>
      <c r="M517" s="141" t="s">
        <v>20</v>
      </c>
      <c r="N517" s="141" t="s">
        <v>20</v>
      </c>
      <c r="O517" s="141" t="s">
        <v>20</v>
      </c>
      <c r="P517" s="141" t="s">
        <v>20</v>
      </c>
      <c r="Q517" s="141" t="s">
        <v>20</v>
      </c>
    </row>
    <row r="518" spans="2:17" ht="21" x14ac:dyDescent="0.25">
      <c r="B518" s="137">
        <v>516</v>
      </c>
      <c r="C518" s="135" t="s">
        <v>321</v>
      </c>
      <c r="D518" s="138" t="s">
        <v>307</v>
      </c>
      <c r="E518" s="139">
        <v>45455</v>
      </c>
      <c r="F518" s="140">
        <v>0.3888888888888889</v>
      </c>
      <c r="G518" s="138" t="s">
        <v>4412</v>
      </c>
      <c r="H518" s="138" t="s">
        <v>504</v>
      </c>
      <c r="I518" s="138" t="s">
        <v>482</v>
      </c>
      <c r="J518" s="142">
        <v>200000</v>
      </c>
      <c r="K518" s="142">
        <v>500000</v>
      </c>
      <c r="L518" s="141" t="s">
        <v>20</v>
      </c>
      <c r="M518" s="141" t="s">
        <v>20</v>
      </c>
      <c r="N518" s="141" t="s">
        <v>20</v>
      </c>
      <c r="O518" s="141" t="s">
        <v>20</v>
      </c>
      <c r="P518" s="141" t="s">
        <v>20</v>
      </c>
      <c r="Q518" s="141" t="s">
        <v>20</v>
      </c>
    </row>
    <row r="519" spans="2:17" ht="39" x14ac:dyDescent="0.25">
      <c r="B519" s="137">
        <v>517</v>
      </c>
      <c r="C519" s="135" t="s">
        <v>321</v>
      </c>
      <c r="D519" s="138" t="s">
        <v>307</v>
      </c>
      <c r="E519" s="139">
        <v>45455</v>
      </c>
      <c r="F519" s="140"/>
      <c r="G519" s="138" t="s">
        <v>4410</v>
      </c>
      <c r="H519" s="138" t="s">
        <v>500</v>
      </c>
      <c r="I519" s="138" t="s">
        <v>501</v>
      </c>
      <c r="J519" s="142">
        <v>50000</v>
      </c>
      <c r="K519" s="142">
        <v>500000</v>
      </c>
      <c r="L519" s="141" t="s">
        <v>20</v>
      </c>
      <c r="M519" s="141" t="s">
        <v>20</v>
      </c>
      <c r="N519" s="141" t="s">
        <v>20</v>
      </c>
      <c r="O519" s="141" t="s">
        <v>20</v>
      </c>
      <c r="P519" s="141" t="s">
        <v>20</v>
      </c>
      <c r="Q519" s="141" t="s">
        <v>20</v>
      </c>
    </row>
    <row r="520" spans="2:17" ht="58.5" x14ac:dyDescent="0.25">
      <c r="B520" s="137">
        <v>518</v>
      </c>
      <c r="C520" s="135" t="s">
        <v>321</v>
      </c>
      <c r="D520" s="138" t="s">
        <v>307</v>
      </c>
      <c r="E520" s="139">
        <v>45455</v>
      </c>
      <c r="F520" s="140">
        <v>0.61527777777777781</v>
      </c>
      <c r="G520" s="138" t="s">
        <v>4413</v>
      </c>
      <c r="H520" s="138" t="s">
        <v>505</v>
      </c>
      <c r="I520" s="138" t="s">
        <v>506</v>
      </c>
      <c r="J520" s="142">
        <v>100000</v>
      </c>
      <c r="K520" s="142">
        <v>400000</v>
      </c>
      <c r="L520" s="141" t="s">
        <v>20</v>
      </c>
      <c r="M520" s="141" t="s">
        <v>20</v>
      </c>
      <c r="N520" s="141" t="s">
        <v>20</v>
      </c>
      <c r="O520" s="141" t="s">
        <v>20</v>
      </c>
      <c r="P520" s="141" t="s">
        <v>20</v>
      </c>
      <c r="Q520" s="141" t="s">
        <v>20</v>
      </c>
    </row>
    <row r="521" spans="2:17" ht="39" x14ac:dyDescent="0.25">
      <c r="B521" s="137">
        <v>519</v>
      </c>
      <c r="C521" s="135" t="s">
        <v>321</v>
      </c>
      <c r="D521" s="138" t="s">
        <v>307</v>
      </c>
      <c r="E521" s="139">
        <v>45455</v>
      </c>
      <c r="F521" s="140">
        <v>0.77083333333333337</v>
      </c>
      <c r="G521" s="138" t="s">
        <v>4414</v>
      </c>
      <c r="H521" s="138" t="s">
        <v>507</v>
      </c>
      <c r="I521" s="138" t="s">
        <v>508</v>
      </c>
      <c r="J521" s="142">
        <v>20000</v>
      </c>
      <c r="K521" s="142">
        <v>100000</v>
      </c>
      <c r="L521" s="141" t="s">
        <v>20</v>
      </c>
      <c r="M521" s="141" t="s">
        <v>20</v>
      </c>
      <c r="N521" s="141" t="s">
        <v>20</v>
      </c>
      <c r="O521" s="141" t="s">
        <v>20</v>
      </c>
      <c r="P521" s="141" t="s">
        <v>20</v>
      </c>
      <c r="Q521" s="141" t="s">
        <v>20</v>
      </c>
    </row>
    <row r="522" spans="2:17" ht="19.5" customHeight="1" x14ac:dyDescent="0.25">
      <c r="B522" s="137">
        <v>520</v>
      </c>
      <c r="C522" s="135" t="s">
        <v>321</v>
      </c>
      <c r="D522" s="138" t="s">
        <v>307</v>
      </c>
      <c r="E522" s="139">
        <v>45457</v>
      </c>
      <c r="F522" s="145">
        <v>0.68541666666666667</v>
      </c>
      <c r="G522" s="138" t="s">
        <v>509</v>
      </c>
      <c r="H522" s="138" t="s">
        <v>507</v>
      </c>
      <c r="I522" s="138" t="s">
        <v>510</v>
      </c>
      <c r="J522" s="142"/>
      <c r="K522" s="142">
        <v>50000</v>
      </c>
      <c r="L522" s="141" t="s">
        <v>20</v>
      </c>
      <c r="M522" s="141" t="s">
        <v>20</v>
      </c>
      <c r="N522" s="141" t="s">
        <v>20</v>
      </c>
      <c r="O522" s="141" t="s">
        <v>20</v>
      </c>
      <c r="P522" s="141" t="s">
        <v>20</v>
      </c>
      <c r="Q522" s="141" t="s">
        <v>20</v>
      </c>
    </row>
    <row r="523" spans="2:17" ht="17.25" customHeight="1" x14ac:dyDescent="0.25">
      <c r="B523" s="137">
        <v>521</v>
      </c>
      <c r="C523" s="135" t="s">
        <v>321</v>
      </c>
      <c r="D523" s="138" t="s">
        <v>307</v>
      </c>
      <c r="E523" s="139"/>
      <c r="F523" s="145"/>
      <c r="G523" s="138"/>
      <c r="H523" s="138"/>
      <c r="I523" s="138"/>
      <c r="J523" s="142">
        <v>25000</v>
      </c>
      <c r="K523" s="142"/>
      <c r="L523" s="141"/>
      <c r="M523" s="141"/>
      <c r="N523" s="141"/>
      <c r="O523" s="141"/>
      <c r="P523" s="141"/>
      <c r="Q523" s="141"/>
    </row>
    <row r="524" spans="2:17" ht="39" x14ac:dyDescent="0.25">
      <c r="B524" s="137">
        <v>522</v>
      </c>
      <c r="C524" s="135" t="s">
        <v>321</v>
      </c>
      <c r="D524" s="138" t="s">
        <v>307</v>
      </c>
      <c r="E524" s="139">
        <v>45458</v>
      </c>
      <c r="F524" s="140">
        <v>0.64930555555555558</v>
      </c>
      <c r="G524" s="138" t="s">
        <v>4415</v>
      </c>
      <c r="H524" s="138" t="s">
        <v>507</v>
      </c>
      <c r="I524" s="138" t="s">
        <v>499</v>
      </c>
      <c r="J524" s="142">
        <v>10000</v>
      </c>
      <c r="K524" s="142">
        <v>200000</v>
      </c>
      <c r="L524" s="141" t="s">
        <v>20</v>
      </c>
      <c r="M524" s="141" t="s">
        <v>20</v>
      </c>
      <c r="N524" s="141" t="s">
        <v>20</v>
      </c>
      <c r="O524" s="141" t="s">
        <v>20</v>
      </c>
      <c r="P524" s="141" t="s">
        <v>20</v>
      </c>
      <c r="Q524" s="141" t="s">
        <v>20</v>
      </c>
    </row>
    <row r="525" spans="2:17" ht="39" x14ac:dyDescent="0.25">
      <c r="B525" s="137">
        <v>523</v>
      </c>
      <c r="C525" s="135" t="s">
        <v>321</v>
      </c>
      <c r="D525" s="138" t="s">
        <v>3685</v>
      </c>
      <c r="E525" s="139">
        <v>45444</v>
      </c>
      <c r="F525" s="140">
        <v>0.52361111111111114</v>
      </c>
      <c r="G525" s="138" t="s">
        <v>3768</v>
      </c>
      <c r="H525" s="138" t="s">
        <v>4759</v>
      </c>
      <c r="I525" s="138" t="s">
        <v>2019</v>
      </c>
      <c r="J525" s="142" t="s">
        <v>341</v>
      </c>
      <c r="K525" s="142" t="s">
        <v>341</v>
      </c>
      <c r="L525" s="141" t="s">
        <v>20</v>
      </c>
      <c r="M525" s="141" t="s">
        <v>20</v>
      </c>
      <c r="N525" s="141" t="s">
        <v>20</v>
      </c>
      <c r="O525" s="141" t="s">
        <v>20</v>
      </c>
      <c r="P525" s="141" t="s">
        <v>20</v>
      </c>
      <c r="Q525" s="141" t="s">
        <v>20</v>
      </c>
    </row>
    <row r="526" spans="2:17" ht="39" x14ac:dyDescent="0.25">
      <c r="B526" s="137">
        <v>524</v>
      </c>
      <c r="C526" s="135" t="s">
        <v>321</v>
      </c>
      <c r="D526" s="138" t="s">
        <v>3685</v>
      </c>
      <c r="E526" s="139">
        <v>45444</v>
      </c>
      <c r="F526" s="140">
        <v>0.8618055555555556</v>
      </c>
      <c r="G526" s="138" t="s">
        <v>3768</v>
      </c>
      <c r="H526" s="138" t="s">
        <v>4759</v>
      </c>
      <c r="I526" s="138" t="s">
        <v>2019</v>
      </c>
      <c r="J526" s="142" t="s">
        <v>341</v>
      </c>
      <c r="K526" s="142" t="s">
        <v>341</v>
      </c>
      <c r="L526" s="141" t="s">
        <v>20</v>
      </c>
      <c r="M526" s="141" t="s">
        <v>20</v>
      </c>
      <c r="N526" s="141" t="s">
        <v>20</v>
      </c>
      <c r="O526" s="141" t="s">
        <v>20</v>
      </c>
      <c r="P526" s="141" t="s">
        <v>20</v>
      </c>
      <c r="Q526" s="141" t="s">
        <v>20</v>
      </c>
    </row>
    <row r="527" spans="2:17" ht="39" x14ac:dyDescent="0.25">
      <c r="B527" s="137">
        <v>525</v>
      </c>
      <c r="C527" s="135" t="s">
        <v>321</v>
      </c>
      <c r="D527" s="138" t="s">
        <v>3685</v>
      </c>
      <c r="E527" s="139">
        <v>45446</v>
      </c>
      <c r="F527" s="140">
        <v>0.50694444444444442</v>
      </c>
      <c r="G527" s="138" t="s">
        <v>4416</v>
      </c>
      <c r="H527" s="138" t="s">
        <v>4759</v>
      </c>
      <c r="I527" s="138" t="s">
        <v>2757</v>
      </c>
      <c r="J527" s="142" t="s">
        <v>341</v>
      </c>
      <c r="K527" s="142" t="s">
        <v>341</v>
      </c>
      <c r="L527" s="141" t="s">
        <v>20</v>
      </c>
      <c r="M527" s="141" t="s">
        <v>20</v>
      </c>
      <c r="N527" s="141" t="s">
        <v>20</v>
      </c>
      <c r="O527" s="141" t="s">
        <v>20</v>
      </c>
      <c r="P527" s="141" t="s">
        <v>20</v>
      </c>
      <c r="Q527" s="141" t="s">
        <v>20</v>
      </c>
    </row>
    <row r="528" spans="2:17" ht="58.5" x14ac:dyDescent="0.25">
      <c r="B528" s="137">
        <v>526</v>
      </c>
      <c r="C528" s="135" t="s">
        <v>321</v>
      </c>
      <c r="D528" s="138" t="s">
        <v>3685</v>
      </c>
      <c r="E528" s="139">
        <v>45446</v>
      </c>
      <c r="F528" s="140">
        <v>0.64236111111111116</v>
      </c>
      <c r="G528" s="138" t="s">
        <v>4417</v>
      </c>
      <c r="H528" s="138" t="s">
        <v>3752</v>
      </c>
      <c r="I528" s="138" t="s">
        <v>2019</v>
      </c>
      <c r="J528" s="142" t="s">
        <v>341</v>
      </c>
      <c r="K528" s="142" t="s">
        <v>341</v>
      </c>
      <c r="L528" s="141" t="s">
        <v>20</v>
      </c>
      <c r="M528" s="141" t="s">
        <v>20</v>
      </c>
      <c r="N528" s="141" t="s">
        <v>20</v>
      </c>
      <c r="O528" s="141" t="s">
        <v>20</v>
      </c>
      <c r="P528" s="141" t="s">
        <v>20</v>
      </c>
      <c r="Q528" s="141" t="s">
        <v>20</v>
      </c>
    </row>
    <row r="529" spans="2:17" ht="39" x14ac:dyDescent="0.25">
      <c r="B529" s="137">
        <v>527</v>
      </c>
      <c r="C529" s="135" t="s">
        <v>321</v>
      </c>
      <c r="D529" s="138" t="s">
        <v>3685</v>
      </c>
      <c r="E529" s="139">
        <v>45446</v>
      </c>
      <c r="F529" s="140">
        <v>0.82986111111111116</v>
      </c>
      <c r="G529" s="138" t="s">
        <v>4417</v>
      </c>
      <c r="H529" s="138" t="s">
        <v>4759</v>
      </c>
      <c r="I529" s="138" t="s">
        <v>2019</v>
      </c>
      <c r="J529" s="142" t="s">
        <v>341</v>
      </c>
      <c r="K529" s="142" t="s">
        <v>341</v>
      </c>
      <c r="L529" s="141" t="s">
        <v>20</v>
      </c>
      <c r="M529" s="141" t="s">
        <v>20</v>
      </c>
      <c r="N529" s="141" t="s">
        <v>20</v>
      </c>
      <c r="O529" s="141" t="s">
        <v>20</v>
      </c>
      <c r="P529" s="141" t="s">
        <v>20</v>
      </c>
      <c r="Q529" s="141" t="s">
        <v>20</v>
      </c>
    </row>
    <row r="530" spans="2:17" ht="39" x14ac:dyDescent="0.25">
      <c r="B530" s="137">
        <v>528</v>
      </c>
      <c r="C530" s="135" t="s">
        <v>321</v>
      </c>
      <c r="D530" s="138" t="s">
        <v>3685</v>
      </c>
      <c r="E530" s="139">
        <v>45446</v>
      </c>
      <c r="F530" s="140">
        <v>0.99583333333333335</v>
      </c>
      <c r="G530" s="138" t="s">
        <v>4417</v>
      </c>
      <c r="H530" s="138" t="s">
        <v>4759</v>
      </c>
      <c r="I530" s="138" t="s">
        <v>2019</v>
      </c>
      <c r="J530" s="142" t="s">
        <v>341</v>
      </c>
      <c r="K530" s="142" t="s">
        <v>341</v>
      </c>
      <c r="L530" s="141" t="s">
        <v>20</v>
      </c>
      <c r="M530" s="141" t="s">
        <v>20</v>
      </c>
      <c r="N530" s="141" t="s">
        <v>20</v>
      </c>
      <c r="O530" s="141" t="s">
        <v>20</v>
      </c>
      <c r="P530" s="141" t="s">
        <v>20</v>
      </c>
      <c r="Q530" s="141" t="s">
        <v>20</v>
      </c>
    </row>
    <row r="531" spans="2:17" ht="39" x14ac:dyDescent="0.25">
      <c r="B531" s="137">
        <v>529</v>
      </c>
      <c r="C531" s="135" t="s">
        <v>321</v>
      </c>
      <c r="D531" s="138" t="s">
        <v>3685</v>
      </c>
      <c r="E531" s="139">
        <v>45447</v>
      </c>
      <c r="F531" s="140">
        <v>0.2298611111111111</v>
      </c>
      <c r="G531" s="138" t="s">
        <v>3768</v>
      </c>
      <c r="H531" s="138" t="s">
        <v>4759</v>
      </c>
      <c r="I531" s="138" t="s">
        <v>353</v>
      </c>
      <c r="J531" s="142" t="s">
        <v>341</v>
      </c>
      <c r="K531" s="142" t="s">
        <v>341</v>
      </c>
      <c r="L531" s="141" t="s">
        <v>20</v>
      </c>
      <c r="M531" s="141" t="s">
        <v>20</v>
      </c>
      <c r="N531" s="141" t="s">
        <v>20</v>
      </c>
      <c r="O531" s="141" t="s">
        <v>20</v>
      </c>
      <c r="P531" s="141" t="s">
        <v>20</v>
      </c>
      <c r="Q531" s="141" t="s">
        <v>20</v>
      </c>
    </row>
    <row r="532" spans="2:17" ht="58.5" x14ac:dyDescent="0.25">
      <c r="B532" s="137">
        <v>530</v>
      </c>
      <c r="C532" s="135" t="s">
        <v>321</v>
      </c>
      <c r="D532" s="138" t="s">
        <v>3685</v>
      </c>
      <c r="E532" s="139">
        <v>45448</v>
      </c>
      <c r="F532" s="140">
        <v>0.53333333333333333</v>
      </c>
      <c r="G532" s="138" t="s">
        <v>4418</v>
      </c>
      <c r="H532" s="138" t="s">
        <v>4762</v>
      </c>
      <c r="I532" s="138" t="s">
        <v>1994</v>
      </c>
      <c r="J532" s="142" t="s">
        <v>341</v>
      </c>
      <c r="K532" s="142" t="s">
        <v>341</v>
      </c>
      <c r="L532" s="141" t="s">
        <v>20</v>
      </c>
      <c r="M532" s="141" t="s">
        <v>20</v>
      </c>
      <c r="N532" s="141" t="s">
        <v>20</v>
      </c>
      <c r="O532" s="141" t="s">
        <v>20</v>
      </c>
      <c r="P532" s="141" t="s">
        <v>20</v>
      </c>
      <c r="Q532" s="141" t="s">
        <v>20</v>
      </c>
    </row>
    <row r="533" spans="2:17" ht="39" x14ac:dyDescent="0.25">
      <c r="B533" s="137">
        <v>531</v>
      </c>
      <c r="C533" s="135" t="s">
        <v>321</v>
      </c>
      <c r="D533" s="138" t="s">
        <v>3685</v>
      </c>
      <c r="E533" s="139">
        <v>45451</v>
      </c>
      <c r="F533" s="140">
        <v>0.87569444444444444</v>
      </c>
      <c r="G533" s="138" t="s">
        <v>3768</v>
      </c>
      <c r="H533" s="138" t="s">
        <v>4759</v>
      </c>
      <c r="I533" s="138" t="s">
        <v>353</v>
      </c>
      <c r="J533" s="142" t="s">
        <v>341</v>
      </c>
      <c r="K533" s="142" t="s">
        <v>341</v>
      </c>
      <c r="L533" s="141" t="s">
        <v>20</v>
      </c>
      <c r="M533" s="141" t="s">
        <v>20</v>
      </c>
      <c r="N533" s="141" t="s">
        <v>20</v>
      </c>
      <c r="O533" s="141" t="s">
        <v>20</v>
      </c>
      <c r="P533" s="141" t="s">
        <v>20</v>
      </c>
      <c r="Q533" s="141" t="s">
        <v>20</v>
      </c>
    </row>
    <row r="534" spans="2:17" ht="39" x14ac:dyDescent="0.25">
      <c r="B534" s="137">
        <v>532</v>
      </c>
      <c r="C534" s="135" t="s">
        <v>321</v>
      </c>
      <c r="D534" s="138" t="s">
        <v>3685</v>
      </c>
      <c r="E534" s="139">
        <v>45453</v>
      </c>
      <c r="F534" s="140">
        <v>0.77569444444444446</v>
      </c>
      <c r="G534" s="138" t="s">
        <v>4419</v>
      </c>
      <c r="H534" s="138" t="s">
        <v>2873</v>
      </c>
      <c r="I534" s="138" t="s">
        <v>4420</v>
      </c>
      <c r="J534" s="142">
        <v>5000</v>
      </c>
      <c r="K534" s="142">
        <v>5000</v>
      </c>
      <c r="L534" s="141" t="s">
        <v>20</v>
      </c>
      <c r="M534" s="141" t="s">
        <v>20</v>
      </c>
      <c r="N534" s="141" t="s">
        <v>20</v>
      </c>
      <c r="O534" s="141" t="s">
        <v>20</v>
      </c>
      <c r="P534" s="141" t="s">
        <v>20</v>
      </c>
      <c r="Q534" s="141" t="s">
        <v>20</v>
      </c>
    </row>
    <row r="535" spans="2:17" ht="39" x14ac:dyDescent="0.25">
      <c r="B535" s="137">
        <v>533</v>
      </c>
      <c r="C535" s="135" t="s">
        <v>321</v>
      </c>
      <c r="D535" s="138" t="s">
        <v>3685</v>
      </c>
      <c r="E535" s="139">
        <v>45457</v>
      </c>
      <c r="F535" s="140">
        <v>0.65833333333333333</v>
      </c>
      <c r="G535" s="138" t="s">
        <v>4421</v>
      </c>
      <c r="H535" s="138" t="s">
        <v>496</v>
      </c>
      <c r="I535" s="138" t="s">
        <v>4422</v>
      </c>
      <c r="J535" s="142" t="s">
        <v>3674</v>
      </c>
      <c r="K535" s="142" t="s">
        <v>3674</v>
      </c>
      <c r="L535" s="141" t="s">
        <v>20</v>
      </c>
      <c r="M535" s="141" t="s">
        <v>20</v>
      </c>
      <c r="N535" s="141" t="s">
        <v>20</v>
      </c>
      <c r="O535" s="141" t="s">
        <v>20</v>
      </c>
      <c r="P535" s="141" t="s">
        <v>20</v>
      </c>
      <c r="Q535" s="141" t="s">
        <v>20</v>
      </c>
    </row>
    <row r="536" spans="2:17" ht="39" x14ac:dyDescent="0.25">
      <c r="B536" s="137">
        <v>534</v>
      </c>
      <c r="C536" s="135" t="s">
        <v>321</v>
      </c>
      <c r="D536" s="138" t="s">
        <v>3685</v>
      </c>
      <c r="E536" s="139">
        <v>45458</v>
      </c>
      <c r="F536" s="140">
        <v>0.33194444444444443</v>
      </c>
      <c r="G536" s="138" t="s">
        <v>4421</v>
      </c>
      <c r="H536" s="138" t="s">
        <v>496</v>
      </c>
      <c r="I536" s="138" t="s">
        <v>4422</v>
      </c>
      <c r="J536" s="142" t="s">
        <v>3674</v>
      </c>
      <c r="K536" s="142" t="s">
        <v>3674</v>
      </c>
      <c r="L536" s="141" t="s">
        <v>20</v>
      </c>
      <c r="M536" s="141" t="s">
        <v>20</v>
      </c>
      <c r="N536" s="141" t="s">
        <v>20</v>
      </c>
      <c r="O536" s="141" t="s">
        <v>20</v>
      </c>
      <c r="P536" s="141" t="s">
        <v>20</v>
      </c>
      <c r="Q536" s="141" t="s">
        <v>20</v>
      </c>
    </row>
    <row r="537" spans="2:17" ht="58.5" x14ac:dyDescent="0.25">
      <c r="B537" s="137">
        <v>535</v>
      </c>
      <c r="C537" s="135" t="s">
        <v>321</v>
      </c>
      <c r="D537" s="138" t="s">
        <v>3685</v>
      </c>
      <c r="E537" s="139">
        <v>45460</v>
      </c>
      <c r="F537" s="140">
        <v>0.51180555555555551</v>
      </c>
      <c r="G537" s="138" t="s">
        <v>4423</v>
      </c>
      <c r="H537" s="138" t="s">
        <v>3755</v>
      </c>
      <c r="I537" s="138" t="s">
        <v>2210</v>
      </c>
      <c r="J537" s="142">
        <v>5000</v>
      </c>
      <c r="K537" s="142">
        <v>10000</v>
      </c>
      <c r="L537" s="141" t="s">
        <v>20</v>
      </c>
      <c r="M537" s="141" t="s">
        <v>20</v>
      </c>
      <c r="N537" s="141" t="s">
        <v>20</v>
      </c>
      <c r="O537" s="141" t="s">
        <v>20</v>
      </c>
      <c r="P537" s="141" t="s">
        <v>20</v>
      </c>
      <c r="Q537" s="141" t="s">
        <v>20</v>
      </c>
    </row>
    <row r="538" spans="2:17" ht="58.5" x14ac:dyDescent="0.25">
      <c r="B538" s="137">
        <v>536</v>
      </c>
      <c r="C538" s="135" t="s">
        <v>321</v>
      </c>
      <c r="D538" s="138" t="s">
        <v>3685</v>
      </c>
      <c r="E538" s="139">
        <v>45462</v>
      </c>
      <c r="F538" s="140">
        <v>0.94097222222222221</v>
      </c>
      <c r="G538" s="138" t="s">
        <v>4424</v>
      </c>
      <c r="H538" s="138" t="s">
        <v>3752</v>
      </c>
      <c r="I538" s="138" t="s">
        <v>353</v>
      </c>
      <c r="J538" s="142" t="s">
        <v>341</v>
      </c>
      <c r="K538" s="142" t="s">
        <v>341</v>
      </c>
      <c r="L538" s="141" t="s">
        <v>20</v>
      </c>
      <c r="M538" s="141" t="s">
        <v>20</v>
      </c>
      <c r="N538" s="141" t="s">
        <v>20</v>
      </c>
      <c r="O538" s="141" t="s">
        <v>20</v>
      </c>
      <c r="P538" s="141" t="s">
        <v>20</v>
      </c>
      <c r="Q538" s="141" t="s">
        <v>20</v>
      </c>
    </row>
    <row r="539" spans="2:17" ht="39" x14ac:dyDescent="0.25">
      <c r="B539" s="137">
        <v>537</v>
      </c>
      <c r="C539" s="135" t="s">
        <v>321</v>
      </c>
      <c r="D539" s="138" t="s">
        <v>3685</v>
      </c>
      <c r="E539" s="139">
        <v>45463</v>
      </c>
      <c r="F539" s="140">
        <v>0.83819444444444446</v>
      </c>
      <c r="G539" s="138" t="s">
        <v>4425</v>
      </c>
      <c r="H539" s="138" t="s">
        <v>4426</v>
      </c>
      <c r="I539" s="138" t="s">
        <v>4427</v>
      </c>
      <c r="J539" s="142">
        <v>5000</v>
      </c>
      <c r="K539" s="142">
        <v>20000</v>
      </c>
      <c r="L539" s="141" t="s">
        <v>20</v>
      </c>
      <c r="M539" s="141" t="s">
        <v>20</v>
      </c>
      <c r="N539" s="141" t="s">
        <v>20</v>
      </c>
      <c r="O539" s="141" t="s">
        <v>20</v>
      </c>
      <c r="P539" s="141" t="s">
        <v>20</v>
      </c>
      <c r="Q539" s="141" t="s">
        <v>20</v>
      </c>
    </row>
    <row r="540" spans="2:17" ht="58.5" x14ac:dyDescent="0.25">
      <c r="B540" s="137">
        <v>538</v>
      </c>
      <c r="C540" s="135" t="s">
        <v>321</v>
      </c>
      <c r="D540" s="138" t="s">
        <v>3685</v>
      </c>
      <c r="E540" s="139">
        <v>45463</v>
      </c>
      <c r="F540" s="140">
        <v>0.83958333333333335</v>
      </c>
      <c r="G540" s="138" t="s">
        <v>4428</v>
      </c>
      <c r="H540" s="138" t="s">
        <v>3755</v>
      </c>
      <c r="I540" s="138" t="s">
        <v>2210</v>
      </c>
      <c r="J540" s="142">
        <v>10000</v>
      </c>
      <c r="K540" s="142">
        <v>20000</v>
      </c>
      <c r="L540" s="141" t="s">
        <v>20</v>
      </c>
      <c r="M540" s="141" t="s">
        <v>20</v>
      </c>
      <c r="N540" s="141" t="s">
        <v>20</v>
      </c>
      <c r="O540" s="141" t="s">
        <v>20</v>
      </c>
      <c r="P540" s="141" t="s">
        <v>20</v>
      </c>
      <c r="Q540" s="141" t="s">
        <v>20</v>
      </c>
    </row>
    <row r="541" spans="2:17" ht="39" x14ac:dyDescent="0.25">
      <c r="B541" s="137">
        <v>539</v>
      </c>
      <c r="C541" s="135" t="s">
        <v>321</v>
      </c>
      <c r="D541" s="138" t="s">
        <v>3685</v>
      </c>
      <c r="E541" s="139">
        <v>45464</v>
      </c>
      <c r="F541" s="140">
        <v>0.90138888888888891</v>
      </c>
      <c r="G541" s="138" t="s">
        <v>4429</v>
      </c>
      <c r="H541" s="138" t="s">
        <v>4340</v>
      </c>
      <c r="I541" s="138" t="s">
        <v>320</v>
      </c>
      <c r="J541" s="142">
        <v>20000</v>
      </c>
      <c r="K541" s="142">
        <v>30000</v>
      </c>
      <c r="L541" s="141" t="s">
        <v>20</v>
      </c>
      <c r="M541" s="141" t="s">
        <v>20</v>
      </c>
      <c r="N541" s="141" t="s">
        <v>20</v>
      </c>
      <c r="O541" s="141" t="s">
        <v>20</v>
      </c>
      <c r="P541" s="141" t="s">
        <v>20</v>
      </c>
      <c r="Q541" s="141" t="s">
        <v>20</v>
      </c>
    </row>
    <row r="542" spans="2:17" ht="39" x14ac:dyDescent="0.25">
      <c r="B542" s="137">
        <v>540</v>
      </c>
      <c r="C542" s="135" t="s">
        <v>321</v>
      </c>
      <c r="D542" s="138" t="s">
        <v>3685</v>
      </c>
      <c r="E542" s="139">
        <v>45466</v>
      </c>
      <c r="F542" s="140">
        <v>0.89583333333333337</v>
      </c>
      <c r="G542" s="138" t="s">
        <v>4430</v>
      </c>
      <c r="H542" s="138" t="s">
        <v>4343</v>
      </c>
      <c r="I542" s="138" t="s">
        <v>3148</v>
      </c>
      <c r="J542" s="142">
        <v>5000</v>
      </c>
      <c r="K542" s="142">
        <v>10000</v>
      </c>
      <c r="L542" s="141" t="s">
        <v>20</v>
      </c>
      <c r="M542" s="141" t="s">
        <v>20</v>
      </c>
      <c r="N542" s="141" t="s">
        <v>20</v>
      </c>
      <c r="O542" s="141" t="s">
        <v>20</v>
      </c>
      <c r="P542" s="141" t="s">
        <v>20</v>
      </c>
      <c r="Q542" s="141" t="s">
        <v>20</v>
      </c>
    </row>
    <row r="543" spans="2:17" ht="58.5" x14ac:dyDescent="0.25">
      <c r="B543" s="137">
        <v>541</v>
      </c>
      <c r="C543" s="135" t="s">
        <v>321</v>
      </c>
      <c r="D543" s="138" t="s">
        <v>3685</v>
      </c>
      <c r="E543" s="139">
        <v>45468</v>
      </c>
      <c r="F543" s="140">
        <v>0.53472222222222221</v>
      </c>
      <c r="G543" s="138" t="s">
        <v>4431</v>
      </c>
      <c r="H543" s="138" t="s">
        <v>4432</v>
      </c>
      <c r="I543" s="138" t="s">
        <v>4433</v>
      </c>
      <c r="J543" s="142" t="s">
        <v>4433</v>
      </c>
      <c r="K543" s="142" t="s">
        <v>4433</v>
      </c>
      <c r="L543" s="141" t="s">
        <v>20</v>
      </c>
      <c r="M543" s="141" t="s">
        <v>20</v>
      </c>
      <c r="N543" s="141" t="s">
        <v>20</v>
      </c>
      <c r="O543" s="141" t="s">
        <v>20</v>
      </c>
      <c r="P543" s="141" t="s">
        <v>20</v>
      </c>
      <c r="Q543" s="141" t="s">
        <v>20</v>
      </c>
    </row>
    <row r="544" spans="2:17" ht="58.5" x14ac:dyDescent="0.25">
      <c r="B544" s="137">
        <v>542</v>
      </c>
      <c r="C544" s="135" t="s">
        <v>321</v>
      </c>
      <c r="D544" s="138" t="s">
        <v>3685</v>
      </c>
      <c r="E544" s="139">
        <v>45437</v>
      </c>
      <c r="F544" s="140">
        <v>0.84027777777777779</v>
      </c>
      <c r="G544" s="138" t="s">
        <v>4434</v>
      </c>
      <c r="H544" s="138" t="s">
        <v>4108</v>
      </c>
      <c r="I544" s="138" t="s">
        <v>4185</v>
      </c>
      <c r="J544" s="142">
        <v>10000</v>
      </c>
      <c r="K544" s="142">
        <v>20000</v>
      </c>
      <c r="L544" s="141" t="s">
        <v>20</v>
      </c>
      <c r="M544" s="141" t="s">
        <v>20</v>
      </c>
      <c r="N544" s="141" t="s">
        <v>20</v>
      </c>
      <c r="O544" s="141" t="s">
        <v>20</v>
      </c>
      <c r="P544" s="141" t="s">
        <v>20</v>
      </c>
      <c r="Q544" s="141" t="s">
        <v>20</v>
      </c>
    </row>
    <row r="545" spans="2:17" ht="21" x14ac:dyDescent="0.25">
      <c r="B545" s="137">
        <v>543</v>
      </c>
      <c r="C545" s="135" t="s">
        <v>321</v>
      </c>
      <c r="D545" s="138" t="s">
        <v>3685</v>
      </c>
      <c r="E545" s="139">
        <v>45453</v>
      </c>
      <c r="F545" s="140">
        <v>0.68333333333333335</v>
      </c>
      <c r="G545" s="138" t="s">
        <v>4435</v>
      </c>
      <c r="H545" s="138" t="s">
        <v>4122</v>
      </c>
      <c r="I545" s="138" t="s">
        <v>4436</v>
      </c>
      <c r="J545" s="142">
        <v>5000</v>
      </c>
      <c r="K545" s="142">
        <v>10000</v>
      </c>
      <c r="L545" s="141" t="s">
        <v>20</v>
      </c>
      <c r="M545" s="141" t="s">
        <v>20</v>
      </c>
      <c r="N545" s="141" t="s">
        <v>20</v>
      </c>
      <c r="O545" s="141" t="s">
        <v>20</v>
      </c>
      <c r="P545" s="141" t="s">
        <v>20</v>
      </c>
      <c r="Q545" s="141" t="s">
        <v>20</v>
      </c>
    </row>
    <row r="546" spans="2:17" ht="78" x14ac:dyDescent="0.25">
      <c r="B546" s="137">
        <v>544</v>
      </c>
      <c r="C546" s="135" t="s">
        <v>321</v>
      </c>
      <c r="D546" s="138" t="s">
        <v>3685</v>
      </c>
      <c r="E546" s="139">
        <v>45461</v>
      </c>
      <c r="F546" s="140">
        <v>0.52777777777777779</v>
      </c>
      <c r="G546" s="138" t="s">
        <v>4437</v>
      </c>
      <c r="H546" s="138" t="s">
        <v>3671</v>
      </c>
      <c r="I546" s="138" t="s">
        <v>4438</v>
      </c>
      <c r="J546" s="142" t="s">
        <v>4439</v>
      </c>
      <c r="K546" s="142" t="s">
        <v>4439</v>
      </c>
      <c r="L546" s="141" t="s">
        <v>20</v>
      </c>
      <c r="M546" s="141" t="s">
        <v>20</v>
      </c>
      <c r="N546" s="141" t="s">
        <v>20</v>
      </c>
      <c r="O546" s="141" t="s">
        <v>20</v>
      </c>
      <c r="P546" s="141" t="s">
        <v>20</v>
      </c>
      <c r="Q546" s="141" t="s">
        <v>20</v>
      </c>
    </row>
    <row r="547" spans="2:17" ht="58.5" x14ac:dyDescent="0.25">
      <c r="B547" s="137">
        <v>545</v>
      </c>
      <c r="C547" s="135" t="s">
        <v>321</v>
      </c>
      <c r="D547" s="138" t="s">
        <v>4111</v>
      </c>
      <c r="E547" s="139">
        <v>45454</v>
      </c>
      <c r="F547" s="140">
        <v>0.54513888888888884</v>
      </c>
      <c r="G547" s="138" t="s">
        <v>4440</v>
      </c>
      <c r="H547" s="138" t="s">
        <v>3752</v>
      </c>
      <c r="I547" s="138" t="s">
        <v>340</v>
      </c>
      <c r="J547" s="142" t="s">
        <v>341</v>
      </c>
      <c r="K547" s="142" t="s">
        <v>341</v>
      </c>
      <c r="L547" s="141" t="s">
        <v>20</v>
      </c>
      <c r="M547" s="141" t="s">
        <v>20</v>
      </c>
      <c r="N547" s="141" t="s">
        <v>20</v>
      </c>
      <c r="O547" s="141" t="s">
        <v>20</v>
      </c>
      <c r="P547" s="141" t="s">
        <v>20</v>
      </c>
      <c r="Q547" s="141" t="s">
        <v>20</v>
      </c>
    </row>
    <row r="548" spans="2:17" ht="39" x14ac:dyDescent="0.25">
      <c r="B548" s="137">
        <v>546</v>
      </c>
      <c r="C548" s="135" t="s">
        <v>321</v>
      </c>
      <c r="D548" s="138" t="s">
        <v>4111</v>
      </c>
      <c r="E548" s="139">
        <v>45455</v>
      </c>
      <c r="F548" s="140">
        <v>0.81597222222222221</v>
      </c>
      <c r="G548" s="138" t="s">
        <v>4441</v>
      </c>
      <c r="H548" s="138" t="s">
        <v>4113</v>
      </c>
      <c r="I548" s="138" t="s">
        <v>2757</v>
      </c>
      <c r="J548" s="142" t="s">
        <v>341</v>
      </c>
      <c r="K548" s="142" t="s">
        <v>341</v>
      </c>
      <c r="L548" s="141" t="s">
        <v>20</v>
      </c>
      <c r="M548" s="141" t="s">
        <v>20</v>
      </c>
      <c r="N548" s="141" t="s">
        <v>20</v>
      </c>
      <c r="O548" s="141" t="s">
        <v>20</v>
      </c>
      <c r="P548" s="141" t="s">
        <v>20</v>
      </c>
      <c r="Q548" s="141" t="s">
        <v>20</v>
      </c>
    </row>
    <row r="549" spans="2:17" ht="39" x14ac:dyDescent="0.25">
      <c r="B549" s="137">
        <v>547</v>
      </c>
      <c r="C549" s="135" t="s">
        <v>321</v>
      </c>
      <c r="D549" s="138" t="s">
        <v>4111</v>
      </c>
      <c r="E549" s="139">
        <v>45457</v>
      </c>
      <c r="F549" s="140">
        <v>0.4861111111111111</v>
      </c>
      <c r="G549" s="138" t="s">
        <v>4442</v>
      </c>
      <c r="H549" s="138" t="s">
        <v>4113</v>
      </c>
      <c r="I549" s="138" t="s">
        <v>4436</v>
      </c>
      <c r="J549" s="142">
        <v>5000</v>
      </c>
      <c r="K549" s="142">
        <v>10000</v>
      </c>
      <c r="L549" s="141" t="s">
        <v>20</v>
      </c>
      <c r="M549" s="141" t="s">
        <v>20</v>
      </c>
      <c r="N549" s="141" t="s">
        <v>20</v>
      </c>
      <c r="O549" s="141" t="s">
        <v>20</v>
      </c>
      <c r="P549" s="141" t="s">
        <v>20</v>
      </c>
      <c r="Q549" s="141" t="s">
        <v>20</v>
      </c>
    </row>
    <row r="550" spans="2:17" ht="58.5" x14ac:dyDescent="0.25">
      <c r="B550" s="137">
        <v>548</v>
      </c>
      <c r="C550" s="135" t="s">
        <v>321</v>
      </c>
      <c r="D550" s="138" t="s">
        <v>4111</v>
      </c>
      <c r="E550" s="139">
        <v>45459</v>
      </c>
      <c r="F550" s="140">
        <v>0.60069444444444442</v>
      </c>
      <c r="G550" s="138" t="s">
        <v>4443</v>
      </c>
      <c r="H550" s="138" t="s">
        <v>3752</v>
      </c>
      <c r="I550" s="138" t="s">
        <v>4193</v>
      </c>
      <c r="J550" s="142" t="s">
        <v>341</v>
      </c>
      <c r="K550" s="142" t="s">
        <v>341</v>
      </c>
      <c r="L550" s="141" t="s">
        <v>20</v>
      </c>
      <c r="M550" s="141" t="s">
        <v>20</v>
      </c>
      <c r="N550" s="141" t="s">
        <v>20</v>
      </c>
      <c r="O550" s="141" t="s">
        <v>20</v>
      </c>
      <c r="P550" s="141" t="s">
        <v>20</v>
      </c>
      <c r="Q550" s="141" t="s">
        <v>20</v>
      </c>
    </row>
    <row r="551" spans="2:17" ht="58.5" x14ac:dyDescent="0.25">
      <c r="B551" s="137">
        <v>549</v>
      </c>
      <c r="C551" s="135" t="s">
        <v>321</v>
      </c>
      <c r="D551" s="138" t="s">
        <v>306</v>
      </c>
      <c r="E551" s="139">
        <v>45453</v>
      </c>
      <c r="F551" s="140">
        <v>0.91319444444444442</v>
      </c>
      <c r="G551" s="138" t="s">
        <v>4444</v>
      </c>
      <c r="H551" s="138" t="s">
        <v>3649</v>
      </c>
      <c r="I551" s="138" t="s">
        <v>4445</v>
      </c>
      <c r="J551" s="142">
        <v>600000</v>
      </c>
      <c r="K551" s="142">
        <v>150000</v>
      </c>
      <c r="L551" s="141" t="s">
        <v>20</v>
      </c>
      <c r="M551" s="141" t="s">
        <v>20</v>
      </c>
      <c r="N551" s="141" t="s">
        <v>20</v>
      </c>
      <c r="O551" s="141" t="s">
        <v>20</v>
      </c>
      <c r="P551" s="141" t="s">
        <v>20</v>
      </c>
      <c r="Q551" s="141" t="s">
        <v>20</v>
      </c>
    </row>
    <row r="552" spans="2:17" ht="58.5" x14ac:dyDescent="0.25">
      <c r="B552" s="137">
        <v>550</v>
      </c>
      <c r="C552" s="135" t="s">
        <v>321</v>
      </c>
      <c r="D552" s="138" t="s">
        <v>306</v>
      </c>
      <c r="E552" s="139">
        <v>45454</v>
      </c>
      <c r="F552" s="140">
        <v>0.67361111111111116</v>
      </c>
      <c r="G552" s="138" t="s">
        <v>4446</v>
      </c>
      <c r="H552" s="138" t="s">
        <v>3726</v>
      </c>
      <c r="I552" s="138" t="s">
        <v>4447</v>
      </c>
      <c r="J552" s="142" t="s">
        <v>341</v>
      </c>
      <c r="K552" s="142" t="s">
        <v>341</v>
      </c>
      <c r="L552" s="141" t="s">
        <v>20</v>
      </c>
      <c r="M552" s="141" t="s">
        <v>20</v>
      </c>
      <c r="N552" s="141" t="s">
        <v>20</v>
      </c>
      <c r="O552" s="141" t="s">
        <v>20</v>
      </c>
      <c r="P552" s="141" t="s">
        <v>20</v>
      </c>
      <c r="Q552" s="141" t="s">
        <v>20</v>
      </c>
    </row>
    <row r="553" spans="2:17" ht="58.5" x14ac:dyDescent="0.25">
      <c r="B553" s="137">
        <v>551</v>
      </c>
      <c r="C553" s="135" t="s">
        <v>321</v>
      </c>
      <c r="D553" s="138" t="s">
        <v>306</v>
      </c>
      <c r="E553" s="139">
        <v>45455</v>
      </c>
      <c r="F553" s="140">
        <v>0.47708333333333336</v>
      </c>
      <c r="G553" s="138" t="s">
        <v>4047</v>
      </c>
      <c r="H553" s="138" t="s">
        <v>3726</v>
      </c>
      <c r="I553" s="138" t="s">
        <v>4448</v>
      </c>
      <c r="J553" s="142" t="s">
        <v>341</v>
      </c>
      <c r="K553" s="142" t="s">
        <v>341</v>
      </c>
      <c r="L553" s="141" t="s">
        <v>20</v>
      </c>
      <c r="M553" s="141" t="s">
        <v>20</v>
      </c>
      <c r="N553" s="141" t="s">
        <v>20</v>
      </c>
      <c r="O553" s="141" t="s">
        <v>20</v>
      </c>
      <c r="P553" s="141" t="s">
        <v>20</v>
      </c>
      <c r="Q553" s="141" t="s">
        <v>20</v>
      </c>
    </row>
    <row r="554" spans="2:17" ht="58.5" x14ac:dyDescent="0.25">
      <c r="B554" s="137">
        <v>552</v>
      </c>
      <c r="C554" s="135" t="s">
        <v>321</v>
      </c>
      <c r="D554" s="138" t="s">
        <v>306</v>
      </c>
      <c r="E554" s="139">
        <v>45455</v>
      </c>
      <c r="F554" s="140">
        <v>0.62083333333333335</v>
      </c>
      <c r="G554" s="138" t="s">
        <v>4449</v>
      </c>
      <c r="H554" s="138" t="s">
        <v>4450</v>
      </c>
      <c r="I554" s="138" t="s">
        <v>4451</v>
      </c>
      <c r="J554" s="142">
        <v>50000</v>
      </c>
      <c r="K554" s="142">
        <v>3950000</v>
      </c>
      <c r="L554" s="141" t="s">
        <v>20</v>
      </c>
      <c r="M554" s="141" t="s">
        <v>20</v>
      </c>
      <c r="N554" s="141" t="s">
        <v>20</v>
      </c>
      <c r="O554" s="141" t="s">
        <v>20</v>
      </c>
      <c r="P554" s="141" t="s">
        <v>20</v>
      </c>
      <c r="Q554" s="141" t="s">
        <v>20</v>
      </c>
    </row>
    <row r="555" spans="2:17" ht="58.5" x14ac:dyDescent="0.25">
      <c r="B555" s="137">
        <v>553</v>
      </c>
      <c r="C555" s="135" t="s">
        <v>321</v>
      </c>
      <c r="D555" s="138" t="s">
        <v>306</v>
      </c>
      <c r="E555" s="139">
        <v>45457</v>
      </c>
      <c r="F555" s="140">
        <v>0.3972222222222222</v>
      </c>
      <c r="G555" s="138" t="s">
        <v>4452</v>
      </c>
      <c r="H555" s="138" t="s">
        <v>4029</v>
      </c>
      <c r="I555" s="138" t="s">
        <v>4453</v>
      </c>
      <c r="J555" s="142">
        <v>20000</v>
      </c>
      <c r="K555" s="142">
        <v>480000</v>
      </c>
      <c r="L555" s="141" t="s">
        <v>20</v>
      </c>
      <c r="M555" s="141" t="s">
        <v>20</v>
      </c>
      <c r="N555" s="141" t="s">
        <v>20</v>
      </c>
      <c r="O555" s="141" t="s">
        <v>20</v>
      </c>
      <c r="P555" s="141" t="s">
        <v>20</v>
      </c>
      <c r="Q555" s="141" t="s">
        <v>20</v>
      </c>
    </row>
    <row r="556" spans="2:17" ht="58.5" x14ac:dyDescent="0.25">
      <c r="B556" s="137">
        <v>554</v>
      </c>
      <c r="C556" s="135" t="s">
        <v>321</v>
      </c>
      <c r="D556" s="138" t="s">
        <v>306</v>
      </c>
      <c r="E556" s="139">
        <v>45457</v>
      </c>
      <c r="F556" s="140">
        <v>0.67291666666666672</v>
      </c>
      <c r="G556" s="138" t="s">
        <v>4452</v>
      </c>
      <c r="H556" s="138" t="s">
        <v>4029</v>
      </c>
      <c r="I556" s="138" t="s">
        <v>4453</v>
      </c>
      <c r="J556" s="142" t="s">
        <v>341</v>
      </c>
      <c r="K556" s="142" t="s">
        <v>341</v>
      </c>
      <c r="L556" s="141" t="s">
        <v>20</v>
      </c>
      <c r="M556" s="141" t="s">
        <v>20</v>
      </c>
      <c r="N556" s="141" t="s">
        <v>20</v>
      </c>
      <c r="O556" s="141" t="s">
        <v>20</v>
      </c>
      <c r="P556" s="141" t="s">
        <v>20</v>
      </c>
      <c r="Q556" s="141" t="s">
        <v>20</v>
      </c>
    </row>
    <row r="557" spans="2:17" ht="58.5" x14ac:dyDescent="0.25">
      <c r="B557" s="137">
        <v>555</v>
      </c>
      <c r="C557" s="135" t="s">
        <v>321</v>
      </c>
      <c r="D557" s="138" t="s">
        <v>306</v>
      </c>
      <c r="E557" s="139">
        <v>45460</v>
      </c>
      <c r="F557" s="140">
        <v>0.7</v>
      </c>
      <c r="G557" s="138" t="s">
        <v>4454</v>
      </c>
      <c r="H557" s="138" t="s">
        <v>4029</v>
      </c>
      <c r="I557" s="138" t="s">
        <v>4455</v>
      </c>
      <c r="J557" s="142" t="s">
        <v>341</v>
      </c>
      <c r="K557" s="142" t="s">
        <v>341</v>
      </c>
      <c r="L557" s="141" t="s">
        <v>20</v>
      </c>
      <c r="M557" s="141" t="s">
        <v>20</v>
      </c>
      <c r="N557" s="141" t="s">
        <v>20</v>
      </c>
      <c r="O557" s="141" t="s">
        <v>20</v>
      </c>
      <c r="P557" s="141" t="s">
        <v>20</v>
      </c>
      <c r="Q557" s="141" t="s">
        <v>20</v>
      </c>
    </row>
    <row r="558" spans="2:17" ht="78" x14ac:dyDescent="0.25">
      <c r="B558" s="137">
        <v>556</v>
      </c>
      <c r="C558" s="135" t="s">
        <v>321</v>
      </c>
      <c r="D558" s="138" t="s">
        <v>306</v>
      </c>
      <c r="E558" s="139">
        <v>45461</v>
      </c>
      <c r="F558" s="140">
        <v>0.60902777777777772</v>
      </c>
      <c r="G558" s="138" t="s">
        <v>4456</v>
      </c>
      <c r="H558" s="138" t="s">
        <v>4029</v>
      </c>
      <c r="I558" s="138" t="s">
        <v>4457</v>
      </c>
      <c r="J558" s="142" t="s">
        <v>341</v>
      </c>
      <c r="K558" s="142" t="s">
        <v>341</v>
      </c>
      <c r="L558" s="141" t="s">
        <v>20</v>
      </c>
      <c r="M558" s="141" t="s">
        <v>20</v>
      </c>
      <c r="N558" s="141" t="s">
        <v>20</v>
      </c>
      <c r="O558" s="141" t="s">
        <v>20</v>
      </c>
      <c r="P558" s="141" t="s">
        <v>20</v>
      </c>
      <c r="Q558" s="141" t="s">
        <v>20</v>
      </c>
    </row>
    <row r="559" spans="2:17" ht="78" x14ac:dyDescent="0.25">
      <c r="B559" s="137">
        <v>557</v>
      </c>
      <c r="C559" s="135" t="s">
        <v>321</v>
      </c>
      <c r="D559" s="138" t="s">
        <v>306</v>
      </c>
      <c r="E559" s="139">
        <v>45461</v>
      </c>
      <c r="F559" s="140">
        <v>0.74722222222222223</v>
      </c>
      <c r="G559" s="138" t="s">
        <v>4456</v>
      </c>
      <c r="H559" s="138" t="s">
        <v>4029</v>
      </c>
      <c r="I559" s="138" t="s">
        <v>4458</v>
      </c>
      <c r="J559" s="142" t="s">
        <v>341</v>
      </c>
      <c r="K559" s="142" t="s">
        <v>341</v>
      </c>
      <c r="L559" s="141" t="s">
        <v>20</v>
      </c>
      <c r="M559" s="141" t="s">
        <v>20</v>
      </c>
      <c r="N559" s="141" t="s">
        <v>20</v>
      </c>
      <c r="O559" s="141" t="s">
        <v>20</v>
      </c>
      <c r="P559" s="141" t="s">
        <v>20</v>
      </c>
      <c r="Q559" s="141" t="s">
        <v>20</v>
      </c>
    </row>
    <row r="560" spans="2:17" ht="78" x14ac:dyDescent="0.25">
      <c r="B560" s="137">
        <v>558</v>
      </c>
      <c r="C560" s="135" t="s">
        <v>321</v>
      </c>
      <c r="D560" s="138" t="s">
        <v>306</v>
      </c>
      <c r="E560" s="139">
        <v>45463</v>
      </c>
      <c r="F560" s="140">
        <v>0.74722222222222223</v>
      </c>
      <c r="G560" s="138" t="s">
        <v>4459</v>
      </c>
      <c r="H560" s="138" t="s">
        <v>4285</v>
      </c>
      <c r="I560" s="138" t="s">
        <v>4460</v>
      </c>
      <c r="J560" s="142">
        <v>100000</v>
      </c>
      <c r="K560" s="142">
        <v>1900000</v>
      </c>
      <c r="L560" s="141" t="s">
        <v>20</v>
      </c>
      <c r="M560" s="141" t="s">
        <v>20</v>
      </c>
      <c r="N560" s="141" t="s">
        <v>20</v>
      </c>
      <c r="O560" s="141" t="s">
        <v>20</v>
      </c>
      <c r="P560" s="141" t="s">
        <v>20</v>
      </c>
      <c r="Q560" s="141" t="s">
        <v>20</v>
      </c>
    </row>
    <row r="561" spans="2:17" ht="78" x14ac:dyDescent="0.25">
      <c r="B561" s="137">
        <v>559</v>
      </c>
      <c r="C561" s="135" t="s">
        <v>321</v>
      </c>
      <c r="D561" s="138" t="s">
        <v>306</v>
      </c>
      <c r="E561" s="139">
        <v>45464</v>
      </c>
      <c r="F561" s="140">
        <v>0.69722222222222219</v>
      </c>
      <c r="G561" s="138" t="s">
        <v>4461</v>
      </c>
      <c r="H561" s="138" t="s">
        <v>4029</v>
      </c>
      <c r="I561" s="138" t="s">
        <v>4462</v>
      </c>
      <c r="J561" s="142" t="s">
        <v>341</v>
      </c>
      <c r="K561" s="142" t="s">
        <v>341</v>
      </c>
      <c r="L561" s="141" t="s">
        <v>20</v>
      </c>
      <c r="M561" s="141" t="s">
        <v>20</v>
      </c>
      <c r="N561" s="141" t="s">
        <v>20</v>
      </c>
      <c r="O561" s="141" t="s">
        <v>20</v>
      </c>
      <c r="P561" s="141" t="s">
        <v>20</v>
      </c>
      <c r="Q561" s="141" t="s">
        <v>20</v>
      </c>
    </row>
    <row r="562" spans="2:17" ht="78" x14ac:dyDescent="0.25">
      <c r="B562" s="137">
        <v>560</v>
      </c>
      <c r="C562" s="135" t="s">
        <v>321</v>
      </c>
      <c r="D562" s="138" t="s">
        <v>306</v>
      </c>
      <c r="E562" s="139">
        <v>45469</v>
      </c>
      <c r="F562" s="140">
        <v>0.69513888888888886</v>
      </c>
      <c r="G562" s="138" t="s">
        <v>4463</v>
      </c>
      <c r="H562" s="138" t="s">
        <v>4029</v>
      </c>
      <c r="I562" s="138" t="s">
        <v>4464</v>
      </c>
      <c r="J562" s="142">
        <v>20000</v>
      </c>
      <c r="K562" s="142">
        <v>1980000</v>
      </c>
      <c r="L562" s="141" t="s">
        <v>20</v>
      </c>
      <c r="M562" s="141" t="s">
        <v>20</v>
      </c>
      <c r="N562" s="141" t="s">
        <v>20</v>
      </c>
      <c r="O562" s="141" t="s">
        <v>20</v>
      </c>
      <c r="P562" s="141" t="s">
        <v>20</v>
      </c>
      <c r="Q562" s="141" t="s">
        <v>20</v>
      </c>
    </row>
    <row r="563" spans="2:17" ht="39" x14ac:dyDescent="0.25">
      <c r="B563" s="137">
        <v>561</v>
      </c>
      <c r="C563" s="135" t="s">
        <v>321</v>
      </c>
      <c r="D563" s="138" t="s">
        <v>334</v>
      </c>
      <c r="E563" s="139">
        <v>45474</v>
      </c>
      <c r="F563" s="140">
        <v>7.3611111111111113E-2</v>
      </c>
      <c r="G563" s="138" t="s">
        <v>511</v>
      </c>
      <c r="H563" s="138" t="s">
        <v>512</v>
      </c>
      <c r="I563" s="138" t="s">
        <v>4465</v>
      </c>
      <c r="J563" s="143" t="s">
        <v>4466</v>
      </c>
      <c r="K563" s="143" t="s">
        <v>4467</v>
      </c>
      <c r="L563" s="141" t="s">
        <v>20</v>
      </c>
      <c r="M563" s="141" t="s">
        <v>20</v>
      </c>
      <c r="N563" s="141" t="s">
        <v>20</v>
      </c>
      <c r="O563" s="141" t="s">
        <v>20</v>
      </c>
      <c r="P563" s="141" t="s">
        <v>20</v>
      </c>
      <c r="Q563" s="141" t="s">
        <v>20</v>
      </c>
    </row>
    <row r="564" spans="2:17" ht="58.5" x14ac:dyDescent="0.25">
      <c r="B564" s="137">
        <v>562</v>
      </c>
      <c r="C564" s="135" t="s">
        <v>321</v>
      </c>
      <c r="D564" s="138" t="s">
        <v>334</v>
      </c>
      <c r="E564" s="139">
        <v>45488</v>
      </c>
      <c r="F564" s="140">
        <v>0.80902777777777779</v>
      </c>
      <c r="G564" s="138" t="s">
        <v>4468</v>
      </c>
      <c r="H564" s="138" t="s">
        <v>352</v>
      </c>
      <c r="I564" s="138" t="s">
        <v>513</v>
      </c>
      <c r="J564" s="142" t="s">
        <v>341</v>
      </c>
      <c r="K564" s="143" t="s">
        <v>3845</v>
      </c>
      <c r="L564" s="141" t="s">
        <v>20</v>
      </c>
      <c r="M564" s="141" t="s">
        <v>20</v>
      </c>
      <c r="N564" s="141" t="s">
        <v>20</v>
      </c>
      <c r="O564" s="141" t="s">
        <v>20</v>
      </c>
      <c r="P564" s="141" t="s">
        <v>20</v>
      </c>
      <c r="Q564" s="141" t="s">
        <v>20</v>
      </c>
    </row>
    <row r="565" spans="2:17" ht="39" x14ac:dyDescent="0.25">
      <c r="B565" s="137">
        <v>563</v>
      </c>
      <c r="C565" s="135" t="s">
        <v>321</v>
      </c>
      <c r="D565" s="138" t="s">
        <v>334</v>
      </c>
      <c r="E565" s="139">
        <v>45489</v>
      </c>
      <c r="F565" s="140">
        <v>0.24930555555555556</v>
      </c>
      <c r="G565" s="138" t="s">
        <v>514</v>
      </c>
      <c r="H565" s="138" t="s">
        <v>515</v>
      </c>
      <c r="I565" s="138" t="s">
        <v>4469</v>
      </c>
      <c r="J565" s="142" t="s">
        <v>496</v>
      </c>
      <c r="K565" s="142">
        <v>1</v>
      </c>
      <c r="L565" s="141" t="s">
        <v>20</v>
      </c>
      <c r="M565" s="141">
        <v>1</v>
      </c>
      <c r="N565" s="141" t="s">
        <v>20</v>
      </c>
      <c r="O565" s="141">
        <v>4</v>
      </c>
      <c r="P565" s="141" t="s">
        <v>20</v>
      </c>
      <c r="Q565" s="141" t="s">
        <v>20</v>
      </c>
    </row>
    <row r="566" spans="2:17" ht="58.5" x14ac:dyDescent="0.25">
      <c r="B566" s="137">
        <v>564</v>
      </c>
      <c r="C566" s="135" t="s">
        <v>321</v>
      </c>
      <c r="D566" s="138" t="s">
        <v>334</v>
      </c>
      <c r="E566" s="139">
        <v>45490</v>
      </c>
      <c r="F566" s="140">
        <v>0.24374999999999999</v>
      </c>
      <c r="G566" s="138" t="s">
        <v>4470</v>
      </c>
      <c r="H566" s="138" t="s">
        <v>512</v>
      </c>
      <c r="I566" s="138" t="s">
        <v>516</v>
      </c>
      <c r="J566" s="142" t="s">
        <v>341</v>
      </c>
      <c r="K566" s="143" t="s">
        <v>3845</v>
      </c>
      <c r="L566" s="141" t="s">
        <v>20</v>
      </c>
      <c r="M566" s="141" t="s">
        <v>20</v>
      </c>
      <c r="N566" s="141" t="s">
        <v>20</v>
      </c>
      <c r="O566" s="141" t="s">
        <v>20</v>
      </c>
      <c r="P566" s="141" t="s">
        <v>20</v>
      </c>
      <c r="Q566" s="141" t="s">
        <v>20</v>
      </c>
    </row>
    <row r="567" spans="2:17" ht="39" x14ac:dyDescent="0.25">
      <c r="B567" s="137">
        <v>565</v>
      </c>
      <c r="C567" s="135" t="s">
        <v>321</v>
      </c>
      <c r="D567" s="138" t="s">
        <v>334</v>
      </c>
      <c r="E567" s="139">
        <v>45494</v>
      </c>
      <c r="F567" s="140">
        <v>2.4305555555555556E-2</v>
      </c>
      <c r="G567" s="138" t="s">
        <v>517</v>
      </c>
      <c r="H567" s="138" t="s">
        <v>515</v>
      </c>
      <c r="I567" s="138" t="s">
        <v>518</v>
      </c>
      <c r="J567" s="142" t="s">
        <v>519</v>
      </c>
      <c r="K567" s="143" t="s">
        <v>3845</v>
      </c>
      <c r="L567" s="141" t="s">
        <v>20</v>
      </c>
      <c r="M567" s="141" t="s">
        <v>20</v>
      </c>
      <c r="N567" s="141" t="s">
        <v>20</v>
      </c>
      <c r="O567" s="141" t="s">
        <v>20</v>
      </c>
      <c r="P567" s="141" t="s">
        <v>20</v>
      </c>
      <c r="Q567" s="141" t="s">
        <v>20</v>
      </c>
    </row>
    <row r="568" spans="2:17" ht="39" x14ac:dyDescent="0.25">
      <c r="B568" s="137">
        <v>566</v>
      </c>
      <c r="C568" s="135" t="s">
        <v>321</v>
      </c>
      <c r="D568" s="138" t="s">
        <v>307</v>
      </c>
      <c r="E568" s="139">
        <v>45481</v>
      </c>
      <c r="F568" s="140">
        <v>0.39930555555555558</v>
      </c>
      <c r="G568" s="141" t="s">
        <v>520</v>
      </c>
      <c r="H568" s="141" t="s">
        <v>309</v>
      </c>
      <c r="I568" s="138" t="s">
        <v>521</v>
      </c>
      <c r="J568" s="142">
        <v>5000</v>
      </c>
      <c r="K568" s="142">
        <v>45000</v>
      </c>
      <c r="L568" s="141" t="s">
        <v>20</v>
      </c>
      <c r="M568" s="141" t="s">
        <v>20</v>
      </c>
      <c r="N568" s="141" t="s">
        <v>20</v>
      </c>
      <c r="O568" s="141" t="s">
        <v>20</v>
      </c>
      <c r="P568" s="141" t="s">
        <v>20</v>
      </c>
      <c r="Q568" s="141" t="s">
        <v>20</v>
      </c>
    </row>
    <row r="569" spans="2:17" ht="39" x14ac:dyDescent="0.25">
      <c r="B569" s="137">
        <v>567</v>
      </c>
      <c r="C569" s="135" t="s">
        <v>321</v>
      </c>
      <c r="D569" s="138" t="s">
        <v>307</v>
      </c>
      <c r="E569" s="139">
        <v>45489</v>
      </c>
      <c r="F569" s="140">
        <v>0.05</v>
      </c>
      <c r="G569" s="141" t="s">
        <v>522</v>
      </c>
      <c r="H569" s="141" t="s">
        <v>309</v>
      </c>
      <c r="I569" s="141" t="s">
        <v>523</v>
      </c>
      <c r="J569" s="142">
        <v>20000</v>
      </c>
      <c r="K569" s="142">
        <v>500000</v>
      </c>
      <c r="L569" s="141" t="s">
        <v>20</v>
      </c>
      <c r="M569" s="141" t="s">
        <v>20</v>
      </c>
      <c r="N569" s="141" t="s">
        <v>20</v>
      </c>
      <c r="O569" s="141" t="s">
        <v>20</v>
      </c>
      <c r="P569" s="141" t="s">
        <v>20</v>
      </c>
      <c r="Q569" s="141" t="s">
        <v>20</v>
      </c>
    </row>
    <row r="570" spans="2:17" ht="39" x14ac:dyDescent="0.25">
      <c r="B570" s="137">
        <v>568</v>
      </c>
      <c r="C570" s="135" t="s">
        <v>321</v>
      </c>
      <c r="D570" s="138" t="s">
        <v>3654</v>
      </c>
      <c r="E570" s="139">
        <v>45476</v>
      </c>
      <c r="F570" s="140">
        <v>9.0277777777777776E-2</v>
      </c>
      <c r="G570" s="138" t="s">
        <v>4471</v>
      </c>
      <c r="H570" s="138" t="s">
        <v>4204</v>
      </c>
      <c r="I570" s="138" t="s">
        <v>4472</v>
      </c>
      <c r="J570" s="142">
        <v>250000</v>
      </c>
      <c r="K570" s="142">
        <v>250000</v>
      </c>
      <c r="L570" s="141" t="s">
        <v>20</v>
      </c>
      <c r="M570" s="141" t="s">
        <v>20</v>
      </c>
      <c r="N570" s="141" t="s">
        <v>20</v>
      </c>
      <c r="O570" s="141" t="s">
        <v>20</v>
      </c>
      <c r="P570" s="141" t="s">
        <v>20</v>
      </c>
      <c r="Q570" s="141" t="s">
        <v>20</v>
      </c>
    </row>
    <row r="571" spans="2:17" ht="78" x14ac:dyDescent="0.25">
      <c r="B571" s="137">
        <v>569</v>
      </c>
      <c r="C571" s="135" t="s">
        <v>321</v>
      </c>
      <c r="D571" s="138" t="s">
        <v>3654</v>
      </c>
      <c r="E571" s="139">
        <v>45481</v>
      </c>
      <c r="F571" s="140">
        <v>0.97569444444444442</v>
      </c>
      <c r="G571" s="138" t="s">
        <v>4473</v>
      </c>
      <c r="H571" s="138" t="s">
        <v>4204</v>
      </c>
      <c r="I571" s="138" t="s">
        <v>4474</v>
      </c>
      <c r="J571" s="142" t="s">
        <v>3867</v>
      </c>
      <c r="K571" s="142" t="s">
        <v>3867</v>
      </c>
      <c r="L571" s="141" t="s">
        <v>20</v>
      </c>
      <c r="M571" s="141" t="s">
        <v>20</v>
      </c>
      <c r="N571" s="141" t="s">
        <v>20</v>
      </c>
      <c r="O571" s="141" t="s">
        <v>20</v>
      </c>
      <c r="P571" s="141" t="s">
        <v>20</v>
      </c>
      <c r="Q571" s="141" t="s">
        <v>20</v>
      </c>
    </row>
    <row r="572" spans="2:17" ht="58.5" x14ac:dyDescent="0.25">
      <c r="B572" s="137">
        <v>570</v>
      </c>
      <c r="C572" s="135" t="s">
        <v>321</v>
      </c>
      <c r="D572" s="138" t="s">
        <v>3654</v>
      </c>
      <c r="E572" s="139">
        <v>45488</v>
      </c>
      <c r="F572" s="140">
        <v>0.11805555555555555</v>
      </c>
      <c r="G572" s="138" t="s">
        <v>4475</v>
      </c>
      <c r="H572" s="138" t="s">
        <v>4204</v>
      </c>
      <c r="I572" s="138" t="s">
        <v>4476</v>
      </c>
      <c r="J572" s="142">
        <v>300000</v>
      </c>
      <c r="K572" s="142">
        <v>4700000</v>
      </c>
      <c r="L572" s="141" t="s">
        <v>20</v>
      </c>
      <c r="M572" s="141" t="s">
        <v>20</v>
      </c>
      <c r="N572" s="141" t="s">
        <v>20</v>
      </c>
      <c r="O572" s="141" t="s">
        <v>20</v>
      </c>
      <c r="P572" s="141" t="s">
        <v>20</v>
      </c>
      <c r="Q572" s="141" t="s">
        <v>20</v>
      </c>
    </row>
    <row r="573" spans="2:17" ht="58.5" x14ac:dyDescent="0.25">
      <c r="B573" s="137">
        <v>571</v>
      </c>
      <c r="C573" s="135" t="s">
        <v>321</v>
      </c>
      <c r="D573" s="138" t="s">
        <v>3654</v>
      </c>
      <c r="E573" s="139">
        <v>45490</v>
      </c>
      <c r="F573" s="140">
        <v>0.92986111111111114</v>
      </c>
      <c r="G573" s="138" t="s">
        <v>4477</v>
      </c>
      <c r="H573" s="138" t="s">
        <v>4478</v>
      </c>
      <c r="I573" s="138" t="s">
        <v>3872</v>
      </c>
      <c r="J573" s="142">
        <v>100000</v>
      </c>
      <c r="K573" s="142">
        <v>900000</v>
      </c>
      <c r="L573" s="141" t="s">
        <v>20</v>
      </c>
      <c r="M573" s="141" t="s">
        <v>20</v>
      </c>
      <c r="N573" s="141" t="s">
        <v>20</v>
      </c>
      <c r="O573" s="141" t="s">
        <v>20</v>
      </c>
      <c r="P573" s="141" t="s">
        <v>20</v>
      </c>
      <c r="Q573" s="141" t="s">
        <v>20</v>
      </c>
    </row>
    <row r="574" spans="2:17" ht="39" x14ac:dyDescent="0.25">
      <c r="B574" s="137">
        <v>572</v>
      </c>
      <c r="C574" s="135" t="s">
        <v>321</v>
      </c>
      <c r="D574" s="138" t="s">
        <v>3654</v>
      </c>
      <c r="E574" s="139">
        <v>45492</v>
      </c>
      <c r="F574" s="140">
        <v>0.70347222222222228</v>
      </c>
      <c r="G574" s="138" t="s">
        <v>4479</v>
      </c>
      <c r="H574" s="138" t="s">
        <v>4480</v>
      </c>
      <c r="I574" s="138" t="s">
        <v>20</v>
      </c>
      <c r="J574" s="142" t="s">
        <v>341</v>
      </c>
      <c r="K574" s="142" t="s">
        <v>341</v>
      </c>
      <c r="L574" s="141" t="s">
        <v>20</v>
      </c>
      <c r="M574" s="141" t="s">
        <v>20</v>
      </c>
      <c r="N574" s="141" t="s">
        <v>20</v>
      </c>
      <c r="O574" s="141" t="s">
        <v>20</v>
      </c>
      <c r="P574" s="141" t="s">
        <v>20</v>
      </c>
      <c r="Q574" s="141" t="s">
        <v>20</v>
      </c>
    </row>
    <row r="575" spans="2:17" ht="58.5" x14ac:dyDescent="0.25">
      <c r="B575" s="137">
        <v>573</v>
      </c>
      <c r="C575" s="135" t="s">
        <v>321</v>
      </c>
      <c r="D575" s="138" t="s">
        <v>3654</v>
      </c>
      <c r="E575" s="139">
        <v>45495</v>
      </c>
      <c r="F575" s="140">
        <v>0.81527777777777777</v>
      </c>
      <c r="G575" s="138" t="s">
        <v>4481</v>
      </c>
      <c r="H575" s="138" t="s">
        <v>4482</v>
      </c>
      <c r="I575" s="138" t="s">
        <v>4483</v>
      </c>
      <c r="J575" s="142">
        <v>500000</v>
      </c>
      <c r="K575" s="142">
        <v>9500000</v>
      </c>
      <c r="L575" s="141" t="s">
        <v>20</v>
      </c>
      <c r="M575" s="141" t="s">
        <v>20</v>
      </c>
      <c r="N575" s="141" t="s">
        <v>20</v>
      </c>
      <c r="O575" s="141" t="s">
        <v>20</v>
      </c>
      <c r="P575" s="141" t="s">
        <v>20</v>
      </c>
      <c r="Q575" s="141" t="s">
        <v>20</v>
      </c>
    </row>
    <row r="576" spans="2:17" ht="39" x14ac:dyDescent="0.25">
      <c r="B576" s="137">
        <v>574</v>
      </c>
      <c r="C576" s="135" t="s">
        <v>321</v>
      </c>
      <c r="D576" s="138" t="s">
        <v>3721</v>
      </c>
      <c r="E576" s="139">
        <v>45484</v>
      </c>
      <c r="F576" s="140">
        <v>0.45416666666666666</v>
      </c>
      <c r="G576" s="144" t="s">
        <v>4484</v>
      </c>
      <c r="H576" s="141" t="s">
        <v>4485</v>
      </c>
      <c r="I576" s="138" t="s">
        <v>4486</v>
      </c>
      <c r="J576" s="142" t="s">
        <v>341</v>
      </c>
      <c r="K576" s="142">
        <v>5000000</v>
      </c>
      <c r="L576" s="141" t="s">
        <v>20</v>
      </c>
      <c r="M576" s="141" t="s">
        <v>20</v>
      </c>
      <c r="N576" s="141" t="s">
        <v>20</v>
      </c>
      <c r="O576" s="141" t="s">
        <v>20</v>
      </c>
      <c r="P576" s="141" t="s">
        <v>20</v>
      </c>
      <c r="Q576" s="141" t="s">
        <v>20</v>
      </c>
    </row>
    <row r="577" spans="2:17" ht="58.5" x14ac:dyDescent="0.25">
      <c r="B577" s="137">
        <v>575</v>
      </c>
      <c r="C577" s="135" t="s">
        <v>321</v>
      </c>
      <c r="D577" s="138" t="s">
        <v>306</v>
      </c>
      <c r="E577" s="139">
        <v>45503</v>
      </c>
      <c r="F577" s="140">
        <v>0.48958333333333331</v>
      </c>
      <c r="G577" s="138" t="s">
        <v>4487</v>
      </c>
      <c r="H577" s="138" t="s">
        <v>4488</v>
      </c>
      <c r="I577" s="138" t="s">
        <v>4489</v>
      </c>
      <c r="J577" s="142">
        <v>200000</v>
      </c>
      <c r="K577" s="142">
        <v>160000</v>
      </c>
      <c r="L577" s="141" t="s">
        <v>20</v>
      </c>
      <c r="M577" s="141" t="s">
        <v>20</v>
      </c>
      <c r="N577" s="141" t="s">
        <v>20</v>
      </c>
      <c r="O577" s="141" t="s">
        <v>20</v>
      </c>
      <c r="P577" s="141" t="s">
        <v>20</v>
      </c>
      <c r="Q577" s="141" t="s">
        <v>20</v>
      </c>
    </row>
    <row r="578" spans="2:17" ht="39" x14ac:dyDescent="0.25">
      <c r="B578" s="137">
        <v>576</v>
      </c>
      <c r="C578" s="135" t="s">
        <v>321</v>
      </c>
      <c r="D578" s="138" t="s">
        <v>3685</v>
      </c>
      <c r="E578" s="139">
        <v>45477</v>
      </c>
      <c r="F578" s="140">
        <v>0.31805555555555554</v>
      </c>
      <c r="G578" s="138" t="s">
        <v>4490</v>
      </c>
      <c r="H578" s="138" t="s">
        <v>2873</v>
      </c>
      <c r="I578" s="138" t="s">
        <v>320</v>
      </c>
      <c r="J578" s="142">
        <v>5000</v>
      </c>
      <c r="K578" s="142">
        <v>5000</v>
      </c>
      <c r="L578" s="141" t="s">
        <v>20</v>
      </c>
      <c r="M578" s="141" t="s">
        <v>20</v>
      </c>
      <c r="N578" s="141" t="s">
        <v>20</v>
      </c>
      <c r="O578" s="141" t="s">
        <v>20</v>
      </c>
      <c r="P578" s="141" t="s">
        <v>20</v>
      </c>
      <c r="Q578" s="141" t="s">
        <v>20</v>
      </c>
    </row>
    <row r="579" spans="2:17" ht="39" x14ac:dyDescent="0.25">
      <c r="B579" s="137">
        <v>577</v>
      </c>
      <c r="C579" s="135" t="s">
        <v>321</v>
      </c>
      <c r="D579" s="138" t="s">
        <v>3685</v>
      </c>
      <c r="E579" s="139">
        <v>45480</v>
      </c>
      <c r="F579" s="140">
        <v>0.46597222222222223</v>
      </c>
      <c r="G579" s="138" t="s">
        <v>4491</v>
      </c>
      <c r="H579" s="138" t="s">
        <v>2873</v>
      </c>
      <c r="I579" s="138" t="s">
        <v>2325</v>
      </c>
      <c r="J579" s="142">
        <v>1000</v>
      </c>
      <c r="K579" s="142">
        <v>2000</v>
      </c>
      <c r="L579" s="141" t="s">
        <v>20</v>
      </c>
      <c r="M579" s="141" t="s">
        <v>20</v>
      </c>
      <c r="N579" s="141" t="s">
        <v>20</v>
      </c>
      <c r="O579" s="141" t="s">
        <v>20</v>
      </c>
      <c r="P579" s="141" t="s">
        <v>20</v>
      </c>
      <c r="Q579" s="141" t="s">
        <v>20</v>
      </c>
    </row>
    <row r="580" spans="2:17" ht="39" x14ac:dyDescent="0.25">
      <c r="B580" s="137">
        <v>578</v>
      </c>
      <c r="C580" s="135" t="s">
        <v>321</v>
      </c>
      <c r="D580" s="138" t="s">
        <v>3685</v>
      </c>
      <c r="E580" s="139">
        <v>45481</v>
      </c>
      <c r="F580" s="140">
        <v>0.89236111111111116</v>
      </c>
      <c r="G580" s="138" t="s">
        <v>4492</v>
      </c>
      <c r="H580" s="138" t="s">
        <v>2873</v>
      </c>
      <c r="I580" s="138" t="s">
        <v>4185</v>
      </c>
      <c r="J580" s="142">
        <v>2000</v>
      </c>
      <c r="K580" s="142">
        <v>10000</v>
      </c>
      <c r="L580" s="141" t="s">
        <v>20</v>
      </c>
      <c r="M580" s="141" t="s">
        <v>20</v>
      </c>
      <c r="N580" s="141" t="s">
        <v>20</v>
      </c>
      <c r="O580" s="141" t="s">
        <v>20</v>
      </c>
      <c r="P580" s="141" t="s">
        <v>20</v>
      </c>
      <c r="Q580" s="141" t="s">
        <v>20</v>
      </c>
    </row>
    <row r="581" spans="2:17" ht="78" x14ac:dyDescent="0.25">
      <c r="B581" s="137">
        <v>579</v>
      </c>
      <c r="C581" s="135" t="s">
        <v>321</v>
      </c>
      <c r="D581" s="138" t="s">
        <v>3685</v>
      </c>
      <c r="E581" s="139">
        <v>45483</v>
      </c>
      <c r="F581" s="140">
        <v>0.91041666666666665</v>
      </c>
      <c r="G581" s="138" t="s">
        <v>4120</v>
      </c>
      <c r="H581" s="138" t="s">
        <v>2873</v>
      </c>
      <c r="I581" s="138" t="s">
        <v>4420</v>
      </c>
      <c r="J581" s="142" t="s">
        <v>4493</v>
      </c>
      <c r="K581" s="142" t="s">
        <v>341</v>
      </c>
      <c r="L581" s="141" t="s">
        <v>20</v>
      </c>
      <c r="M581" s="141" t="s">
        <v>20</v>
      </c>
      <c r="N581" s="141" t="s">
        <v>20</v>
      </c>
      <c r="O581" s="141" t="s">
        <v>20</v>
      </c>
      <c r="P581" s="141" t="s">
        <v>20</v>
      </c>
      <c r="Q581" s="141" t="s">
        <v>20</v>
      </c>
    </row>
    <row r="582" spans="2:17" ht="78" x14ac:dyDescent="0.25">
      <c r="B582" s="137">
        <v>580</v>
      </c>
      <c r="C582" s="135" t="s">
        <v>321</v>
      </c>
      <c r="D582" s="138" t="s">
        <v>3685</v>
      </c>
      <c r="E582" s="139">
        <v>45484</v>
      </c>
      <c r="F582" s="140">
        <v>0.64722222222222225</v>
      </c>
      <c r="G582" s="138" t="s">
        <v>4494</v>
      </c>
      <c r="H582" s="138" t="s">
        <v>2873</v>
      </c>
      <c r="I582" s="138" t="s">
        <v>4185</v>
      </c>
      <c r="J582" s="142" t="s">
        <v>4493</v>
      </c>
      <c r="K582" s="142" t="s">
        <v>341</v>
      </c>
      <c r="L582" s="141" t="s">
        <v>20</v>
      </c>
      <c r="M582" s="141" t="s">
        <v>20</v>
      </c>
      <c r="N582" s="141" t="s">
        <v>20</v>
      </c>
      <c r="O582" s="141" t="s">
        <v>20</v>
      </c>
      <c r="P582" s="141" t="s">
        <v>20</v>
      </c>
      <c r="Q582" s="141" t="s">
        <v>20</v>
      </c>
    </row>
    <row r="583" spans="2:17" ht="78" x14ac:dyDescent="0.25">
      <c r="B583" s="137">
        <v>581</v>
      </c>
      <c r="C583" s="135" t="s">
        <v>321</v>
      </c>
      <c r="D583" s="138" t="s">
        <v>3685</v>
      </c>
      <c r="E583" s="139">
        <v>45494</v>
      </c>
      <c r="F583" s="140">
        <v>0.44791666666666669</v>
      </c>
      <c r="G583" s="138" t="s">
        <v>4495</v>
      </c>
      <c r="H583" s="138" t="s">
        <v>2873</v>
      </c>
      <c r="I583" s="138" t="s">
        <v>3750</v>
      </c>
      <c r="J583" s="142" t="s">
        <v>4493</v>
      </c>
      <c r="K583" s="142" t="s">
        <v>341</v>
      </c>
      <c r="L583" s="141" t="s">
        <v>20</v>
      </c>
      <c r="M583" s="141" t="s">
        <v>20</v>
      </c>
      <c r="N583" s="141" t="s">
        <v>20</v>
      </c>
      <c r="O583" s="141" t="s">
        <v>20</v>
      </c>
      <c r="P583" s="141" t="s">
        <v>20</v>
      </c>
      <c r="Q583" s="141" t="s">
        <v>20</v>
      </c>
    </row>
    <row r="584" spans="2:17" ht="78" x14ac:dyDescent="0.25">
      <c r="B584" s="137">
        <v>582</v>
      </c>
      <c r="C584" s="135" t="s">
        <v>321</v>
      </c>
      <c r="D584" s="138" t="s">
        <v>3685</v>
      </c>
      <c r="E584" s="139">
        <v>45500</v>
      </c>
      <c r="F584" s="140">
        <v>0.47291666666666665</v>
      </c>
      <c r="G584" s="138" t="s">
        <v>4496</v>
      </c>
      <c r="H584" s="138" t="s">
        <v>3755</v>
      </c>
      <c r="I584" s="138" t="s">
        <v>2210</v>
      </c>
      <c r="J584" s="142" t="s">
        <v>4493</v>
      </c>
      <c r="K584" s="142" t="s">
        <v>341</v>
      </c>
      <c r="L584" s="141" t="s">
        <v>20</v>
      </c>
      <c r="M584" s="141" t="s">
        <v>20</v>
      </c>
      <c r="N584" s="141" t="s">
        <v>20</v>
      </c>
      <c r="O584" s="141" t="s">
        <v>20</v>
      </c>
      <c r="P584" s="141" t="s">
        <v>20</v>
      </c>
      <c r="Q584" s="141" t="s">
        <v>20</v>
      </c>
    </row>
    <row r="585" spans="2:17" ht="39" x14ac:dyDescent="0.25">
      <c r="B585" s="137">
        <v>583</v>
      </c>
      <c r="C585" s="135" t="s">
        <v>321</v>
      </c>
      <c r="D585" s="138" t="s">
        <v>3685</v>
      </c>
      <c r="E585" s="139">
        <v>45501</v>
      </c>
      <c r="F585" s="140">
        <v>0.78472222222222221</v>
      </c>
      <c r="G585" s="138" t="s">
        <v>4497</v>
      </c>
      <c r="H585" s="138" t="s">
        <v>2873</v>
      </c>
      <c r="I585" s="138" t="s">
        <v>4498</v>
      </c>
      <c r="J585" s="142">
        <v>5000</v>
      </c>
      <c r="K585" s="142">
        <v>5000</v>
      </c>
      <c r="L585" s="141" t="s">
        <v>20</v>
      </c>
      <c r="M585" s="141" t="s">
        <v>20</v>
      </c>
      <c r="N585" s="141" t="s">
        <v>20</v>
      </c>
      <c r="O585" s="141" t="s">
        <v>20</v>
      </c>
      <c r="P585" s="141" t="s">
        <v>20</v>
      </c>
      <c r="Q585" s="141" t="s">
        <v>20</v>
      </c>
    </row>
    <row r="586" spans="2:17" ht="78" x14ac:dyDescent="0.25">
      <c r="B586" s="137">
        <v>584</v>
      </c>
      <c r="C586" s="135" t="s">
        <v>321</v>
      </c>
      <c r="D586" s="138" t="s">
        <v>334</v>
      </c>
      <c r="E586" s="139">
        <v>45518</v>
      </c>
      <c r="F586" s="140">
        <v>0.82499999999999996</v>
      </c>
      <c r="G586" s="144" t="s">
        <v>4499</v>
      </c>
      <c r="H586" s="138" t="s">
        <v>406</v>
      </c>
      <c r="I586" s="138" t="s">
        <v>525</v>
      </c>
      <c r="J586" s="142"/>
      <c r="K586" s="142">
        <v>8000000</v>
      </c>
      <c r="L586" s="141" t="s">
        <v>20</v>
      </c>
      <c r="M586" s="141" t="s">
        <v>20</v>
      </c>
      <c r="N586" s="141" t="s">
        <v>20</v>
      </c>
      <c r="O586" s="141" t="s">
        <v>20</v>
      </c>
      <c r="P586" s="141" t="s">
        <v>20</v>
      </c>
      <c r="Q586" s="141" t="s">
        <v>20</v>
      </c>
    </row>
    <row r="587" spans="2:17" ht="21" x14ac:dyDescent="0.25">
      <c r="B587" s="137">
        <v>585</v>
      </c>
      <c r="C587" s="135" t="s">
        <v>321</v>
      </c>
      <c r="D587" s="138" t="s">
        <v>334</v>
      </c>
      <c r="E587" s="139">
        <v>45521</v>
      </c>
      <c r="F587" s="140">
        <v>0.33541666666666664</v>
      </c>
      <c r="G587" s="138" t="s">
        <v>4500</v>
      </c>
      <c r="H587" s="138" t="s">
        <v>526</v>
      </c>
      <c r="I587" s="138" t="s">
        <v>527</v>
      </c>
      <c r="J587" s="142">
        <v>300000</v>
      </c>
      <c r="K587" s="142">
        <v>100000</v>
      </c>
      <c r="L587" s="141" t="s">
        <v>20</v>
      </c>
      <c r="M587" s="141" t="s">
        <v>20</v>
      </c>
      <c r="N587" s="141" t="s">
        <v>20</v>
      </c>
      <c r="O587" s="141" t="s">
        <v>20</v>
      </c>
      <c r="P587" s="141" t="s">
        <v>20</v>
      </c>
      <c r="Q587" s="141" t="s">
        <v>20</v>
      </c>
    </row>
    <row r="588" spans="2:17" ht="58.5" x14ac:dyDescent="0.25">
      <c r="B588" s="137">
        <v>586</v>
      </c>
      <c r="C588" s="135" t="s">
        <v>321</v>
      </c>
      <c r="D588" s="138" t="s">
        <v>3654</v>
      </c>
      <c r="E588" s="139">
        <v>45505</v>
      </c>
      <c r="F588" s="140">
        <v>0.82986111111111116</v>
      </c>
      <c r="G588" s="144" t="s">
        <v>4501</v>
      </c>
      <c r="H588" s="138" t="s">
        <v>4502</v>
      </c>
      <c r="I588" s="138" t="s">
        <v>4503</v>
      </c>
      <c r="J588" s="142" t="s">
        <v>341</v>
      </c>
      <c r="K588" s="142">
        <v>10000000</v>
      </c>
      <c r="L588" s="141" t="s">
        <v>20</v>
      </c>
      <c r="M588" s="141" t="s">
        <v>20</v>
      </c>
      <c r="N588" s="141" t="s">
        <v>20</v>
      </c>
      <c r="O588" s="141" t="s">
        <v>20</v>
      </c>
      <c r="P588" s="141" t="s">
        <v>20</v>
      </c>
      <c r="Q588" s="141" t="s">
        <v>20</v>
      </c>
    </row>
    <row r="589" spans="2:17" ht="58.5" x14ac:dyDescent="0.25">
      <c r="B589" s="137">
        <v>587</v>
      </c>
      <c r="C589" s="135" t="s">
        <v>321</v>
      </c>
      <c r="D589" s="138" t="s">
        <v>3654</v>
      </c>
      <c r="E589" s="139">
        <v>45505</v>
      </c>
      <c r="F589" s="140">
        <v>0.9291666666666667</v>
      </c>
      <c r="G589" s="144" t="s">
        <v>4504</v>
      </c>
      <c r="H589" s="138" t="s">
        <v>4502</v>
      </c>
      <c r="I589" s="138" t="s">
        <v>4503</v>
      </c>
      <c r="J589" s="142" t="s">
        <v>341</v>
      </c>
      <c r="K589" s="142">
        <v>10000000</v>
      </c>
      <c r="L589" s="141" t="s">
        <v>20</v>
      </c>
      <c r="M589" s="141" t="s">
        <v>20</v>
      </c>
      <c r="N589" s="141" t="s">
        <v>20</v>
      </c>
      <c r="O589" s="141" t="s">
        <v>20</v>
      </c>
      <c r="P589" s="141" t="s">
        <v>20</v>
      </c>
      <c r="Q589" s="141" t="s">
        <v>20</v>
      </c>
    </row>
    <row r="590" spans="2:17" ht="97.5" x14ac:dyDescent="0.25">
      <c r="B590" s="137">
        <v>588</v>
      </c>
      <c r="C590" s="135" t="s">
        <v>321</v>
      </c>
      <c r="D590" s="138" t="s">
        <v>3654</v>
      </c>
      <c r="E590" s="139">
        <v>45508</v>
      </c>
      <c r="F590" s="140">
        <v>0.88888888888888884</v>
      </c>
      <c r="G590" s="144" t="s">
        <v>4505</v>
      </c>
      <c r="H590" s="138" t="s">
        <v>4506</v>
      </c>
      <c r="I590" s="138" t="s">
        <v>3668</v>
      </c>
      <c r="J590" s="142">
        <v>50000</v>
      </c>
      <c r="K590" s="142">
        <v>450000</v>
      </c>
      <c r="L590" s="141" t="s">
        <v>20</v>
      </c>
      <c r="M590" s="141" t="s">
        <v>20</v>
      </c>
      <c r="N590" s="141" t="s">
        <v>20</v>
      </c>
      <c r="O590" s="141" t="s">
        <v>20</v>
      </c>
      <c r="P590" s="141">
        <v>1</v>
      </c>
      <c r="Q590" s="141" t="s">
        <v>20</v>
      </c>
    </row>
    <row r="591" spans="2:17" ht="39" x14ac:dyDescent="0.25">
      <c r="B591" s="137">
        <v>589</v>
      </c>
      <c r="C591" s="135" t="s">
        <v>321</v>
      </c>
      <c r="D591" s="138" t="s">
        <v>3654</v>
      </c>
      <c r="E591" s="139">
        <v>45509</v>
      </c>
      <c r="F591" s="140">
        <v>0.53333333333333333</v>
      </c>
      <c r="G591" s="144" t="s">
        <v>4507</v>
      </c>
      <c r="H591" s="138" t="s">
        <v>4508</v>
      </c>
      <c r="I591" s="138" t="s">
        <v>4509</v>
      </c>
      <c r="J591" s="142">
        <v>30000</v>
      </c>
      <c r="K591" s="142">
        <v>20000</v>
      </c>
      <c r="L591" s="141" t="s">
        <v>20</v>
      </c>
      <c r="M591" s="141" t="s">
        <v>20</v>
      </c>
      <c r="N591" s="141" t="s">
        <v>20</v>
      </c>
      <c r="O591" s="141" t="s">
        <v>20</v>
      </c>
      <c r="P591" s="141" t="s">
        <v>20</v>
      </c>
      <c r="Q591" s="141" t="s">
        <v>20</v>
      </c>
    </row>
    <row r="592" spans="2:17" ht="58.5" x14ac:dyDescent="0.25">
      <c r="B592" s="137">
        <v>590</v>
      </c>
      <c r="C592" s="135" t="s">
        <v>321</v>
      </c>
      <c r="D592" s="138" t="s">
        <v>3654</v>
      </c>
      <c r="E592" s="139">
        <v>45519</v>
      </c>
      <c r="F592" s="140">
        <v>1.7361111111111112E-2</v>
      </c>
      <c r="G592" s="144" t="s">
        <v>4510</v>
      </c>
      <c r="H592" s="138" t="s">
        <v>3934</v>
      </c>
      <c r="I592" s="138" t="s">
        <v>4511</v>
      </c>
      <c r="J592" s="142">
        <v>2000</v>
      </c>
      <c r="K592" s="142">
        <v>28000</v>
      </c>
      <c r="L592" s="141" t="s">
        <v>20</v>
      </c>
      <c r="M592" s="141" t="s">
        <v>20</v>
      </c>
      <c r="N592" s="141" t="s">
        <v>20</v>
      </c>
      <c r="O592" s="141" t="s">
        <v>20</v>
      </c>
      <c r="P592" s="141" t="s">
        <v>20</v>
      </c>
      <c r="Q592" s="141" t="s">
        <v>20</v>
      </c>
    </row>
    <row r="593" spans="2:17" ht="58.5" x14ac:dyDescent="0.25">
      <c r="B593" s="137">
        <v>591</v>
      </c>
      <c r="C593" s="135" t="s">
        <v>321</v>
      </c>
      <c r="D593" s="138" t="s">
        <v>3654</v>
      </c>
      <c r="E593" s="139">
        <v>45524</v>
      </c>
      <c r="F593" s="140">
        <v>0.87638888888888888</v>
      </c>
      <c r="G593" s="144" t="s">
        <v>4512</v>
      </c>
      <c r="H593" s="138" t="s">
        <v>4513</v>
      </c>
      <c r="I593" s="138" t="s">
        <v>4514</v>
      </c>
      <c r="J593" s="142">
        <v>1000</v>
      </c>
      <c r="K593" s="142">
        <v>999000</v>
      </c>
      <c r="L593" s="141" t="s">
        <v>20</v>
      </c>
      <c r="M593" s="141" t="s">
        <v>20</v>
      </c>
      <c r="N593" s="141" t="s">
        <v>20</v>
      </c>
      <c r="O593" s="141" t="s">
        <v>20</v>
      </c>
      <c r="P593" s="141" t="s">
        <v>20</v>
      </c>
      <c r="Q593" s="141" t="s">
        <v>20</v>
      </c>
    </row>
    <row r="594" spans="2:17" ht="58.5" x14ac:dyDescent="0.25">
      <c r="B594" s="137">
        <v>592</v>
      </c>
      <c r="C594" s="135" t="s">
        <v>321</v>
      </c>
      <c r="D594" s="138" t="s">
        <v>3654</v>
      </c>
      <c r="E594" s="139">
        <v>45533</v>
      </c>
      <c r="F594" s="140">
        <v>0.12291666666666666</v>
      </c>
      <c r="G594" s="144" t="s">
        <v>4515</v>
      </c>
      <c r="H594" s="138" t="s">
        <v>3713</v>
      </c>
      <c r="I594" s="138" t="s">
        <v>4516</v>
      </c>
      <c r="J594" s="142">
        <v>5000</v>
      </c>
      <c r="K594" s="142">
        <v>4995000</v>
      </c>
      <c r="L594" s="141" t="s">
        <v>20</v>
      </c>
      <c r="M594" s="141" t="s">
        <v>20</v>
      </c>
      <c r="N594" s="141" t="s">
        <v>20</v>
      </c>
      <c r="O594" s="141" t="s">
        <v>20</v>
      </c>
      <c r="P594" s="141" t="s">
        <v>20</v>
      </c>
      <c r="Q594" s="141" t="s">
        <v>20</v>
      </c>
    </row>
    <row r="595" spans="2:17" ht="58.5" x14ac:dyDescent="0.25">
      <c r="B595" s="137">
        <v>593</v>
      </c>
      <c r="C595" s="135" t="s">
        <v>321</v>
      </c>
      <c r="D595" s="138" t="s">
        <v>306</v>
      </c>
      <c r="E595" s="139">
        <v>45514</v>
      </c>
      <c r="F595" s="140">
        <v>0.11666666666666667</v>
      </c>
      <c r="G595" s="138" t="s">
        <v>4517</v>
      </c>
      <c r="H595" s="141" t="s">
        <v>4518</v>
      </c>
      <c r="I595" s="141" t="s">
        <v>4519</v>
      </c>
      <c r="J595" s="142" t="s">
        <v>3674</v>
      </c>
      <c r="K595" s="142" t="s">
        <v>3674</v>
      </c>
      <c r="L595" s="141" t="s">
        <v>20</v>
      </c>
      <c r="M595" s="141" t="s">
        <v>20</v>
      </c>
      <c r="N595" s="141" t="s">
        <v>20</v>
      </c>
      <c r="O595" s="141" t="s">
        <v>20</v>
      </c>
      <c r="P595" s="141" t="s">
        <v>20</v>
      </c>
      <c r="Q595" s="141" t="s">
        <v>20</v>
      </c>
    </row>
    <row r="596" spans="2:17" ht="58.5" x14ac:dyDescent="0.25">
      <c r="B596" s="137">
        <v>594</v>
      </c>
      <c r="C596" s="135" t="s">
        <v>321</v>
      </c>
      <c r="D596" s="138" t="s">
        <v>306</v>
      </c>
      <c r="E596" s="139">
        <v>45518</v>
      </c>
      <c r="F596" s="140">
        <v>0.29652777777777778</v>
      </c>
      <c r="G596" s="138" t="s">
        <v>4520</v>
      </c>
      <c r="H596" s="141" t="s">
        <v>4518</v>
      </c>
      <c r="I596" s="141" t="s">
        <v>4521</v>
      </c>
      <c r="J596" s="142" t="s">
        <v>4522</v>
      </c>
      <c r="K596" s="142"/>
      <c r="L596" s="141" t="s">
        <v>20</v>
      </c>
      <c r="M596" s="141" t="s">
        <v>20</v>
      </c>
      <c r="N596" s="141" t="s">
        <v>20</v>
      </c>
      <c r="O596" s="141" t="s">
        <v>20</v>
      </c>
      <c r="P596" s="141" t="s">
        <v>20</v>
      </c>
      <c r="Q596" s="141" t="s">
        <v>20</v>
      </c>
    </row>
    <row r="597" spans="2:17" ht="21" x14ac:dyDescent="0.25">
      <c r="B597" s="137">
        <v>595</v>
      </c>
      <c r="C597" s="135" t="s">
        <v>321</v>
      </c>
      <c r="D597" s="138" t="s">
        <v>3685</v>
      </c>
      <c r="E597" s="139">
        <v>45517</v>
      </c>
      <c r="F597" s="140">
        <v>0.77986111111111112</v>
      </c>
      <c r="G597" s="138" t="s">
        <v>4523</v>
      </c>
      <c r="H597" s="138" t="s">
        <v>4524</v>
      </c>
      <c r="I597" s="138" t="s">
        <v>4525</v>
      </c>
      <c r="J597" s="142">
        <v>10000</v>
      </c>
      <c r="K597" s="142">
        <v>100000</v>
      </c>
      <c r="L597" s="137" t="s">
        <v>20</v>
      </c>
      <c r="M597" s="137" t="s">
        <v>20</v>
      </c>
      <c r="N597" s="137" t="s">
        <v>20</v>
      </c>
      <c r="O597" s="137" t="s">
        <v>20</v>
      </c>
      <c r="P597" s="137" t="s">
        <v>20</v>
      </c>
      <c r="Q597" s="137" t="s">
        <v>20</v>
      </c>
    </row>
    <row r="598" spans="2:17" ht="39" x14ac:dyDescent="0.25">
      <c r="B598" s="137">
        <v>596</v>
      </c>
      <c r="C598" s="135" t="s">
        <v>321</v>
      </c>
      <c r="D598" s="138" t="s">
        <v>3685</v>
      </c>
      <c r="E598" s="139">
        <v>45518</v>
      </c>
      <c r="F598" s="140">
        <v>0.26319444444444445</v>
      </c>
      <c r="G598" s="138" t="s">
        <v>4526</v>
      </c>
      <c r="H598" s="138" t="s">
        <v>4108</v>
      </c>
      <c r="I598" s="138" t="s">
        <v>4527</v>
      </c>
      <c r="J598" s="142" t="s">
        <v>3674</v>
      </c>
      <c r="K598" s="136"/>
      <c r="L598" s="137" t="s">
        <v>20</v>
      </c>
      <c r="M598" s="137" t="s">
        <v>20</v>
      </c>
      <c r="N598" s="137" t="s">
        <v>20</v>
      </c>
      <c r="O598" s="137" t="s">
        <v>20</v>
      </c>
      <c r="P598" s="137" t="s">
        <v>20</v>
      </c>
      <c r="Q598" s="141"/>
    </row>
    <row r="599" spans="2:17" ht="39" x14ac:dyDescent="0.25">
      <c r="B599" s="137">
        <v>597</v>
      </c>
      <c r="C599" s="135" t="s">
        <v>321</v>
      </c>
      <c r="D599" s="138" t="s">
        <v>3685</v>
      </c>
      <c r="E599" s="139">
        <v>45521</v>
      </c>
      <c r="F599" s="140">
        <v>0.7729166666666667</v>
      </c>
      <c r="G599" s="138" t="s">
        <v>4528</v>
      </c>
      <c r="H599" s="138" t="s">
        <v>4108</v>
      </c>
      <c r="I599" s="138" t="s">
        <v>4529</v>
      </c>
      <c r="J599" s="142">
        <v>7000</v>
      </c>
      <c r="K599" s="142">
        <v>10000</v>
      </c>
      <c r="L599" s="137" t="s">
        <v>20</v>
      </c>
      <c r="M599" s="137" t="s">
        <v>20</v>
      </c>
      <c r="N599" s="137" t="s">
        <v>20</v>
      </c>
      <c r="O599" s="137" t="s">
        <v>20</v>
      </c>
      <c r="P599" s="137" t="s">
        <v>20</v>
      </c>
      <c r="Q599" s="137" t="s">
        <v>20</v>
      </c>
    </row>
    <row r="600" spans="2:17" ht="39" x14ac:dyDescent="0.25">
      <c r="B600" s="137">
        <v>598</v>
      </c>
      <c r="C600" s="135" t="s">
        <v>321</v>
      </c>
      <c r="D600" s="138" t="s">
        <v>3685</v>
      </c>
      <c r="E600" s="139">
        <v>45524</v>
      </c>
      <c r="F600" s="140">
        <v>0.52013888888888893</v>
      </c>
      <c r="G600" s="138" t="s">
        <v>4530</v>
      </c>
      <c r="H600" s="138" t="s">
        <v>4108</v>
      </c>
      <c r="I600" s="138" t="s">
        <v>4531</v>
      </c>
      <c r="J600" s="142">
        <v>30000</v>
      </c>
      <c r="K600" s="142">
        <v>200000</v>
      </c>
      <c r="L600" s="137" t="s">
        <v>20</v>
      </c>
      <c r="M600" s="137" t="s">
        <v>20</v>
      </c>
      <c r="N600" s="137" t="s">
        <v>20</v>
      </c>
      <c r="O600" s="137" t="s">
        <v>20</v>
      </c>
      <c r="P600" s="137" t="s">
        <v>20</v>
      </c>
      <c r="Q600" s="137" t="s">
        <v>20</v>
      </c>
    </row>
    <row r="601" spans="2:17" ht="58.5" x14ac:dyDescent="0.25">
      <c r="B601" s="137">
        <v>599</v>
      </c>
      <c r="C601" s="135" t="s">
        <v>321</v>
      </c>
      <c r="D601" s="138" t="s">
        <v>3654</v>
      </c>
      <c r="E601" s="139">
        <v>45562</v>
      </c>
      <c r="F601" s="140">
        <v>0.44513888888888886</v>
      </c>
      <c r="G601" s="138" t="s">
        <v>4532</v>
      </c>
      <c r="H601" s="138" t="s">
        <v>4533</v>
      </c>
      <c r="I601" s="138" t="s">
        <v>4472</v>
      </c>
      <c r="J601" s="142">
        <v>20000</v>
      </c>
      <c r="K601" s="142">
        <v>480000</v>
      </c>
      <c r="L601" s="141" t="s">
        <v>20</v>
      </c>
      <c r="M601" s="141" t="s">
        <v>20</v>
      </c>
      <c r="N601" s="141">
        <v>2</v>
      </c>
      <c r="O601" s="141" t="s">
        <v>20</v>
      </c>
      <c r="P601" s="141" t="s">
        <v>20</v>
      </c>
      <c r="Q601" s="141" t="s">
        <v>20</v>
      </c>
    </row>
    <row r="602" spans="2:17" ht="39" x14ac:dyDescent="0.25">
      <c r="B602" s="137">
        <v>600</v>
      </c>
      <c r="C602" s="135" t="s">
        <v>321</v>
      </c>
      <c r="D602" s="138" t="s">
        <v>307</v>
      </c>
      <c r="E602" s="139">
        <v>45544</v>
      </c>
      <c r="F602" s="140">
        <v>0.81319444444444444</v>
      </c>
      <c r="G602" s="141" t="s">
        <v>528</v>
      </c>
      <c r="H602" s="141" t="s">
        <v>309</v>
      </c>
      <c r="I602" s="141" t="s">
        <v>4534</v>
      </c>
      <c r="J602" s="142">
        <v>500000</v>
      </c>
      <c r="K602" s="142">
        <v>200000</v>
      </c>
      <c r="L602" s="137" t="s">
        <v>20</v>
      </c>
      <c r="M602" s="137" t="s">
        <v>20</v>
      </c>
      <c r="N602" s="137" t="s">
        <v>20</v>
      </c>
      <c r="O602" s="137" t="s">
        <v>20</v>
      </c>
      <c r="P602" s="137" t="s">
        <v>20</v>
      </c>
      <c r="Q602" s="137" t="s">
        <v>20</v>
      </c>
    </row>
    <row r="603" spans="2:17" ht="39" x14ac:dyDescent="0.25">
      <c r="B603" s="137">
        <v>601</v>
      </c>
      <c r="C603" s="135" t="s">
        <v>321</v>
      </c>
      <c r="D603" s="138" t="s">
        <v>3685</v>
      </c>
      <c r="E603" s="139">
        <v>45541</v>
      </c>
      <c r="F603" s="140">
        <v>0.6645833333333333</v>
      </c>
      <c r="G603" s="138" t="s">
        <v>4535</v>
      </c>
      <c r="H603" s="138" t="s">
        <v>4108</v>
      </c>
      <c r="I603" s="138" t="s">
        <v>4536</v>
      </c>
      <c r="J603" s="142">
        <v>7000</v>
      </c>
      <c r="K603" s="142">
        <v>23000</v>
      </c>
      <c r="L603" s="137" t="s">
        <v>20</v>
      </c>
      <c r="M603" s="137" t="s">
        <v>20</v>
      </c>
      <c r="N603" s="137" t="s">
        <v>20</v>
      </c>
      <c r="O603" s="137" t="s">
        <v>20</v>
      </c>
      <c r="P603" s="137" t="s">
        <v>20</v>
      </c>
      <c r="Q603" s="137" t="s">
        <v>20</v>
      </c>
    </row>
    <row r="604" spans="2:17" ht="39" x14ac:dyDescent="0.25">
      <c r="B604" s="137">
        <v>602</v>
      </c>
      <c r="C604" s="135" t="s">
        <v>321</v>
      </c>
      <c r="D604" s="138" t="s">
        <v>3685</v>
      </c>
      <c r="E604" s="139">
        <v>45562</v>
      </c>
      <c r="F604" s="140">
        <v>0.82638888888888884</v>
      </c>
      <c r="G604" s="138" t="s">
        <v>4537</v>
      </c>
      <c r="H604" s="138" t="s">
        <v>4524</v>
      </c>
      <c r="I604" s="138" t="s">
        <v>4538</v>
      </c>
      <c r="J604" s="142">
        <v>5000</v>
      </c>
      <c r="K604" s="142">
        <v>45000</v>
      </c>
      <c r="L604" s="137" t="s">
        <v>20</v>
      </c>
      <c r="M604" s="137" t="s">
        <v>20</v>
      </c>
      <c r="N604" s="137" t="s">
        <v>20</v>
      </c>
      <c r="O604" s="137" t="s">
        <v>20</v>
      </c>
      <c r="P604" s="137" t="s">
        <v>20</v>
      </c>
      <c r="Q604" s="137" t="s">
        <v>20</v>
      </c>
    </row>
    <row r="605" spans="2:17" ht="39" x14ac:dyDescent="0.25">
      <c r="B605" s="137">
        <v>603</v>
      </c>
      <c r="C605" s="135" t="s">
        <v>321</v>
      </c>
      <c r="D605" s="138" t="s">
        <v>4539</v>
      </c>
      <c r="E605" s="139">
        <v>45544</v>
      </c>
      <c r="F605" s="140">
        <v>0.43125000000000002</v>
      </c>
      <c r="G605" s="138" t="s">
        <v>4540</v>
      </c>
      <c r="H605" s="138" t="s">
        <v>4108</v>
      </c>
      <c r="I605" s="138" t="s">
        <v>386</v>
      </c>
      <c r="J605" s="142">
        <v>429000</v>
      </c>
      <c r="K605" s="142">
        <v>1242000</v>
      </c>
      <c r="L605" s="137" t="s">
        <v>20</v>
      </c>
      <c r="M605" s="137" t="s">
        <v>20</v>
      </c>
      <c r="N605" s="137" t="s">
        <v>20</v>
      </c>
      <c r="O605" s="137" t="s">
        <v>20</v>
      </c>
      <c r="P605" s="137" t="s">
        <v>20</v>
      </c>
      <c r="Q605" s="137" t="s">
        <v>20</v>
      </c>
    </row>
    <row r="606" spans="2:17" ht="136.5" x14ac:dyDescent="0.25">
      <c r="B606" s="137">
        <v>604</v>
      </c>
      <c r="C606" s="135" t="s">
        <v>321</v>
      </c>
      <c r="D606" s="138" t="s">
        <v>306</v>
      </c>
      <c r="E606" s="139">
        <v>45536</v>
      </c>
      <c r="F606" s="140">
        <v>0.72083333333333333</v>
      </c>
      <c r="G606" s="138" t="s">
        <v>4541</v>
      </c>
      <c r="H606" s="141" t="s">
        <v>4542</v>
      </c>
      <c r="I606" s="144" t="s">
        <v>4543</v>
      </c>
      <c r="J606" s="142"/>
      <c r="K606" s="142"/>
      <c r="L606" s="141" t="s">
        <v>20</v>
      </c>
      <c r="M606" s="141" t="s">
        <v>20</v>
      </c>
      <c r="N606" s="141" t="s">
        <v>20</v>
      </c>
      <c r="O606" s="141" t="s">
        <v>20</v>
      </c>
      <c r="P606" s="141" t="s">
        <v>20</v>
      </c>
      <c r="Q606" s="141" t="s">
        <v>20</v>
      </c>
    </row>
    <row r="607" spans="2:17" ht="17.25" customHeight="1" x14ac:dyDescent="0.25">
      <c r="B607" s="137">
        <v>605</v>
      </c>
      <c r="C607" s="135" t="s">
        <v>321</v>
      </c>
      <c r="D607" s="138" t="s">
        <v>307</v>
      </c>
      <c r="E607" s="139">
        <v>45580</v>
      </c>
      <c r="F607" s="145">
        <v>0.84236111111111112</v>
      </c>
      <c r="G607" s="138" t="s">
        <v>4544</v>
      </c>
      <c r="H607" s="138" t="s">
        <v>309</v>
      </c>
      <c r="I607" s="138" t="s">
        <v>529</v>
      </c>
      <c r="J607" s="142">
        <v>5000</v>
      </c>
      <c r="K607" s="142">
        <v>395000</v>
      </c>
      <c r="L607" s="141" t="s">
        <v>20</v>
      </c>
      <c r="M607" s="141" t="s">
        <v>20</v>
      </c>
      <c r="N607" s="141" t="s">
        <v>20</v>
      </c>
      <c r="O607" s="141" t="s">
        <v>20</v>
      </c>
      <c r="P607" s="141" t="s">
        <v>20</v>
      </c>
      <c r="Q607" s="141" t="s">
        <v>20</v>
      </c>
    </row>
    <row r="608" spans="2:17" ht="58.5" x14ac:dyDescent="0.25">
      <c r="B608" s="137">
        <v>606</v>
      </c>
      <c r="C608" s="135" t="s">
        <v>321</v>
      </c>
      <c r="D608" s="138" t="s">
        <v>307</v>
      </c>
      <c r="E608" s="139">
        <v>45582</v>
      </c>
      <c r="F608" s="140">
        <v>3.8194444444444448E-2</v>
      </c>
      <c r="G608" s="141" t="s">
        <v>530</v>
      </c>
      <c r="H608" s="141" t="s">
        <v>309</v>
      </c>
      <c r="I608" s="141" t="s">
        <v>531</v>
      </c>
      <c r="J608" s="142">
        <v>900000</v>
      </c>
      <c r="K608" s="142">
        <v>8100000</v>
      </c>
      <c r="L608" s="137" t="s">
        <v>20</v>
      </c>
      <c r="M608" s="137" t="s">
        <v>20</v>
      </c>
      <c r="N608" s="141" t="s">
        <v>20</v>
      </c>
      <c r="O608" s="137" t="s">
        <v>20</v>
      </c>
      <c r="P608" s="137" t="s">
        <v>20</v>
      </c>
      <c r="Q608" s="137" t="s">
        <v>20</v>
      </c>
    </row>
    <row r="609" spans="2:17" ht="78" x14ac:dyDescent="0.25">
      <c r="B609" s="137">
        <v>607</v>
      </c>
      <c r="C609" s="135" t="s">
        <v>321</v>
      </c>
      <c r="D609" s="138" t="s">
        <v>307</v>
      </c>
      <c r="E609" s="139">
        <v>45588</v>
      </c>
      <c r="F609" s="140">
        <v>0.58680555555555558</v>
      </c>
      <c r="G609" s="141" t="s">
        <v>4545</v>
      </c>
      <c r="H609" s="141" t="s">
        <v>309</v>
      </c>
      <c r="I609" s="141" t="s">
        <v>532</v>
      </c>
      <c r="J609" s="142">
        <v>35000</v>
      </c>
      <c r="K609" s="142">
        <v>75000</v>
      </c>
      <c r="L609" s="137" t="s">
        <v>20</v>
      </c>
      <c r="M609" s="137" t="s">
        <v>20</v>
      </c>
      <c r="N609" s="137" t="s">
        <v>20</v>
      </c>
      <c r="O609" s="137" t="s">
        <v>20</v>
      </c>
      <c r="P609" s="137" t="s">
        <v>20</v>
      </c>
      <c r="Q609" s="137" t="s">
        <v>20</v>
      </c>
    </row>
    <row r="610" spans="2:17" ht="78" x14ac:dyDescent="0.25">
      <c r="B610" s="137">
        <v>608</v>
      </c>
      <c r="C610" s="135" t="s">
        <v>321</v>
      </c>
      <c r="D610" s="138" t="s">
        <v>307</v>
      </c>
      <c r="E610" s="139">
        <v>45588</v>
      </c>
      <c r="F610" s="140">
        <v>0.65208333333333335</v>
      </c>
      <c r="G610" s="141" t="s">
        <v>4546</v>
      </c>
      <c r="H610" s="138" t="s">
        <v>4547</v>
      </c>
      <c r="I610" s="138" t="s">
        <v>533</v>
      </c>
      <c r="J610" s="142">
        <v>5000</v>
      </c>
      <c r="K610" s="142">
        <v>95000</v>
      </c>
      <c r="L610" s="137" t="s">
        <v>20</v>
      </c>
      <c r="M610" s="137" t="s">
        <v>20</v>
      </c>
      <c r="N610" s="137" t="s">
        <v>20</v>
      </c>
      <c r="O610" s="137" t="s">
        <v>20</v>
      </c>
      <c r="P610" s="137" t="s">
        <v>20</v>
      </c>
      <c r="Q610" s="137" t="s">
        <v>20</v>
      </c>
    </row>
    <row r="611" spans="2:17" ht="21" x14ac:dyDescent="0.25">
      <c r="B611" s="137">
        <v>609</v>
      </c>
      <c r="C611" s="135" t="s">
        <v>321</v>
      </c>
      <c r="D611" s="138" t="s">
        <v>307</v>
      </c>
      <c r="E611" s="139">
        <v>45588</v>
      </c>
      <c r="F611" s="140">
        <v>0.88124999999999998</v>
      </c>
      <c r="G611" s="138" t="s">
        <v>534</v>
      </c>
      <c r="H611" s="141" t="s">
        <v>309</v>
      </c>
      <c r="I611" s="141" t="s">
        <v>535</v>
      </c>
      <c r="J611" s="142">
        <v>35000</v>
      </c>
      <c r="K611" s="142">
        <v>75000</v>
      </c>
      <c r="L611" s="137" t="s">
        <v>20</v>
      </c>
      <c r="M611" s="137" t="s">
        <v>20</v>
      </c>
      <c r="N611" s="137" t="s">
        <v>20</v>
      </c>
      <c r="O611" s="137" t="s">
        <v>20</v>
      </c>
      <c r="P611" s="137" t="s">
        <v>20</v>
      </c>
      <c r="Q611" s="137" t="s">
        <v>20</v>
      </c>
    </row>
    <row r="612" spans="2:17" ht="21" x14ac:dyDescent="0.25">
      <c r="B612" s="137">
        <v>610</v>
      </c>
      <c r="C612" s="135" t="s">
        <v>321</v>
      </c>
      <c r="D612" s="138" t="s">
        <v>307</v>
      </c>
      <c r="E612" s="139">
        <v>45591</v>
      </c>
      <c r="F612" s="140">
        <v>0.66388888888888886</v>
      </c>
      <c r="G612" s="141" t="s">
        <v>536</v>
      </c>
      <c r="H612" s="141" t="s">
        <v>309</v>
      </c>
      <c r="I612" s="141" t="s">
        <v>537</v>
      </c>
      <c r="J612" s="142">
        <v>5000</v>
      </c>
      <c r="K612" s="142">
        <v>145000</v>
      </c>
      <c r="L612" s="137" t="s">
        <v>20</v>
      </c>
      <c r="M612" s="137" t="s">
        <v>20</v>
      </c>
      <c r="N612" s="137" t="s">
        <v>20</v>
      </c>
      <c r="O612" s="137" t="s">
        <v>20</v>
      </c>
      <c r="P612" s="137" t="s">
        <v>20</v>
      </c>
      <c r="Q612" s="137" t="s">
        <v>20</v>
      </c>
    </row>
    <row r="613" spans="2:17" ht="58.5" x14ac:dyDescent="0.25">
      <c r="B613" s="137">
        <v>611</v>
      </c>
      <c r="C613" s="135" t="s">
        <v>321</v>
      </c>
      <c r="D613" s="138" t="s">
        <v>307</v>
      </c>
      <c r="E613" s="139">
        <v>45593</v>
      </c>
      <c r="F613" s="140">
        <v>0.93055555555555558</v>
      </c>
      <c r="G613" s="141" t="s">
        <v>538</v>
      </c>
      <c r="H613" s="141" t="s">
        <v>4763</v>
      </c>
      <c r="I613" s="141" t="s">
        <v>539</v>
      </c>
      <c r="J613" s="142">
        <v>300000</v>
      </c>
      <c r="K613" s="142">
        <v>1700000</v>
      </c>
      <c r="L613" s="137" t="s">
        <v>20</v>
      </c>
      <c r="M613" s="137" t="s">
        <v>20</v>
      </c>
      <c r="N613" s="137" t="s">
        <v>20</v>
      </c>
      <c r="O613" s="137" t="s">
        <v>20</v>
      </c>
      <c r="P613" s="137" t="s">
        <v>20</v>
      </c>
      <c r="Q613" s="137" t="s">
        <v>20</v>
      </c>
    </row>
    <row r="614" spans="2:17" ht="39" x14ac:dyDescent="0.25">
      <c r="B614" s="137">
        <v>612</v>
      </c>
      <c r="C614" s="135" t="s">
        <v>321</v>
      </c>
      <c r="D614" s="138" t="s">
        <v>307</v>
      </c>
      <c r="E614" s="139">
        <v>45596</v>
      </c>
      <c r="F614" s="140">
        <v>0.79722222222222228</v>
      </c>
      <c r="G614" s="141" t="s">
        <v>4548</v>
      </c>
      <c r="H614" s="141" t="s">
        <v>540</v>
      </c>
      <c r="I614" s="141" t="s">
        <v>541</v>
      </c>
      <c r="J614" s="142">
        <v>10000</v>
      </c>
      <c r="K614" s="142">
        <v>100000</v>
      </c>
      <c r="L614" s="137" t="s">
        <v>20</v>
      </c>
      <c r="M614" s="137" t="s">
        <v>20</v>
      </c>
      <c r="N614" s="137" t="s">
        <v>20</v>
      </c>
      <c r="O614" s="137" t="s">
        <v>20</v>
      </c>
      <c r="P614" s="137" t="s">
        <v>20</v>
      </c>
      <c r="Q614" s="137" t="s">
        <v>20</v>
      </c>
    </row>
    <row r="615" spans="2:17" ht="39" x14ac:dyDescent="0.25">
      <c r="B615" s="137">
        <v>613</v>
      </c>
      <c r="C615" s="135" t="s">
        <v>321</v>
      </c>
      <c r="D615" s="138" t="s">
        <v>307</v>
      </c>
      <c r="E615" s="139">
        <v>45596</v>
      </c>
      <c r="F615" s="140">
        <v>0.91736111111111107</v>
      </c>
      <c r="G615" s="141" t="s">
        <v>4549</v>
      </c>
      <c r="H615" s="141" t="s">
        <v>542</v>
      </c>
      <c r="I615" s="141" t="s">
        <v>543</v>
      </c>
      <c r="J615" s="142">
        <v>100000</v>
      </c>
      <c r="K615" s="142">
        <v>1500000</v>
      </c>
      <c r="L615" s="137" t="s">
        <v>20</v>
      </c>
      <c r="M615" s="137" t="s">
        <v>20</v>
      </c>
      <c r="N615" s="137" t="s">
        <v>20</v>
      </c>
      <c r="O615" s="137" t="s">
        <v>20</v>
      </c>
      <c r="P615" s="137" t="s">
        <v>20</v>
      </c>
      <c r="Q615" s="137" t="s">
        <v>20</v>
      </c>
    </row>
    <row r="616" spans="2:17" ht="39" x14ac:dyDescent="0.25">
      <c r="B616" s="137">
        <v>614</v>
      </c>
      <c r="C616" s="135" t="s">
        <v>321</v>
      </c>
      <c r="D616" s="138" t="s">
        <v>3685</v>
      </c>
      <c r="E616" s="139">
        <v>45566</v>
      </c>
      <c r="F616" s="140">
        <v>8.3333333333333332E-3</v>
      </c>
      <c r="G616" s="138" t="s">
        <v>4550</v>
      </c>
      <c r="H616" s="138" t="s">
        <v>362</v>
      </c>
      <c r="I616" s="138" t="s">
        <v>4166</v>
      </c>
      <c r="J616" s="142" t="s">
        <v>341</v>
      </c>
      <c r="K616" s="142" t="s">
        <v>341</v>
      </c>
      <c r="L616" s="137" t="s">
        <v>20</v>
      </c>
      <c r="M616" s="137" t="s">
        <v>20</v>
      </c>
      <c r="N616" s="137" t="s">
        <v>20</v>
      </c>
      <c r="O616" s="137" t="s">
        <v>20</v>
      </c>
      <c r="P616" s="137" t="s">
        <v>20</v>
      </c>
      <c r="Q616" s="137" t="s">
        <v>20</v>
      </c>
    </row>
    <row r="617" spans="2:17" ht="39" x14ac:dyDescent="0.25">
      <c r="B617" s="137">
        <v>615</v>
      </c>
      <c r="C617" s="135" t="s">
        <v>321</v>
      </c>
      <c r="D617" s="138" t="s">
        <v>3685</v>
      </c>
      <c r="E617" s="139">
        <v>45568</v>
      </c>
      <c r="F617" s="140">
        <v>0.70833333333333337</v>
      </c>
      <c r="G617" s="138" t="s">
        <v>4551</v>
      </c>
      <c r="H617" s="138" t="s">
        <v>4108</v>
      </c>
      <c r="I617" s="138" t="s">
        <v>4552</v>
      </c>
      <c r="J617" s="142" t="s">
        <v>3674</v>
      </c>
      <c r="K617" s="142" t="s">
        <v>3674</v>
      </c>
      <c r="L617" s="137" t="s">
        <v>20</v>
      </c>
      <c r="M617" s="137" t="s">
        <v>20</v>
      </c>
      <c r="N617" s="137" t="s">
        <v>20</v>
      </c>
      <c r="O617" s="137" t="s">
        <v>20</v>
      </c>
      <c r="P617" s="137" t="s">
        <v>20</v>
      </c>
      <c r="Q617" s="137" t="s">
        <v>20</v>
      </c>
    </row>
    <row r="618" spans="2:17" ht="58.5" x14ac:dyDescent="0.25">
      <c r="B618" s="137">
        <v>616</v>
      </c>
      <c r="C618" s="135" t="s">
        <v>321</v>
      </c>
      <c r="D618" s="138" t="s">
        <v>3685</v>
      </c>
      <c r="E618" s="139">
        <v>45572</v>
      </c>
      <c r="F618" s="140">
        <v>0.49166666666666664</v>
      </c>
      <c r="G618" s="138" t="s">
        <v>4551</v>
      </c>
      <c r="H618" s="138" t="s">
        <v>4553</v>
      </c>
      <c r="I618" s="138" t="s">
        <v>4552</v>
      </c>
      <c r="J618" s="142" t="s">
        <v>3674</v>
      </c>
      <c r="K618" s="142" t="s">
        <v>3674</v>
      </c>
      <c r="L618" s="137" t="s">
        <v>20</v>
      </c>
      <c r="M618" s="137" t="s">
        <v>20</v>
      </c>
      <c r="N618" s="137" t="s">
        <v>20</v>
      </c>
      <c r="O618" s="137" t="s">
        <v>20</v>
      </c>
      <c r="P618" s="137" t="s">
        <v>20</v>
      </c>
      <c r="Q618" s="137" t="s">
        <v>20</v>
      </c>
    </row>
    <row r="619" spans="2:17" ht="58.5" x14ac:dyDescent="0.25">
      <c r="B619" s="137">
        <v>617</v>
      </c>
      <c r="C619" s="135" t="s">
        <v>321</v>
      </c>
      <c r="D619" s="138" t="s">
        <v>3685</v>
      </c>
      <c r="E619" s="139">
        <v>45573</v>
      </c>
      <c r="F619" s="140">
        <v>0.21041666666666667</v>
      </c>
      <c r="G619" s="138" t="s">
        <v>4554</v>
      </c>
      <c r="H619" s="138" t="s">
        <v>406</v>
      </c>
      <c r="I619" s="138" t="s">
        <v>390</v>
      </c>
      <c r="J619" s="142" t="s">
        <v>354</v>
      </c>
      <c r="K619" s="142" t="s">
        <v>341</v>
      </c>
      <c r="L619" s="137" t="s">
        <v>20</v>
      </c>
      <c r="M619" s="137" t="s">
        <v>20</v>
      </c>
      <c r="N619" s="137" t="s">
        <v>20</v>
      </c>
      <c r="O619" s="137" t="s">
        <v>20</v>
      </c>
      <c r="P619" s="137" t="s">
        <v>20</v>
      </c>
      <c r="Q619" s="137" t="s">
        <v>20</v>
      </c>
    </row>
    <row r="620" spans="2:17" ht="39" x14ac:dyDescent="0.25">
      <c r="B620" s="137">
        <v>618</v>
      </c>
      <c r="C620" s="135" t="s">
        <v>321</v>
      </c>
      <c r="D620" s="138" t="s">
        <v>3685</v>
      </c>
      <c r="E620" s="139">
        <v>45574</v>
      </c>
      <c r="F620" s="140">
        <v>0.94791666666666663</v>
      </c>
      <c r="G620" s="138" t="s">
        <v>4555</v>
      </c>
      <c r="H620" s="138" t="s">
        <v>362</v>
      </c>
      <c r="I620" s="138" t="s">
        <v>4556</v>
      </c>
      <c r="J620" s="142" t="s">
        <v>354</v>
      </c>
      <c r="K620" s="142" t="s">
        <v>341</v>
      </c>
      <c r="L620" s="137" t="s">
        <v>20</v>
      </c>
      <c r="M620" s="137" t="s">
        <v>20</v>
      </c>
      <c r="N620" s="137" t="s">
        <v>20</v>
      </c>
      <c r="O620" s="137" t="s">
        <v>20</v>
      </c>
      <c r="P620" s="137" t="s">
        <v>20</v>
      </c>
      <c r="Q620" s="137" t="s">
        <v>20</v>
      </c>
    </row>
    <row r="621" spans="2:17" ht="39" x14ac:dyDescent="0.25">
      <c r="B621" s="137">
        <v>619</v>
      </c>
      <c r="C621" s="135" t="s">
        <v>321</v>
      </c>
      <c r="D621" s="138" t="s">
        <v>3685</v>
      </c>
      <c r="E621" s="139">
        <v>45575</v>
      </c>
      <c r="F621" s="140">
        <v>0.7993055555555556</v>
      </c>
      <c r="G621" s="138" t="s">
        <v>4557</v>
      </c>
      <c r="H621" s="138" t="s">
        <v>4558</v>
      </c>
      <c r="I621" s="138" t="s">
        <v>4559</v>
      </c>
      <c r="J621" s="142">
        <v>50000</v>
      </c>
      <c r="K621" s="142">
        <v>450000</v>
      </c>
      <c r="L621" s="137" t="s">
        <v>20</v>
      </c>
      <c r="M621" s="137" t="s">
        <v>20</v>
      </c>
      <c r="N621" s="137" t="s">
        <v>20</v>
      </c>
      <c r="O621" s="137" t="s">
        <v>20</v>
      </c>
      <c r="P621" s="137" t="s">
        <v>20</v>
      </c>
      <c r="Q621" s="137" t="s">
        <v>20</v>
      </c>
    </row>
    <row r="622" spans="2:17" ht="58.5" x14ac:dyDescent="0.25">
      <c r="B622" s="137">
        <v>620</v>
      </c>
      <c r="C622" s="135" t="s">
        <v>321</v>
      </c>
      <c r="D622" s="138" t="s">
        <v>3685</v>
      </c>
      <c r="E622" s="139">
        <v>45577</v>
      </c>
      <c r="F622" s="140">
        <v>0.11319444444444444</v>
      </c>
      <c r="G622" s="138" t="s">
        <v>4560</v>
      </c>
      <c r="H622" s="138" t="s">
        <v>4561</v>
      </c>
      <c r="I622" s="138" t="s">
        <v>4562</v>
      </c>
      <c r="J622" s="142">
        <v>5000</v>
      </c>
      <c r="K622" s="142">
        <v>45000</v>
      </c>
      <c r="L622" s="137" t="s">
        <v>20</v>
      </c>
      <c r="M622" s="137" t="s">
        <v>20</v>
      </c>
      <c r="N622" s="137" t="s">
        <v>20</v>
      </c>
      <c r="O622" s="137" t="s">
        <v>20</v>
      </c>
      <c r="P622" s="137" t="s">
        <v>20</v>
      </c>
      <c r="Q622" s="137" t="s">
        <v>20</v>
      </c>
    </row>
    <row r="623" spans="2:17" ht="58.5" x14ac:dyDescent="0.25">
      <c r="B623" s="137">
        <v>621</v>
      </c>
      <c r="C623" s="135" t="s">
        <v>321</v>
      </c>
      <c r="D623" s="138" t="s">
        <v>3685</v>
      </c>
      <c r="E623" s="139">
        <v>45577</v>
      </c>
      <c r="F623" s="140">
        <v>0.41041666666666665</v>
      </c>
      <c r="G623" s="138" t="s">
        <v>4563</v>
      </c>
      <c r="H623" s="138" t="s">
        <v>3752</v>
      </c>
      <c r="I623" s="138" t="s">
        <v>4564</v>
      </c>
      <c r="J623" s="142">
        <v>10000</v>
      </c>
      <c r="K623" s="142">
        <v>40000</v>
      </c>
      <c r="L623" s="137" t="s">
        <v>20</v>
      </c>
      <c r="M623" s="137" t="s">
        <v>20</v>
      </c>
      <c r="N623" s="137" t="s">
        <v>20</v>
      </c>
      <c r="O623" s="137" t="s">
        <v>20</v>
      </c>
      <c r="P623" s="137" t="s">
        <v>20</v>
      </c>
      <c r="Q623" s="137" t="s">
        <v>20</v>
      </c>
    </row>
    <row r="624" spans="2:17" ht="39" x14ac:dyDescent="0.25">
      <c r="B624" s="137">
        <v>622</v>
      </c>
      <c r="C624" s="135" t="s">
        <v>321</v>
      </c>
      <c r="D624" s="138" t="s">
        <v>3685</v>
      </c>
      <c r="E624" s="139">
        <v>45578</v>
      </c>
      <c r="F624" s="140">
        <v>0.28680555555555554</v>
      </c>
      <c r="G624" s="138" t="s">
        <v>4565</v>
      </c>
      <c r="H624" s="138" t="s">
        <v>3162</v>
      </c>
      <c r="I624" s="138" t="s">
        <v>4566</v>
      </c>
      <c r="J624" s="142" t="s">
        <v>4567</v>
      </c>
      <c r="K624" s="142" t="s">
        <v>3674</v>
      </c>
      <c r="L624" s="137" t="s">
        <v>20</v>
      </c>
      <c r="M624" s="137" t="s">
        <v>20</v>
      </c>
      <c r="N624" s="137" t="s">
        <v>20</v>
      </c>
      <c r="O624" s="137" t="s">
        <v>20</v>
      </c>
      <c r="P624" s="137" t="s">
        <v>20</v>
      </c>
      <c r="Q624" s="137" t="s">
        <v>20</v>
      </c>
    </row>
    <row r="625" spans="2:17" ht="39" x14ac:dyDescent="0.25">
      <c r="B625" s="137">
        <v>623</v>
      </c>
      <c r="C625" s="135" t="s">
        <v>321</v>
      </c>
      <c r="D625" s="138" t="s">
        <v>3685</v>
      </c>
      <c r="E625" s="139">
        <v>45581</v>
      </c>
      <c r="F625" s="140">
        <v>0.96736111111111112</v>
      </c>
      <c r="G625" s="138" t="s">
        <v>4568</v>
      </c>
      <c r="H625" s="138" t="s">
        <v>4561</v>
      </c>
      <c r="I625" s="138" t="s">
        <v>3687</v>
      </c>
      <c r="J625" s="142" t="s">
        <v>3674</v>
      </c>
      <c r="K625" s="142" t="s">
        <v>3674</v>
      </c>
      <c r="L625" s="137" t="s">
        <v>20</v>
      </c>
      <c r="M625" s="137" t="s">
        <v>20</v>
      </c>
      <c r="N625" s="137" t="s">
        <v>20</v>
      </c>
      <c r="O625" s="137" t="s">
        <v>20</v>
      </c>
      <c r="P625" s="137" t="s">
        <v>20</v>
      </c>
      <c r="Q625" s="137" t="s">
        <v>20</v>
      </c>
    </row>
    <row r="626" spans="2:17" ht="58.5" x14ac:dyDescent="0.25">
      <c r="B626" s="137">
        <v>624</v>
      </c>
      <c r="C626" s="135" t="s">
        <v>321</v>
      </c>
      <c r="D626" s="138" t="s">
        <v>3685</v>
      </c>
      <c r="E626" s="139">
        <v>45582</v>
      </c>
      <c r="F626" s="140">
        <v>1.5972222222222221E-2</v>
      </c>
      <c r="G626" s="138" t="s">
        <v>4569</v>
      </c>
      <c r="H626" s="138" t="s">
        <v>4570</v>
      </c>
      <c r="I626" s="138" t="s">
        <v>1947</v>
      </c>
      <c r="J626" s="142" t="s">
        <v>3674</v>
      </c>
      <c r="K626" s="142" t="s">
        <v>3674</v>
      </c>
      <c r="L626" s="137" t="s">
        <v>20</v>
      </c>
      <c r="M626" s="137" t="s">
        <v>20</v>
      </c>
      <c r="N626" s="137" t="s">
        <v>20</v>
      </c>
      <c r="O626" s="137" t="s">
        <v>20</v>
      </c>
      <c r="P626" s="137" t="s">
        <v>20</v>
      </c>
      <c r="Q626" s="137" t="s">
        <v>20</v>
      </c>
    </row>
    <row r="627" spans="2:17" ht="58.5" x14ac:dyDescent="0.25">
      <c r="B627" s="137">
        <v>625</v>
      </c>
      <c r="C627" s="135" t="s">
        <v>321</v>
      </c>
      <c r="D627" s="138" t="s">
        <v>3685</v>
      </c>
      <c r="E627" s="139">
        <v>45582</v>
      </c>
      <c r="F627" s="140">
        <v>0.60416666666666663</v>
      </c>
      <c r="G627" s="138" t="s">
        <v>4571</v>
      </c>
      <c r="H627" s="138" t="s">
        <v>4572</v>
      </c>
      <c r="I627" s="138" t="s">
        <v>4573</v>
      </c>
      <c r="J627" s="142" t="s">
        <v>354</v>
      </c>
      <c r="K627" s="142" t="s">
        <v>341</v>
      </c>
      <c r="L627" s="137" t="s">
        <v>20</v>
      </c>
      <c r="M627" s="137" t="s">
        <v>20</v>
      </c>
      <c r="N627" s="137" t="s">
        <v>20</v>
      </c>
      <c r="O627" s="137" t="s">
        <v>20</v>
      </c>
      <c r="P627" s="137" t="s">
        <v>20</v>
      </c>
      <c r="Q627" s="137" t="s">
        <v>20</v>
      </c>
    </row>
    <row r="628" spans="2:17" ht="58.5" x14ac:dyDescent="0.25">
      <c r="B628" s="137">
        <v>626</v>
      </c>
      <c r="C628" s="135" t="s">
        <v>321</v>
      </c>
      <c r="D628" s="138" t="s">
        <v>3685</v>
      </c>
      <c r="E628" s="139">
        <v>45585</v>
      </c>
      <c r="F628" s="140">
        <v>0.90347222222222223</v>
      </c>
      <c r="G628" s="138" t="s">
        <v>4574</v>
      </c>
      <c r="H628" s="138" t="s">
        <v>4572</v>
      </c>
      <c r="I628" s="138" t="s">
        <v>4575</v>
      </c>
      <c r="J628" s="142" t="s">
        <v>354</v>
      </c>
      <c r="K628" s="142" t="s">
        <v>341</v>
      </c>
      <c r="L628" s="137" t="s">
        <v>20</v>
      </c>
      <c r="M628" s="137" t="s">
        <v>20</v>
      </c>
      <c r="N628" s="137" t="s">
        <v>20</v>
      </c>
      <c r="O628" s="137" t="s">
        <v>20</v>
      </c>
      <c r="P628" s="137" t="s">
        <v>20</v>
      </c>
      <c r="Q628" s="137" t="s">
        <v>20</v>
      </c>
    </row>
    <row r="629" spans="2:17" ht="39" x14ac:dyDescent="0.25">
      <c r="B629" s="137">
        <v>627</v>
      </c>
      <c r="C629" s="135" t="s">
        <v>321</v>
      </c>
      <c r="D629" s="138" t="s">
        <v>3685</v>
      </c>
      <c r="E629" s="139">
        <v>45586</v>
      </c>
      <c r="F629" s="140">
        <v>0.55486111111111114</v>
      </c>
      <c r="G629" s="138" t="s">
        <v>4576</v>
      </c>
      <c r="H629" s="138" t="s">
        <v>4577</v>
      </c>
      <c r="I629" s="138" t="s">
        <v>4559</v>
      </c>
      <c r="J629" s="142">
        <v>5000</v>
      </c>
      <c r="K629" s="142">
        <v>45000</v>
      </c>
      <c r="L629" s="137" t="s">
        <v>20</v>
      </c>
      <c r="M629" s="137" t="s">
        <v>20</v>
      </c>
      <c r="N629" s="137" t="s">
        <v>20</v>
      </c>
      <c r="O629" s="137" t="s">
        <v>20</v>
      </c>
      <c r="P629" s="137" t="s">
        <v>20</v>
      </c>
      <c r="Q629" s="137" t="s">
        <v>20</v>
      </c>
    </row>
    <row r="630" spans="2:17" ht="39" x14ac:dyDescent="0.25">
      <c r="B630" s="137">
        <v>628</v>
      </c>
      <c r="C630" s="135" t="s">
        <v>321</v>
      </c>
      <c r="D630" s="138" t="s">
        <v>3685</v>
      </c>
      <c r="E630" s="139">
        <v>45594</v>
      </c>
      <c r="F630" s="140">
        <v>0.90277777777777779</v>
      </c>
      <c r="G630" s="138" t="s">
        <v>4578</v>
      </c>
      <c r="H630" s="138" t="s">
        <v>3090</v>
      </c>
      <c r="I630" s="138" t="s">
        <v>4579</v>
      </c>
      <c r="J630" s="142">
        <v>95000</v>
      </c>
      <c r="K630" s="142">
        <v>105000</v>
      </c>
      <c r="L630" s="137" t="s">
        <v>20</v>
      </c>
      <c r="M630" s="137" t="s">
        <v>20</v>
      </c>
      <c r="N630" s="137" t="s">
        <v>20</v>
      </c>
      <c r="O630" s="137" t="s">
        <v>20</v>
      </c>
      <c r="P630" s="137" t="s">
        <v>20</v>
      </c>
      <c r="Q630" s="137" t="s">
        <v>20</v>
      </c>
    </row>
    <row r="631" spans="2:17" ht="39" x14ac:dyDescent="0.25">
      <c r="B631" s="137">
        <v>629</v>
      </c>
      <c r="C631" s="135" t="s">
        <v>321</v>
      </c>
      <c r="D631" s="138" t="s">
        <v>3685</v>
      </c>
      <c r="E631" s="139">
        <v>45596</v>
      </c>
      <c r="F631" s="140">
        <v>0.94652777777777775</v>
      </c>
      <c r="G631" s="138" t="s">
        <v>4580</v>
      </c>
      <c r="H631" s="138" t="s">
        <v>498</v>
      </c>
      <c r="I631" s="138" t="s">
        <v>4581</v>
      </c>
      <c r="J631" s="142" t="s">
        <v>354</v>
      </c>
      <c r="K631" s="142" t="s">
        <v>341</v>
      </c>
      <c r="L631" s="137" t="s">
        <v>20</v>
      </c>
      <c r="M631" s="137" t="s">
        <v>20</v>
      </c>
      <c r="N631" s="137" t="s">
        <v>20</v>
      </c>
      <c r="O631" s="137" t="s">
        <v>20</v>
      </c>
      <c r="P631" s="137" t="s">
        <v>20</v>
      </c>
      <c r="Q631" s="137" t="s">
        <v>20</v>
      </c>
    </row>
    <row r="632" spans="2:17" ht="21" x14ac:dyDescent="0.25">
      <c r="B632" s="137">
        <v>630</v>
      </c>
      <c r="C632" s="135" t="s">
        <v>321</v>
      </c>
      <c r="D632" s="138" t="s">
        <v>3685</v>
      </c>
      <c r="E632" s="139">
        <v>45596</v>
      </c>
      <c r="F632" s="140">
        <v>0.96527777777777779</v>
      </c>
      <c r="G632" s="138" t="s">
        <v>4582</v>
      </c>
      <c r="H632" s="138" t="s">
        <v>4583</v>
      </c>
      <c r="I632" s="138" t="s">
        <v>4584</v>
      </c>
      <c r="J632" s="142">
        <v>2000</v>
      </c>
      <c r="K632" s="142" t="s">
        <v>354</v>
      </c>
      <c r="L632" s="137" t="s">
        <v>20</v>
      </c>
      <c r="M632" s="137" t="s">
        <v>20</v>
      </c>
      <c r="N632" s="137" t="s">
        <v>20</v>
      </c>
      <c r="O632" s="137" t="s">
        <v>20</v>
      </c>
      <c r="P632" s="137" t="s">
        <v>20</v>
      </c>
      <c r="Q632" s="137" t="s">
        <v>20</v>
      </c>
    </row>
    <row r="633" spans="2:17" ht="39" x14ac:dyDescent="0.25">
      <c r="B633" s="137">
        <v>631</v>
      </c>
      <c r="C633" s="135" t="s">
        <v>321</v>
      </c>
      <c r="D633" s="138" t="s">
        <v>4111</v>
      </c>
      <c r="E633" s="139">
        <v>45581</v>
      </c>
      <c r="F633" s="140">
        <v>0.49652777777777779</v>
      </c>
      <c r="G633" s="138" t="s">
        <v>4585</v>
      </c>
      <c r="H633" s="138" t="s">
        <v>4108</v>
      </c>
      <c r="I633" s="138" t="s">
        <v>390</v>
      </c>
      <c r="J633" s="142">
        <v>400000</v>
      </c>
      <c r="K633" s="142">
        <v>2100000</v>
      </c>
      <c r="L633" s="137" t="s">
        <v>20</v>
      </c>
      <c r="M633" s="137" t="s">
        <v>20</v>
      </c>
      <c r="N633" s="137" t="s">
        <v>20</v>
      </c>
      <c r="O633" s="137" t="s">
        <v>20</v>
      </c>
      <c r="P633" s="137" t="s">
        <v>20</v>
      </c>
      <c r="Q633" s="137" t="s">
        <v>20</v>
      </c>
    </row>
    <row r="634" spans="2:17" ht="58.5" x14ac:dyDescent="0.25">
      <c r="B634" s="137">
        <v>632</v>
      </c>
      <c r="C634" s="135" t="s">
        <v>321</v>
      </c>
      <c r="D634" s="138" t="s">
        <v>3654</v>
      </c>
      <c r="E634" s="139">
        <v>45567</v>
      </c>
      <c r="F634" s="140">
        <v>0.56180555555555556</v>
      </c>
      <c r="G634" s="138" t="s">
        <v>4586</v>
      </c>
      <c r="H634" s="138" t="s">
        <v>4587</v>
      </c>
      <c r="I634" s="138" t="s">
        <v>4588</v>
      </c>
      <c r="J634" s="142">
        <v>2000</v>
      </c>
      <c r="K634" s="142">
        <v>49998000</v>
      </c>
      <c r="L634" s="137" t="s">
        <v>20</v>
      </c>
      <c r="M634" s="137" t="s">
        <v>20</v>
      </c>
      <c r="N634" s="137" t="s">
        <v>20</v>
      </c>
      <c r="O634" s="137" t="s">
        <v>20</v>
      </c>
      <c r="P634" s="137" t="s">
        <v>20</v>
      </c>
      <c r="Q634" s="137" t="s">
        <v>20</v>
      </c>
    </row>
    <row r="635" spans="2:17" ht="78" x14ac:dyDescent="0.25">
      <c r="B635" s="137">
        <v>633</v>
      </c>
      <c r="C635" s="135" t="s">
        <v>321</v>
      </c>
      <c r="D635" s="138" t="s">
        <v>3776</v>
      </c>
      <c r="E635" s="139">
        <v>45583</v>
      </c>
      <c r="F635" s="140">
        <v>0.2048611111111111</v>
      </c>
      <c r="G635" s="138" t="s">
        <v>4589</v>
      </c>
      <c r="H635" s="138" t="s">
        <v>4590</v>
      </c>
      <c r="I635" s="138" t="s">
        <v>4591</v>
      </c>
      <c r="J635" s="142">
        <v>900000</v>
      </c>
      <c r="K635" s="142">
        <v>9100000</v>
      </c>
      <c r="L635" s="137" t="s">
        <v>20</v>
      </c>
      <c r="M635" s="137" t="s">
        <v>20</v>
      </c>
      <c r="N635" s="137" t="s">
        <v>20</v>
      </c>
      <c r="O635" s="137" t="s">
        <v>20</v>
      </c>
      <c r="P635" s="137" t="s">
        <v>20</v>
      </c>
      <c r="Q635" s="137" t="s">
        <v>20</v>
      </c>
    </row>
    <row r="636" spans="2:17" ht="30.75" customHeight="1" x14ac:dyDescent="0.25">
      <c r="B636" s="137">
        <v>634</v>
      </c>
      <c r="C636" s="135" t="s">
        <v>321</v>
      </c>
      <c r="D636" s="138" t="s">
        <v>3776</v>
      </c>
      <c r="E636" s="139">
        <v>45591</v>
      </c>
      <c r="F636" s="145">
        <v>0.63472222222222219</v>
      </c>
      <c r="G636" s="138" t="s">
        <v>4592</v>
      </c>
      <c r="H636" s="138" t="s">
        <v>4593</v>
      </c>
      <c r="I636" s="138" t="s">
        <v>4594</v>
      </c>
      <c r="J636" s="142">
        <v>200000</v>
      </c>
      <c r="K636" s="142">
        <v>800000</v>
      </c>
      <c r="L636" s="137" t="s">
        <v>20</v>
      </c>
      <c r="M636" s="137" t="s">
        <v>20</v>
      </c>
      <c r="N636" s="137" t="s">
        <v>20</v>
      </c>
      <c r="O636" s="137" t="s">
        <v>20</v>
      </c>
      <c r="P636" s="137" t="s">
        <v>20</v>
      </c>
      <c r="Q636" s="137" t="s">
        <v>20</v>
      </c>
    </row>
    <row r="637" spans="2:17" ht="58.5" x14ac:dyDescent="0.25">
      <c r="B637" s="137">
        <v>635</v>
      </c>
      <c r="C637" s="135" t="s">
        <v>321</v>
      </c>
      <c r="D637" s="138" t="s">
        <v>3776</v>
      </c>
      <c r="E637" s="139">
        <v>45591</v>
      </c>
      <c r="F637" s="140">
        <v>0.94444444444444442</v>
      </c>
      <c r="G637" s="138" t="s">
        <v>4595</v>
      </c>
      <c r="H637" s="138" t="s">
        <v>4596</v>
      </c>
      <c r="I637" s="138" t="s">
        <v>4597</v>
      </c>
      <c r="J637" s="142" t="s">
        <v>341</v>
      </c>
      <c r="K637" s="142">
        <v>500000</v>
      </c>
      <c r="L637" s="137" t="s">
        <v>20</v>
      </c>
      <c r="M637" s="137" t="s">
        <v>20</v>
      </c>
      <c r="N637" s="137" t="s">
        <v>20</v>
      </c>
      <c r="O637" s="137" t="s">
        <v>20</v>
      </c>
      <c r="P637" s="137" t="s">
        <v>20</v>
      </c>
      <c r="Q637" s="137" t="s">
        <v>20</v>
      </c>
    </row>
    <row r="638" spans="2:17" ht="78" x14ac:dyDescent="0.25">
      <c r="B638" s="137">
        <v>636</v>
      </c>
      <c r="C638" s="135" t="s">
        <v>321</v>
      </c>
      <c r="D638" s="138" t="s">
        <v>3776</v>
      </c>
      <c r="E638" s="139">
        <v>45596</v>
      </c>
      <c r="F638" s="140">
        <v>0.70833333333333337</v>
      </c>
      <c r="G638" s="138" t="s">
        <v>4589</v>
      </c>
      <c r="H638" s="138" t="s">
        <v>4598</v>
      </c>
      <c r="I638" s="138" t="s">
        <v>4599</v>
      </c>
      <c r="J638" s="142">
        <v>20000</v>
      </c>
      <c r="K638" s="142">
        <v>9980000</v>
      </c>
      <c r="L638" s="137" t="s">
        <v>20</v>
      </c>
      <c r="M638" s="137" t="s">
        <v>20</v>
      </c>
      <c r="N638" s="137" t="s">
        <v>20</v>
      </c>
      <c r="O638" s="137" t="s">
        <v>20</v>
      </c>
      <c r="P638" s="137" t="s">
        <v>20</v>
      </c>
      <c r="Q638" s="137" t="s">
        <v>20</v>
      </c>
    </row>
    <row r="639" spans="2:17" ht="58.5" x14ac:dyDescent="0.25">
      <c r="B639" s="137">
        <v>637</v>
      </c>
      <c r="C639" s="135" t="s">
        <v>321</v>
      </c>
      <c r="D639" s="138" t="s">
        <v>3776</v>
      </c>
      <c r="E639" s="139">
        <v>45596</v>
      </c>
      <c r="F639" s="140">
        <v>0.86458333333333337</v>
      </c>
      <c r="G639" s="138" t="s">
        <v>4600</v>
      </c>
      <c r="H639" s="138" t="s">
        <v>4601</v>
      </c>
      <c r="I639" s="138" t="s">
        <v>4228</v>
      </c>
      <c r="J639" s="142" t="s">
        <v>341</v>
      </c>
      <c r="K639" s="142">
        <v>1000000</v>
      </c>
      <c r="L639" s="137" t="s">
        <v>20</v>
      </c>
      <c r="M639" s="137" t="s">
        <v>20</v>
      </c>
      <c r="N639" s="137" t="s">
        <v>20</v>
      </c>
      <c r="O639" s="137" t="s">
        <v>20</v>
      </c>
      <c r="P639" s="137" t="s">
        <v>20</v>
      </c>
      <c r="Q639" s="137" t="s">
        <v>20</v>
      </c>
    </row>
    <row r="640" spans="2:17" ht="58.5" x14ac:dyDescent="0.25">
      <c r="B640" s="137">
        <v>638</v>
      </c>
      <c r="C640" s="135" t="s">
        <v>321</v>
      </c>
      <c r="D640" s="138" t="s">
        <v>3776</v>
      </c>
      <c r="E640" s="139">
        <v>45596</v>
      </c>
      <c r="F640" s="140">
        <v>0.97569444444444442</v>
      </c>
      <c r="G640" s="138" t="s">
        <v>4602</v>
      </c>
      <c r="H640" s="138" t="s">
        <v>3934</v>
      </c>
      <c r="I640" s="138" t="s">
        <v>4603</v>
      </c>
      <c r="J640" s="142">
        <v>200000</v>
      </c>
      <c r="K640" s="142">
        <v>1800000</v>
      </c>
      <c r="L640" s="137" t="s">
        <v>20</v>
      </c>
      <c r="M640" s="137" t="s">
        <v>20</v>
      </c>
      <c r="N640" s="137" t="s">
        <v>20</v>
      </c>
      <c r="O640" s="137" t="s">
        <v>20</v>
      </c>
      <c r="P640" s="137" t="s">
        <v>20</v>
      </c>
      <c r="Q640" s="137" t="s">
        <v>20</v>
      </c>
    </row>
    <row r="641" spans="2:17" ht="39" x14ac:dyDescent="0.25">
      <c r="B641" s="137">
        <v>639</v>
      </c>
      <c r="C641" s="135" t="s">
        <v>321</v>
      </c>
      <c r="D641" s="138" t="s">
        <v>3721</v>
      </c>
      <c r="E641" s="139">
        <v>45572</v>
      </c>
      <c r="F641" s="140">
        <v>0.7416666666666667</v>
      </c>
      <c r="G641" s="141" t="s">
        <v>4604</v>
      </c>
      <c r="H641" s="138" t="s">
        <v>3902</v>
      </c>
      <c r="I641" s="141" t="s">
        <v>1947</v>
      </c>
      <c r="J641" s="142">
        <v>10000</v>
      </c>
      <c r="K641" s="142">
        <v>990000</v>
      </c>
      <c r="L641" s="137" t="s">
        <v>20</v>
      </c>
      <c r="M641" s="137" t="s">
        <v>20</v>
      </c>
      <c r="N641" s="137" t="s">
        <v>20</v>
      </c>
      <c r="O641" s="137" t="s">
        <v>20</v>
      </c>
      <c r="P641" s="137" t="s">
        <v>20</v>
      </c>
      <c r="Q641" s="137" t="s">
        <v>20</v>
      </c>
    </row>
    <row r="642" spans="2:17" ht="58.5" x14ac:dyDescent="0.25">
      <c r="B642" s="137">
        <v>640</v>
      </c>
      <c r="C642" s="135" t="s">
        <v>321</v>
      </c>
      <c r="D642" s="138" t="s">
        <v>3721</v>
      </c>
      <c r="E642" s="139">
        <v>45596</v>
      </c>
      <c r="F642" s="140">
        <v>0.79374999999999996</v>
      </c>
      <c r="G642" s="141" t="s">
        <v>4605</v>
      </c>
      <c r="H642" s="138" t="s">
        <v>4601</v>
      </c>
      <c r="I642" s="138" t="s">
        <v>4228</v>
      </c>
      <c r="J642" s="142" t="s">
        <v>341</v>
      </c>
      <c r="K642" s="142">
        <v>1000000</v>
      </c>
      <c r="L642" s="137" t="s">
        <v>20</v>
      </c>
      <c r="M642" s="137" t="s">
        <v>20</v>
      </c>
      <c r="N642" s="137" t="s">
        <v>20</v>
      </c>
      <c r="O642" s="137" t="s">
        <v>20</v>
      </c>
      <c r="P642" s="137" t="s">
        <v>20</v>
      </c>
      <c r="Q642" s="137" t="s">
        <v>20</v>
      </c>
    </row>
    <row r="643" spans="2:17" ht="21.75" customHeight="1" x14ac:dyDescent="0.25">
      <c r="B643" s="137">
        <v>641</v>
      </c>
      <c r="C643" s="135" t="s">
        <v>321</v>
      </c>
      <c r="D643" s="138" t="s">
        <v>334</v>
      </c>
      <c r="E643" s="139">
        <v>45568</v>
      </c>
      <c r="F643" s="140">
        <v>0.24583333333333332</v>
      </c>
      <c r="G643" s="138" t="s">
        <v>4606</v>
      </c>
      <c r="H643" s="138" t="s">
        <v>544</v>
      </c>
      <c r="I643" s="138" t="s">
        <v>545</v>
      </c>
      <c r="J643" s="142">
        <v>300000</v>
      </c>
      <c r="K643" s="142">
        <v>700000</v>
      </c>
      <c r="L643" s="137" t="s">
        <v>20</v>
      </c>
      <c r="M643" s="137" t="s">
        <v>20</v>
      </c>
      <c r="N643" s="137" t="s">
        <v>20</v>
      </c>
      <c r="O643" s="137" t="s">
        <v>20</v>
      </c>
      <c r="P643" s="137" t="s">
        <v>20</v>
      </c>
      <c r="Q643" s="137" t="s">
        <v>20</v>
      </c>
    </row>
    <row r="644" spans="2:17" ht="39" x14ac:dyDescent="0.25">
      <c r="B644" s="137">
        <v>642</v>
      </c>
      <c r="C644" s="135" t="s">
        <v>321</v>
      </c>
      <c r="D644" s="138" t="s">
        <v>334</v>
      </c>
      <c r="E644" s="139">
        <v>45590</v>
      </c>
      <c r="F644" s="140">
        <v>0.44444444444444442</v>
      </c>
      <c r="G644" s="138" t="s">
        <v>4607</v>
      </c>
      <c r="H644" s="138" t="s">
        <v>546</v>
      </c>
      <c r="I644" s="138" t="s">
        <v>547</v>
      </c>
      <c r="J644" s="142">
        <v>25000</v>
      </c>
      <c r="K644" s="142">
        <v>975000</v>
      </c>
      <c r="L644" s="137" t="s">
        <v>20</v>
      </c>
      <c r="M644" s="137" t="s">
        <v>20</v>
      </c>
      <c r="N644" s="137" t="s">
        <v>20</v>
      </c>
      <c r="O644" s="137" t="s">
        <v>20</v>
      </c>
      <c r="P644" s="137" t="s">
        <v>20</v>
      </c>
      <c r="Q644" s="137" t="s">
        <v>20</v>
      </c>
    </row>
    <row r="645" spans="2:17" ht="17.25" customHeight="1" x14ac:dyDescent="0.25">
      <c r="B645" s="137">
        <v>643</v>
      </c>
      <c r="C645" s="135" t="s">
        <v>321</v>
      </c>
      <c r="D645" s="138" t="s">
        <v>334</v>
      </c>
      <c r="E645" s="139">
        <v>45590</v>
      </c>
      <c r="F645" s="145">
        <v>0.65277777777777779</v>
      </c>
      <c r="G645" s="138" t="s">
        <v>548</v>
      </c>
      <c r="H645" s="138" t="s">
        <v>546</v>
      </c>
      <c r="I645" s="138" t="s">
        <v>547</v>
      </c>
      <c r="J645" s="142">
        <v>25000</v>
      </c>
      <c r="K645" s="142">
        <v>975000</v>
      </c>
      <c r="L645" s="137" t="s">
        <v>20</v>
      </c>
      <c r="M645" s="137" t="s">
        <v>20</v>
      </c>
      <c r="N645" s="137" t="s">
        <v>20</v>
      </c>
      <c r="O645" s="137" t="s">
        <v>20</v>
      </c>
      <c r="P645" s="137" t="s">
        <v>20</v>
      </c>
      <c r="Q645" s="137" t="s">
        <v>20</v>
      </c>
    </row>
    <row r="646" spans="2:17" ht="21.75" customHeight="1" x14ac:dyDescent="0.25">
      <c r="B646" s="137">
        <v>644</v>
      </c>
      <c r="C646" s="135" t="s">
        <v>321</v>
      </c>
      <c r="D646" s="138" t="s">
        <v>334</v>
      </c>
      <c r="E646" s="139">
        <v>45595</v>
      </c>
      <c r="F646" s="140">
        <v>0.51944444444444449</v>
      </c>
      <c r="G646" s="138" t="s">
        <v>4608</v>
      </c>
      <c r="H646" s="138" t="s">
        <v>546</v>
      </c>
      <c r="I646" s="138" t="s">
        <v>547</v>
      </c>
      <c r="J646" s="142">
        <v>25000</v>
      </c>
      <c r="K646" s="142">
        <v>975000</v>
      </c>
      <c r="L646" s="137" t="s">
        <v>20</v>
      </c>
      <c r="M646" s="137" t="s">
        <v>20</v>
      </c>
      <c r="N646" s="137" t="s">
        <v>20</v>
      </c>
      <c r="O646" s="137" t="s">
        <v>20</v>
      </c>
      <c r="P646" s="137" t="s">
        <v>20</v>
      </c>
      <c r="Q646" s="137" t="s">
        <v>20</v>
      </c>
    </row>
    <row r="647" spans="2:17" ht="58.5" x14ac:dyDescent="0.25">
      <c r="B647" s="137">
        <v>645</v>
      </c>
      <c r="C647" s="135" t="s">
        <v>321</v>
      </c>
      <c r="D647" s="138" t="s">
        <v>306</v>
      </c>
      <c r="E647" s="139">
        <v>45573</v>
      </c>
      <c r="F647" s="140">
        <v>0.5229166666666667</v>
      </c>
      <c r="G647" s="141" t="s">
        <v>4609</v>
      </c>
      <c r="H647" s="141" t="s">
        <v>4542</v>
      </c>
      <c r="I647" s="144" t="s">
        <v>4610</v>
      </c>
      <c r="J647" s="142">
        <v>1000</v>
      </c>
      <c r="K647" s="142">
        <v>10000</v>
      </c>
      <c r="L647" s="137" t="s">
        <v>20</v>
      </c>
      <c r="M647" s="137" t="s">
        <v>20</v>
      </c>
      <c r="N647" s="137" t="s">
        <v>20</v>
      </c>
      <c r="O647" s="137" t="s">
        <v>20</v>
      </c>
      <c r="P647" s="137" t="s">
        <v>20</v>
      </c>
      <c r="Q647" s="137" t="s">
        <v>20</v>
      </c>
    </row>
    <row r="648" spans="2:17" ht="78" x14ac:dyDescent="0.25">
      <c r="B648" s="137">
        <v>646</v>
      </c>
      <c r="C648" s="135" t="s">
        <v>321</v>
      </c>
      <c r="D648" s="138" t="s">
        <v>306</v>
      </c>
      <c r="E648" s="139">
        <v>45574</v>
      </c>
      <c r="F648" s="140">
        <v>0.56111111111111112</v>
      </c>
      <c r="G648" s="141" t="s">
        <v>4611</v>
      </c>
      <c r="H648" s="141" t="s">
        <v>4542</v>
      </c>
      <c r="I648" s="144" t="s">
        <v>4612</v>
      </c>
      <c r="J648" s="142">
        <v>1500</v>
      </c>
      <c r="K648" s="142">
        <v>15000</v>
      </c>
      <c r="L648" s="137" t="s">
        <v>20</v>
      </c>
      <c r="M648" s="137" t="s">
        <v>20</v>
      </c>
      <c r="N648" s="137" t="s">
        <v>20</v>
      </c>
      <c r="O648" s="137" t="s">
        <v>20</v>
      </c>
      <c r="P648" s="137" t="s">
        <v>20</v>
      </c>
      <c r="Q648" s="137" t="s">
        <v>20</v>
      </c>
    </row>
    <row r="649" spans="2:17" ht="78" x14ac:dyDescent="0.25">
      <c r="B649" s="137">
        <v>647</v>
      </c>
      <c r="C649" s="135" t="s">
        <v>321</v>
      </c>
      <c r="D649" s="138" t="s">
        <v>306</v>
      </c>
      <c r="E649" s="139">
        <v>45580</v>
      </c>
      <c r="F649" s="140">
        <v>0.47986111111111113</v>
      </c>
      <c r="G649" s="141" t="s">
        <v>4613</v>
      </c>
      <c r="H649" s="141" t="s">
        <v>4542</v>
      </c>
      <c r="I649" s="144" t="s">
        <v>4614</v>
      </c>
      <c r="J649" s="142">
        <v>5000</v>
      </c>
      <c r="K649" s="142">
        <v>200000</v>
      </c>
      <c r="L649" s="137" t="s">
        <v>20</v>
      </c>
      <c r="M649" s="137" t="s">
        <v>20</v>
      </c>
      <c r="N649" s="137" t="s">
        <v>20</v>
      </c>
      <c r="O649" s="137" t="s">
        <v>20</v>
      </c>
      <c r="P649" s="137" t="s">
        <v>20</v>
      </c>
      <c r="Q649" s="137" t="s">
        <v>20</v>
      </c>
    </row>
    <row r="650" spans="2:17" ht="78" x14ac:dyDescent="0.25">
      <c r="B650" s="137">
        <v>648</v>
      </c>
      <c r="C650" s="135" t="s">
        <v>321</v>
      </c>
      <c r="D650" s="138" t="s">
        <v>306</v>
      </c>
      <c r="E650" s="139">
        <v>45582</v>
      </c>
      <c r="F650" s="140">
        <v>0.98819444444444449</v>
      </c>
      <c r="G650" s="141" t="s">
        <v>4615</v>
      </c>
      <c r="H650" s="141" t="s">
        <v>2873</v>
      </c>
      <c r="I650" s="144" t="s">
        <v>4616</v>
      </c>
      <c r="J650" s="142"/>
      <c r="K650" s="142"/>
      <c r="L650" s="137" t="s">
        <v>20</v>
      </c>
      <c r="M650" s="137" t="s">
        <v>20</v>
      </c>
      <c r="N650" s="137" t="s">
        <v>20</v>
      </c>
      <c r="O650" s="137" t="s">
        <v>20</v>
      </c>
      <c r="P650" s="137" t="s">
        <v>20</v>
      </c>
      <c r="Q650" s="137" t="s">
        <v>20</v>
      </c>
    </row>
    <row r="651" spans="2:17" ht="78" x14ac:dyDescent="0.25">
      <c r="B651" s="137">
        <v>649</v>
      </c>
      <c r="C651" s="135" t="s">
        <v>321</v>
      </c>
      <c r="D651" s="138" t="s">
        <v>306</v>
      </c>
      <c r="E651" s="139">
        <v>45583</v>
      </c>
      <c r="F651" s="140">
        <v>0.2986111111111111</v>
      </c>
      <c r="G651" s="141" t="s">
        <v>4615</v>
      </c>
      <c r="H651" s="141" t="s">
        <v>2873</v>
      </c>
      <c r="I651" s="144" t="s">
        <v>4617</v>
      </c>
      <c r="J651" s="142"/>
      <c r="K651" s="142"/>
      <c r="L651" s="137" t="s">
        <v>20</v>
      </c>
      <c r="M651" s="137" t="s">
        <v>20</v>
      </c>
      <c r="N651" s="137" t="s">
        <v>20</v>
      </c>
      <c r="O651" s="137" t="s">
        <v>20</v>
      </c>
      <c r="P651" s="137" t="s">
        <v>20</v>
      </c>
      <c r="Q651" s="137" t="s">
        <v>20</v>
      </c>
    </row>
    <row r="652" spans="2:17" ht="78" x14ac:dyDescent="0.25">
      <c r="B652" s="137">
        <v>650</v>
      </c>
      <c r="C652" s="135" t="s">
        <v>321</v>
      </c>
      <c r="D652" s="138" t="s">
        <v>306</v>
      </c>
      <c r="E652" s="139">
        <v>45585</v>
      </c>
      <c r="F652" s="140">
        <v>0.51736111111111116</v>
      </c>
      <c r="G652" s="141" t="s">
        <v>4618</v>
      </c>
      <c r="H652" s="141" t="s">
        <v>4619</v>
      </c>
      <c r="I652" s="144" t="s">
        <v>4620</v>
      </c>
      <c r="J652" s="142">
        <v>5000</v>
      </c>
      <c r="K652" s="142">
        <v>5000</v>
      </c>
      <c r="L652" s="137" t="s">
        <v>20</v>
      </c>
      <c r="M652" s="137" t="s">
        <v>20</v>
      </c>
      <c r="N652" s="137" t="s">
        <v>20</v>
      </c>
      <c r="O652" s="137" t="s">
        <v>20</v>
      </c>
      <c r="P652" s="137" t="s">
        <v>20</v>
      </c>
      <c r="Q652" s="137" t="s">
        <v>20</v>
      </c>
    </row>
    <row r="653" spans="2:17" ht="78" x14ac:dyDescent="0.25">
      <c r="B653" s="137">
        <v>651</v>
      </c>
      <c r="C653" s="135" t="s">
        <v>321</v>
      </c>
      <c r="D653" s="138" t="s">
        <v>306</v>
      </c>
      <c r="E653" s="139">
        <v>45587</v>
      </c>
      <c r="F653" s="140">
        <v>0.61527777777777781</v>
      </c>
      <c r="G653" s="141" t="s">
        <v>4621</v>
      </c>
      <c r="H653" s="141" t="s">
        <v>4542</v>
      </c>
      <c r="I653" s="144" t="s">
        <v>4622</v>
      </c>
      <c r="J653" s="142">
        <v>1000</v>
      </c>
      <c r="K653" s="142">
        <v>1500</v>
      </c>
      <c r="L653" s="137" t="s">
        <v>20</v>
      </c>
      <c r="M653" s="137" t="s">
        <v>20</v>
      </c>
      <c r="N653" s="137" t="s">
        <v>20</v>
      </c>
      <c r="O653" s="137" t="s">
        <v>20</v>
      </c>
      <c r="P653" s="137" t="s">
        <v>20</v>
      </c>
      <c r="Q653" s="137" t="s">
        <v>20</v>
      </c>
    </row>
    <row r="654" spans="2:17" ht="97.5" x14ac:dyDescent="0.25">
      <c r="B654" s="137">
        <v>652</v>
      </c>
      <c r="C654" s="135" t="s">
        <v>321</v>
      </c>
      <c r="D654" s="138" t="s">
        <v>306</v>
      </c>
      <c r="E654" s="139">
        <v>45594</v>
      </c>
      <c r="F654" s="140">
        <v>0.16875000000000001</v>
      </c>
      <c r="G654" s="141" t="s">
        <v>4623</v>
      </c>
      <c r="H654" s="141" t="s">
        <v>3090</v>
      </c>
      <c r="I654" s="144" t="s">
        <v>4624</v>
      </c>
      <c r="J654" s="142">
        <v>200000</v>
      </c>
      <c r="K654" s="142">
        <v>1000000</v>
      </c>
      <c r="L654" s="137" t="s">
        <v>20</v>
      </c>
      <c r="M654" s="137" t="s">
        <v>20</v>
      </c>
      <c r="N654" s="137" t="s">
        <v>20</v>
      </c>
      <c r="O654" s="137" t="s">
        <v>20</v>
      </c>
      <c r="P654" s="137" t="s">
        <v>20</v>
      </c>
      <c r="Q654" s="137" t="s">
        <v>20</v>
      </c>
    </row>
    <row r="655" spans="2:17" ht="58.5" x14ac:dyDescent="0.25">
      <c r="B655" s="137">
        <v>653</v>
      </c>
      <c r="C655" s="135" t="s">
        <v>321</v>
      </c>
      <c r="D655" s="138" t="s">
        <v>3776</v>
      </c>
      <c r="E655" s="139">
        <v>45597</v>
      </c>
      <c r="F655" s="140">
        <v>0.82986111111111116</v>
      </c>
      <c r="G655" s="141" t="s">
        <v>4625</v>
      </c>
      <c r="H655" s="141" t="s">
        <v>4626</v>
      </c>
      <c r="I655" s="141" t="s">
        <v>4627</v>
      </c>
      <c r="J655" s="142">
        <v>20000</v>
      </c>
      <c r="K655" s="142">
        <v>980000</v>
      </c>
      <c r="L655" s="141" t="s">
        <v>20</v>
      </c>
      <c r="M655" s="141" t="s">
        <v>20</v>
      </c>
      <c r="N655" s="141" t="s">
        <v>20</v>
      </c>
      <c r="O655" s="141" t="s">
        <v>20</v>
      </c>
      <c r="P655" s="141" t="s">
        <v>20</v>
      </c>
      <c r="Q655" s="141" t="s">
        <v>20</v>
      </c>
    </row>
    <row r="656" spans="2:17" ht="97.5" x14ac:dyDescent="0.25">
      <c r="B656" s="137">
        <v>654</v>
      </c>
      <c r="C656" s="135" t="s">
        <v>321</v>
      </c>
      <c r="D656" s="138" t="s">
        <v>3776</v>
      </c>
      <c r="E656" s="139">
        <v>45598</v>
      </c>
      <c r="F656" s="140">
        <v>0.94722222222222219</v>
      </c>
      <c r="G656" s="141" t="s">
        <v>4628</v>
      </c>
      <c r="H656" s="141" t="s">
        <v>4629</v>
      </c>
      <c r="I656" s="141" t="s">
        <v>20</v>
      </c>
      <c r="J656" s="142" t="s">
        <v>341</v>
      </c>
      <c r="K656" s="142" t="s">
        <v>341</v>
      </c>
      <c r="L656" s="137" t="s">
        <v>20</v>
      </c>
      <c r="M656" s="137" t="s">
        <v>20</v>
      </c>
      <c r="N656" s="141" t="s">
        <v>20</v>
      </c>
      <c r="O656" s="137" t="s">
        <v>20</v>
      </c>
      <c r="P656" s="137" t="s">
        <v>20</v>
      </c>
      <c r="Q656" s="137" t="s">
        <v>20</v>
      </c>
    </row>
    <row r="657" spans="2:17" ht="58.5" x14ac:dyDescent="0.25">
      <c r="B657" s="137">
        <v>655</v>
      </c>
      <c r="C657" s="135" t="s">
        <v>321</v>
      </c>
      <c r="D657" s="138" t="s">
        <v>3776</v>
      </c>
      <c r="E657" s="139">
        <v>45599</v>
      </c>
      <c r="F657" s="145">
        <v>0.60763888888888884</v>
      </c>
      <c r="G657" s="138" t="s">
        <v>4630</v>
      </c>
      <c r="H657" s="138" t="s">
        <v>4631</v>
      </c>
      <c r="I657" s="138" t="s">
        <v>4632</v>
      </c>
      <c r="J657" s="142">
        <v>40000</v>
      </c>
      <c r="K657" s="142">
        <v>60000</v>
      </c>
      <c r="L657" s="137" t="s">
        <v>20</v>
      </c>
      <c r="M657" s="137" t="s">
        <v>20</v>
      </c>
      <c r="N657" s="137" t="s">
        <v>20</v>
      </c>
      <c r="O657" s="137" t="s">
        <v>20</v>
      </c>
      <c r="P657" s="137" t="s">
        <v>20</v>
      </c>
      <c r="Q657" s="137" t="s">
        <v>20</v>
      </c>
    </row>
    <row r="658" spans="2:17" ht="58.5" x14ac:dyDescent="0.25">
      <c r="B658" s="137">
        <v>656</v>
      </c>
      <c r="C658" s="135" t="s">
        <v>321</v>
      </c>
      <c r="D658" s="138" t="s">
        <v>3776</v>
      </c>
      <c r="E658" s="139">
        <v>45600</v>
      </c>
      <c r="F658" s="140">
        <v>0.54236111111111107</v>
      </c>
      <c r="G658" s="141" t="s">
        <v>4633</v>
      </c>
      <c r="H658" s="138" t="s">
        <v>4634</v>
      </c>
      <c r="I658" s="138" t="s">
        <v>4635</v>
      </c>
      <c r="J658" s="142">
        <v>2000</v>
      </c>
      <c r="K658" s="142">
        <v>8000</v>
      </c>
      <c r="L658" s="137" t="s">
        <v>20</v>
      </c>
      <c r="M658" s="137" t="s">
        <v>20</v>
      </c>
      <c r="N658" s="137" t="s">
        <v>20</v>
      </c>
      <c r="O658" s="137" t="s">
        <v>20</v>
      </c>
      <c r="P658" s="137" t="s">
        <v>20</v>
      </c>
      <c r="Q658" s="137" t="s">
        <v>20</v>
      </c>
    </row>
    <row r="659" spans="2:17" ht="58.5" x14ac:dyDescent="0.25">
      <c r="B659" s="137">
        <v>657</v>
      </c>
      <c r="C659" s="135" t="s">
        <v>321</v>
      </c>
      <c r="D659" s="138" t="s">
        <v>3776</v>
      </c>
      <c r="E659" s="139">
        <v>45604</v>
      </c>
      <c r="F659" s="140">
        <v>0.95208333333333328</v>
      </c>
      <c r="G659" s="138" t="s">
        <v>4636</v>
      </c>
      <c r="H659" s="141" t="s">
        <v>4634</v>
      </c>
      <c r="I659" s="141" t="s">
        <v>4637</v>
      </c>
      <c r="J659" s="142" t="s">
        <v>341</v>
      </c>
      <c r="K659" s="142">
        <v>100000</v>
      </c>
      <c r="L659" s="137" t="s">
        <v>20</v>
      </c>
      <c r="M659" s="137" t="s">
        <v>20</v>
      </c>
      <c r="N659" s="137" t="s">
        <v>20</v>
      </c>
      <c r="O659" s="137" t="s">
        <v>20</v>
      </c>
      <c r="P659" s="137" t="s">
        <v>20</v>
      </c>
      <c r="Q659" s="137" t="s">
        <v>20</v>
      </c>
    </row>
    <row r="660" spans="2:17" ht="78" x14ac:dyDescent="0.25">
      <c r="B660" s="137">
        <v>658</v>
      </c>
      <c r="C660" s="135" t="s">
        <v>321</v>
      </c>
      <c r="D660" s="138" t="s">
        <v>3776</v>
      </c>
      <c r="E660" s="139">
        <v>45613</v>
      </c>
      <c r="F660" s="140">
        <v>0.83680555555555558</v>
      </c>
      <c r="G660" s="141" t="s">
        <v>4638</v>
      </c>
      <c r="H660" s="141" t="s">
        <v>4639</v>
      </c>
      <c r="I660" s="141" t="s">
        <v>4640</v>
      </c>
      <c r="J660" s="142" t="s">
        <v>341</v>
      </c>
      <c r="K660" s="142">
        <v>10000000</v>
      </c>
      <c r="L660" s="137" t="s">
        <v>20</v>
      </c>
      <c r="M660" s="137" t="s">
        <v>20</v>
      </c>
      <c r="N660" s="137" t="s">
        <v>20</v>
      </c>
      <c r="O660" s="137" t="s">
        <v>20</v>
      </c>
      <c r="P660" s="137" t="s">
        <v>20</v>
      </c>
      <c r="Q660" s="137" t="s">
        <v>20</v>
      </c>
    </row>
    <row r="661" spans="2:17" ht="78" x14ac:dyDescent="0.25">
      <c r="B661" s="137">
        <v>659</v>
      </c>
      <c r="C661" s="135" t="s">
        <v>321</v>
      </c>
      <c r="D661" s="138" t="s">
        <v>3776</v>
      </c>
      <c r="E661" s="139">
        <v>45617</v>
      </c>
      <c r="F661" s="140">
        <v>0.49027777777777776</v>
      </c>
      <c r="G661" s="141" t="s">
        <v>4641</v>
      </c>
      <c r="H661" s="141" t="s">
        <v>4642</v>
      </c>
      <c r="I661" s="141" t="s">
        <v>4627</v>
      </c>
      <c r="J661" s="142">
        <v>500</v>
      </c>
      <c r="K661" s="142">
        <v>999500</v>
      </c>
      <c r="L661" s="137" t="s">
        <v>20</v>
      </c>
      <c r="M661" s="137" t="s">
        <v>20</v>
      </c>
      <c r="N661" s="137" t="s">
        <v>20</v>
      </c>
      <c r="O661" s="137" t="s">
        <v>20</v>
      </c>
      <c r="P661" s="137" t="s">
        <v>20</v>
      </c>
      <c r="Q661" s="137" t="s">
        <v>20</v>
      </c>
    </row>
    <row r="662" spans="2:17" ht="58.5" x14ac:dyDescent="0.25">
      <c r="B662" s="137">
        <v>660</v>
      </c>
      <c r="C662" s="135" t="s">
        <v>321</v>
      </c>
      <c r="D662" s="138" t="s">
        <v>3776</v>
      </c>
      <c r="E662" s="139">
        <v>45620</v>
      </c>
      <c r="F662" s="140">
        <v>0.64027777777777772</v>
      </c>
      <c r="G662" s="141" t="s">
        <v>4643</v>
      </c>
      <c r="H662" s="141" t="s">
        <v>4644</v>
      </c>
      <c r="I662" s="141" t="s">
        <v>4645</v>
      </c>
      <c r="J662" s="142">
        <v>5000</v>
      </c>
      <c r="K662" s="142">
        <v>1495000</v>
      </c>
      <c r="L662" s="137" t="s">
        <v>20</v>
      </c>
      <c r="M662" s="137" t="s">
        <v>20</v>
      </c>
      <c r="N662" s="137" t="s">
        <v>20</v>
      </c>
      <c r="O662" s="137" t="s">
        <v>20</v>
      </c>
      <c r="P662" s="137" t="s">
        <v>20</v>
      </c>
      <c r="Q662" s="137" t="s">
        <v>20</v>
      </c>
    </row>
    <row r="663" spans="2:17" ht="58.5" x14ac:dyDescent="0.25">
      <c r="B663" s="137">
        <v>661</v>
      </c>
      <c r="C663" s="135" t="s">
        <v>321</v>
      </c>
      <c r="D663" s="138" t="s">
        <v>3776</v>
      </c>
      <c r="E663" s="139">
        <v>45624</v>
      </c>
      <c r="F663" s="140">
        <v>0.66666666666666663</v>
      </c>
      <c r="G663" s="141" t="s">
        <v>4646</v>
      </c>
      <c r="H663" s="141" t="s">
        <v>4647</v>
      </c>
      <c r="I663" s="141" t="s">
        <v>4648</v>
      </c>
      <c r="J663" s="142" t="s">
        <v>341</v>
      </c>
      <c r="K663" s="142">
        <v>1000000</v>
      </c>
      <c r="L663" s="137" t="s">
        <v>20</v>
      </c>
      <c r="M663" s="137" t="s">
        <v>20</v>
      </c>
      <c r="N663" s="137" t="s">
        <v>20</v>
      </c>
      <c r="O663" s="137" t="s">
        <v>20</v>
      </c>
      <c r="P663" s="137" t="s">
        <v>20</v>
      </c>
      <c r="Q663" s="137" t="s">
        <v>20</v>
      </c>
    </row>
    <row r="664" spans="2:17" ht="58.5" x14ac:dyDescent="0.25">
      <c r="B664" s="137">
        <v>662</v>
      </c>
      <c r="C664" s="135" t="s">
        <v>321</v>
      </c>
      <c r="D664" s="138" t="s">
        <v>3721</v>
      </c>
      <c r="E664" s="139">
        <v>45597</v>
      </c>
      <c r="F664" s="140">
        <v>0.87291666666666667</v>
      </c>
      <c r="G664" s="138" t="s">
        <v>4649</v>
      </c>
      <c r="H664" s="138" t="s">
        <v>4650</v>
      </c>
      <c r="I664" s="138" t="s">
        <v>4651</v>
      </c>
      <c r="J664" s="142">
        <v>300000</v>
      </c>
      <c r="K664" s="142">
        <v>700000</v>
      </c>
      <c r="L664" s="137" t="s">
        <v>20</v>
      </c>
      <c r="M664" s="137" t="s">
        <v>20</v>
      </c>
      <c r="N664" s="137" t="s">
        <v>20</v>
      </c>
      <c r="O664" s="137" t="s">
        <v>20</v>
      </c>
      <c r="P664" s="137" t="s">
        <v>20</v>
      </c>
      <c r="Q664" s="137" t="s">
        <v>20</v>
      </c>
    </row>
    <row r="665" spans="2:17" ht="39" x14ac:dyDescent="0.25">
      <c r="B665" s="137">
        <v>663</v>
      </c>
      <c r="C665" s="135" t="s">
        <v>321</v>
      </c>
      <c r="D665" s="138" t="s">
        <v>3721</v>
      </c>
      <c r="E665" s="139">
        <v>45603</v>
      </c>
      <c r="F665" s="140">
        <v>0.64375000000000004</v>
      </c>
      <c r="G665" s="138" t="s">
        <v>4652</v>
      </c>
      <c r="H665" s="138" t="s">
        <v>496</v>
      </c>
      <c r="I665" s="144" t="s">
        <v>4653</v>
      </c>
      <c r="J665" s="142" t="s">
        <v>3674</v>
      </c>
      <c r="K665" s="142" t="s">
        <v>3674</v>
      </c>
      <c r="L665" s="137" t="s">
        <v>20</v>
      </c>
      <c r="M665" s="137" t="s">
        <v>20</v>
      </c>
      <c r="N665" s="137" t="s">
        <v>20</v>
      </c>
      <c r="O665" s="137" t="s">
        <v>20</v>
      </c>
      <c r="P665" s="137" t="s">
        <v>20</v>
      </c>
      <c r="Q665" s="137" t="s">
        <v>20</v>
      </c>
    </row>
    <row r="666" spans="2:17" ht="58.5" x14ac:dyDescent="0.25">
      <c r="B666" s="137">
        <v>664</v>
      </c>
      <c r="C666" s="135" t="s">
        <v>321</v>
      </c>
      <c r="D666" s="138" t="s">
        <v>307</v>
      </c>
      <c r="E666" s="139">
        <v>45597</v>
      </c>
      <c r="F666" s="140">
        <v>0.83611111111111114</v>
      </c>
      <c r="G666" s="138" t="s">
        <v>4654</v>
      </c>
      <c r="H666" s="138" t="s">
        <v>549</v>
      </c>
      <c r="I666" s="138" t="s">
        <v>4655</v>
      </c>
      <c r="J666" s="142">
        <v>10000</v>
      </c>
      <c r="K666" s="142">
        <v>60000</v>
      </c>
      <c r="L666" s="137" t="s">
        <v>20</v>
      </c>
      <c r="M666" s="137" t="s">
        <v>20</v>
      </c>
      <c r="N666" s="137" t="s">
        <v>20</v>
      </c>
      <c r="O666" s="137" t="s">
        <v>20</v>
      </c>
      <c r="P666" s="137" t="s">
        <v>20</v>
      </c>
      <c r="Q666" s="137" t="s">
        <v>20</v>
      </c>
    </row>
    <row r="667" spans="2:17" ht="39" x14ac:dyDescent="0.25">
      <c r="B667" s="137">
        <v>665</v>
      </c>
      <c r="C667" s="135" t="s">
        <v>321</v>
      </c>
      <c r="D667" s="138"/>
      <c r="E667" s="139">
        <v>45623</v>
      </c>
      <c r="F667" s="140">
        <v>0.57222222222222219</v>
      </c>
      <c r="G667" s="138" t="s">
        <v>4656</v>
      </c>
      <c r="H667" s="138" t="s">
        <v>549</v>
      </c>
      <c r="I667" s="138" t="s">
        <v>550</v>
      </c>
      <c r="J667" s="142">
        <v>15000</v>
      </c>
      <c r="K667" s="142">
        <v>250000</v>
      </c>
      <c r="L667" s="137" t="s">
        <v>20</v>
      </c>
      <c r="M667" s="137" t="s">
        <v>20</v>
      </c>
      <c r="N667" s="137" t="s">
        <v>20</v>
      </c>
      <c r="O667" s="137" t="s">
        <v>20</v>
      </c>
      <c r="P667" s="137" t="s">
        <v>20</v>
      </c>
      <c r="Q667" s="137" t="s">
        <v>20</v>
      </c>
    </row>
    <row r="668" spans="2:17" ht="97.5" x14ac:dyDescent="0.25">
      <c r="B668" s="137">
        <v>666</v>
      </c>
      <c r="C668" s="135" t="s">
        <v>321</v>
      </c>
      <c r="D668" s="138" t="s">
        <v>306</v>
      </c>
      <c r="E668" s="139">
        <v>45599</v>
      </c>
      <c r="F668" s="140">
        <v>5.2777777777777778E-2</v>
      </c>
      <c r="G668" s="138" t="s">
        <v>4657</v>
      </c>
      <c r="H668" s="138" t="s">
        <v>4542</v>
      </c>
      <c r="I668" s="138" t="s">
        <v>4658</v>
      </c>
      <c r="J668" s="142">
        <v>100000</v>
      </c>
      <c r="K668" s="142">
        <v>1000000</v>
      </c>
      <c r="L668" s="137" t="s">
        <v>20</v>
      </c>
      <c r="M668" s="137" t="s">
        <v>20</v>
      </c>
      <c r="N668" s="137" t="s">
        <v>20</v>
      </c>
      <c r="O668" s="137" t="s">
        <v>20</v>
      </c>
      <c r="P668" s="137" t="s">
        <v>20</v>
      </c>
      <c r="Q668" s="137" t="s">
        <v>20</v>
      </c>
    </row>
    <row r="669" spans="2:17" ht="74.25" customHeight="1" x14ac:dyDescent="0.25">
      <c r="B669" s="137">
        <v>667</v>
      </c>
      <c r="C669" s="135" t="s">
        <v>321</v>
      </c>
      <c r="D669" s="138"/>
      <c r="E669" s="139">
        <v>45600</v>
      </c>
      <c r="F669" s="145">
        <v>0.13680555555555557</v>
      </c>
      <c r="G669" s="138" t="s">
        <v>4659</v>
      </c>
      <c r="H669" s="141" t="s">
        <v>4660</v>
      </c>
      <c r="I669" s="138" t="s">
        <v>4661</v>
      </c>
      <c r="J669" s="142" t="s">
        <v>3674</v>
      </c>
      <c r="K669" s="142" t="s">
        <v>3674</v>
      </c>
      <c r="L669" s="137" t="s">
        <v>20</v>
      </c>
      <c r="M669" s="137" t="s">
        <v>20</v>
      </c>
      <c r="N669" s="137" t="s">
        <v>20</v>
      </c>
      <c r="O669" s="137" t="s">
        <v>20</v>
      </c>
      <c r="P669" s="137" t="s">
        <v>20</v>
      </c>
      <c r="Q669" s="137" t="s">
        <v>20</v>
      </c>
    </row>
    <row r="670" spans="2:17" ht="19.5" customHeight="1" x14ac:dyDescent="0.25">
      <c r="B670" s="137">
        <v>668</v>
      </c>
      <c r="C670" s="135" t="s">
        <v>321</v>
      </c>
      <c r="D670" s="138"/>
      <c r="E670" s="139"/>
      <c r="F670" s="145"/>
      <c r="G670" s="138"/>
      <c r="H670" s="138" t="s">
        <v>4662</v>
      </c>
      <c r="I670" s="138"/>
      <c r="J670" s="142"/>
      <c r="K670" s="142"/>
      <c r="L670" s="137"/>
      <c r="M670" s="137"/>
      <c r="N670" s="137"/>
      <c r="O670" s="137"/>
      <c r="P670" s="137"/>
      <c r="Q670" s="137"/>
    </row>
    <row r="671" spans="2:17" ht="78" x14ac:dyDescent="0.25">
      <c r="B671" s="137">
        <v>669</v>
      </c>
      <c r="C671" s="135" t="s">
        <v>321</v>
      </c>
      <c r="D671" s="138"/>
      <c r="E671" s="139">
        <v>45608</v>
      </c>
      <c r="F671" s="145">
        <v>0.5083333333333333</v>
      </c>
      <c r="G671" s="138" t="s">
        <v>4663</v>
      </c>
      <c r="H671" s="141" t="s">
        <v>4660</v>
      </c>
      <c r="I671" s="138" t="s">
        <v>4966</v>
      </c>
      <c r="J671" s="142">
        <v>200000</v>
      </c>
      <c r="K671" s="142"/>
      <c r="L671" s="137" t="s">
        <v>20</v>
      </c>
      <c r="M671" s="137" t="s">
        <v>20</v>
      </c>
      <c r="N671" s="137" t="s">
        <v>20</v>
      </c>
      <c r="O671" s="137" t="s">
        <v>20</v>
      </c>
      <c r="P671" s="137" t="s">
        <v>20</v>
      </c>
      <c r="Q671" s="137" t="s">
        <v>20</v>
      </c>
    </row>
    <row r="672" spans="2:17" ht="39" x14ac:dyDescent="0.25">
      <c r="B672" s="137">
        <v>670</v>
      </c>
      <c r="C672" s="135" t="s">
        <v>321</v>
      </c>
      <c r="D672" s="138"/>
      <c r="E672" s="139"/>
      <c r="F672" s="145"/>
      <c r="G672" s="138"/>
      <c r="H672" s="138" t="s">
        <v>4664</v>
      </c>
      <c r="I672" s="138"/>
      <c r="J672" s="142"/>
      <c r="K672" s="142"/>
      <c r="L672" s="137"/>
      <c r="M672" s="137"/>
      <c r="N672" s="137"/>
      <c r="O672" s="137"/>
      <c r="P672" s="137"/>
      <c r="Q672" s="137"/>
    </row>
    <row r="673" spans="2:17" ht="117" x14ac:dyDescent="0.25">
      <c r="B673" s="137">
        <v>671</v>
      </c>
      <c r="C673" s="135" t="s">
        <v>321</v>
      </c>
      <c r="D673" s="138"/>
      <c r="E673" s="139">
        <v>45611</v>
      </c>
      <c r="F673" s="140">
        <v>0.83263888888888893</v>
      </c>
      <c r="G673" s="138" t="s">
        <v>4665</v>
      </c>
      <c r="H673" s="138" t="s">
        <v>4666</v>
      </c>
      <c r="I673" s="138" t="s">
        <v>4667</v>
      </c>
      <c r="J673" s="142"/>
      <c r="K673" s="142"/>
      <c r="L673" s="137" t="s">
        <v>20</v>
      </c>
      <c r="M673" s="137" t="s">
        <v>20</v>
      </c>
      <c r="N673" s="137" t="s">
        <v>20</v>
      </c>
      <c r="O673" s="137" t="s">
        <v>20</v>
      </c>
      <c r="P673" s="137" t="s">
        <v>20</v>
      </c>
      <c r="Q673" s="137" t="s">
        <v>20</v>
      </c>
    </row>
    <row r="674" spans="2:17" ht="39" x14ac:dyDescent="0.25">
      <c r="B674" s="137">
        <v>672</v>
      </c>
      <c r="C674" s="135" t="s">
        <v>321</v>
      </c>
      <c r="D674" s="138" t="s">
        <v>3685</v>
      </c>
      <c r="E674" s="139">
        <v>45292</v>
      </c>
      <c r="F674" s="140">
        <v>3.7499999999999999E-2</v>
      </c>
      <c r="G674" s="138" t="s">
        <v>4668</v>
      </c>
      <c r="H674" s="138" t="s">
        <v>4669</v>
      </c>
      <c r="I674" s="138" t="s">
        <v>4670</v>
      </c>
      <c r="J674" s="142">
        <v>650000</v>
      </c>
      <c r="K674" s="142">
        <v>330000</v>
      </c>
      <c r="L674" s="137" t="s">
        <v>20</v>
      </c>
      <c r="M674" s="137" t="s">
        <v>20</v>
      </c>
      <c r="N674" s="137" t="s">
        <v>20</v>
      </c>
      <c r="O674" s="137" t="s">
        <v>20</v>
      </c>
      <c r="P674" s="137" t="s">
        <v>20</v>
      </c>
      <c r="Q674" s="137" t="s">
        <v>20</v>
      </c>
    </row>
    <row r="675" spans="2:17" ht="58.5" x14ac:dyDescent="0.25">
      <c r="B675" s="137">
        <v>673</v>
      </c>
      <c r="C675" s="135" t="s">
        <v>321</v>
      </c>
      <c r="D675" s="138" t="s">
        <v>3685</v>
      </c>
      <c r="E675" s="139">
        <v>45597</v>
      </c>
      <c r="F675" s="140">
        <v>0.59722222222222221</v>
      </c>
      <c r="G675" s="138" t="s">
        <v>4671</v>
      </c>
      <c r="H675" s="138" t="s">
        <v>3752</v>
      </c>
      <c r="I675" s="138" t="s">
        <v>4672</v>
      </c>
      <c r="J675" s="142">
        <v>8000</v>
      </c>
      <c r="K675" s="142">
        <v>22000</v>
      </c>
      <c r="L675" s="137" t="s">
        <v>20</v>
      </c>
      <c r="M675" s="137" t="s">
        <v>20</v>
      </c>
      <c r="N675" s="137" t="s">
        <v>20</v>
      </c>
      <c r="O675" s="137" t="s">
        <v>20</v>
      </c>
      <c r="P675" s="137" t="s">
        <v>20</v>
      </c>
      <c r="Q675" s="137" t="s">
        <v>20</v>
      </c>
    </row>
    <row r="676" spans="2:17" ht="39" x14ac:dyDescent="0.25">
      <c r="B676" s="137">
        <v>674</v>
      </c>
      <c r="C676" s="135" t="s">
        <v>321</v>
      </c>
      <c r="D676" s="138" t="s">
        <v>3685</v>
      </c>
      <c r="E676" s="139">
        <v>45597</v>
      </c>
      <c r="F676" s="140">
        <v>0.47361111111111109</v>
      </c>
      <c r="G676" s="138" t="s">
        <v>4673</v>
      </c>
      <c r="H676" s="138" t="s">
        <v>4674</v>
      </c>
      <c r="I676" s="138" t="s">
        <v>4675</v>
      </c>
      <c r="J676" s="142">
        <v>1000</v>
      </c>
      <c r="K676" s="142">
        <v>4000</v>
      </c>
      <c r="L676" s="137" t="s">
        <v>20</v>
      </c>
      <c r="M676" s="137" t="s">
        <v>20</v>
      </c>
      <c r="N676" s="137" t="s">
        <v>20</v>
      </c>
      <c r="O676" s="137" t="s">
        <v>20</v>
      </c>
      <c r="P676" s="137" t="s">
        <v>20</v>
      </c>
      <c r="Q676" s="137" t="s">
        <v>20</v>
      </c>
    </row>
    <row r="677" spans="2:17" ht="58.5" x14ac:dyDescent="0.25">
      <c r="B677" s="137">
        <v>675</v>
      </c>
      <c r="C677" s="135" t="s">
        <v>321</v>
      </c>
      <c r="D677" s="138" t="s">
        <v>3685</v>
      </c>
      <c r="E677" s="139">
        <v>45599</v>
      </c>
      <c r="F677" s="140">
        <v>0.4861111111111111</v>
      </c>
      <c r="G677" s="138" t="s">
        <v>4676</v>
      </c>
      <c r="H677" s="138" t="s">
        <v>4108</v>
      </c>
      <c r="I677" s="138" t="s">
        <v>4677</v>
      </c>
      <c r="J677" s="142">
        <v>200000</v>
      </c>
      <c r="K677" s="142">
        <v>200000</v>
      </c>
      <c r="L677" s="137" t="s">
        <v>20</v>
      </c>
      <c r="M677" s="137" t="s">
        <v>20</v>
      </c>
      <c r="N677" s="137" t="s">
        <v>20</v>
      </c>
      <c r="O677" s="137" t="s">
        <v>20</v>
      </c>
      <c r="P677" s="137" t="s">
        <v>20</v>
      </c>
      <c r="Q677" s="137" t="s">
        <v>20</v>
      </c>
    </row>
    <row r="678" spans="2:17" ht="58.5" x14ac:dyDescent="0.25">
      <c r="B678" s="137">
        <v>676</v>
      </c>
      <c r="C678" s="135" t="s">
        <v>321</v>
      </c>
      <c r="D678" s="138" t="s">
        <v>3685</v>
      </c>
      <c r="E678" s="139">
        <v>45601</v>
      </c>
      <c r="F678" s="140">
        <v>0.38541666666666669</v>
      </c>
      <c r="G678" s="138" t="s">
        <v>4678</v>
      </c>
      <c r="H678" s="138" t="s">
        <v>4108</v>
      </c>
      <c r="I678" s="138" t="s">
        <v>4679</v>
      </c>
      <c r="J678" s="142" t="s">
        <v>4680</v>
      </c>
      <c r="K678" s="142" t="s">
        <v>341</v>
      </c>
      <c r="L678" s="137" t="s">
        <v>20</v>
      </c>
      <c r="M678" s="137" t="s">
        <v>20</v>
      </c>
      <c r="N678" s="137" t="s">
        <v>20</v>
      </c>
      <c r="O678" s="137" t="s">
        <v>20</v>
      </c>
      <c r="P678" s="137" t="s">
        <v>20</v>
      </c>
      <c r="Q678" s="137" t="s">
        <v>20</v>
      </c>
    </row>
    <row r="679" spans="2:17" ht="39" x14ac:dyDescent="0.25">
      <c r="B679" s="137">
        <v>677</v>
      </c>
      <c r="C679" s="135" t="s">
        <v>321</v>
      </c>
      <c r="D679" s="138" t="s">
        <v>3685</v>
      </c>
      <c r="E679" s="139">
        <v>45603</v>
      </c>
      <c r="F679" s="140">
        <v>0.43958333333333333</v>
      </c>
      <c r="G679" s="138" t="s">
        <v>4681</v>
      </c>
      <c r="H679" s="138" t="s">
        <v>4108</v>
      </c>
      <c r="I679" s="138" t="s">
        <v>4677</v>
      </c>
      <c r="J679" s="142">
        <v>50000</v>
      </c>
      <c r="K679" s="142">
        <v>250000</v>
      </c>
      <c r="L679" s="137" t="s">
        <v>20</v>
      </c>
      <c r="M679" s="137" t="s">
        <v>20</v>
      </c>
      <c r="N679" s="137" t="s">
        <v>20</v>
      </c>
      <c r="O679" s="137" t="s">
        <v>20</v>
      </c>
      <c r="P679" s="137" t="s">
        <v>20</v>
      </c>
      <c r="Q679" s="137" t="s">
        <v>20</v>
      </c>
    </row>
    <row r="680" spans="2:17" ht="39" x14ac:dyDescent="0.25">
      <c r="B680" s="137">
        <v>678</v>
      </c>
      <c r="C680" s="135" t="s">
        <v>321</v>
      </c>
      <c r="D680" s="138" t="s">
        <v>3685</v>
      </c>
      <c r="E680" s="139">
        <v>45611</v>
      </c>
      <c r="F680" s="140">
        <v>0.96666666666666667</v>
      </c>
      <c r="G680" s="138" t="s">
        <v>4682</v>
      </c>
      <c r="H680" s="138" t="s">
        <v>4561</v>
      </c>
      <c r="I680" s="138" t="s">
        <v>4683</v>
      </c>
      <c r="J680" s="142" t="s">
        <v>4684</v>
      </c>
      <c r="K680" s="142" t="s">
        <v>4685</v>
      </c>
      <c r="L680" s="137" t="s">
        <v>20</v>
      </c>
      <c r="M680" s="137" t="s">
        <v>20</v>
      </c>
      <c r="N680" s="137" t="s">
        <v>20</v>
      </c>
      <c r="O680" s="137" t="s">
        <v>20</v>
      </c>
      <c r="P680" s="137" t="s">
        <v>20</v>
      </c>
      <c r="Q680" s="137" t="s">
        <v>20</v>
      </c>
    </row>
    <row r="681" spans="2:17" ht="39" x14ac:dyDescent="0.25">
      <c r="B681" s="137">
        <v>679</v>
      </c>
      <c r="C681" s="135" t="s">
        <v>321</v>
      </c>
      <c r="D681" s="138" t="s">
        <v>3685</v>
      </c>
      <c r="E681" s="139">
        <v>45614</v>
      </c>
      <c r="F681" s="140">
        <v>0.22569444444444445</v>
      </c>
      <c r="G681" s="138" t="s">
        <v>4686</v>
      </c>
      <c r="H681" s="138" t="s">
        <v>4759</v>
      </c>
      <c r="I681" s="138" t="s">
        <v>4687</v>
      </c>
      <c r="J681" s="142">
        <v>1000</v>
      </c>
      <c r="K681" s="142">
        <v>9000</v>
      </c>
      <c r="L681" s="137" t="s">
        <v>20</v>
      </c>
      <c r="M681" s="137" t="s">
        <v>20</v>
      </c>
      <c r="N681" s="137" t="s">
        <v>20</v>
      </c>
      <c r="O681" s="137" t="s">
        <v>20</v>
      </c>
      <c r="P681" s="137" t="s">
        <v>20</v>
      </c>
      <c r="Q681" s="137" t="s">
        <v>20</v>
      </c>
    </row>
    <row r="682" spans="2:17" ht="39" x14ac:dyDescent="0.25">
      <c r="B682" s="137">
        <v>680</v>
      </c>
      <c r="C682" s="135" t="s">
        <v>321</v>
      </c>
      <c r="D682" s="138" t="s">
        <v>3685</v>
      </c>
      <c r="E682" s="139">
        <v>45620</v>
      </c>
      <c r="F682" s="140">
        <v>0.95347222222222228</v>
      </c>
      <c r="G682" s="138" t="s">
        <v>4688</v>
      </c>
      <c r="H682" s="138" t="s">
        <v>4759</v>
      </c>
      <c r="I682" s="138" t="s">
        <v>4689</v>
      </c>
      <c r="J682" s="142">
        <v>2000</v>
      </c>
      <c r="K682" s="142">
        <v>48000</v>
      </c>
      <c r="L682" s="137" t="s">
        <v>20</v>
      </c>
      <c r="M682" s="137" t="s">
        <v>20</v>
      </c>
      <c r="N682" s="137" t="s">
        <v>20</v>
      </c>
      <c r="O682" s="137" t="s">
        <v>20</v>
      </c>
      <c r="P682" s="137" t="s">
        <v>20</v>
      </c>
      <c r="Q682" s="137" t="s">
        <v>20</v>
      </c>
    </row>
    <row r="683" spans="2:17" ht="39" x14ac:dyDescent="0.25">
      <c r="B683" s="137">
        <v>681</v>
      </c>
      <c r="C683" s="135" t="s">
        <v>321</v>
      </c>
      <c r="D683" s="138" t="s">
        <v>4111</v>
      </c>
      <c r="E683" s="139">
        <v>45618</v>
      </c>
      <c r="F683" s="140">
        <v>0.41319444444444442</v>
      </c>
      <c r="G683" s="138" t="s">
        <v>4690</v>
      </c>
      <c r="H683" s="138" t="s">
        <v>4691</v>
      </c>
      <c r="I683" s="138" t="s">
        <v>4692</v>
      </c>
      <c r="J683" s="142">
        <v>12000</v>
      </c>
      <c r="K683" s="142">
        <v>8000</v>
      </c>
      <c r="L683" s="137" t="s">
        <v>20</v>
      </c>
      <c r="M683" s="137" t="s">
        <v>20</v>
      </c>
      <c r="N683" s="137" t="s">
        <v>20</v>
      </c>
      <c r="O683" s="137" t="s">
        <v>20</v>
      </c>
      <c r="P683" s="137" t="s">
        <v>20</v>
      </c>
      <c r="Q683" s="137" t="s">
        <v>20</v>
      </c>
    </row>
    <row r="684" spans="2:17" ht="39" x14ac:dyDescent="0.25">
      <c r="B684" s="137">
        <v>682</v>
      </c>
      <c r="C684" s="135" t="s">
        <v>321</v>
      </c>
      <c r="D684" s="138" t="s">
        <v>4111</v>
      </c>
      <c r="E684" s="139">
        <v>45624</v>
      </c>
      <c r="F684" s="140">
        <v>0.29166666666666669</v>
      </c>
      <c r="G684" s="138" t="s">
        <v>4693</v>
      </c>
      <c r="H684" s="138" t="s">
        <v>4760</v>
      </c>
      <c r="I684" s="138" t="s">
        <v>4761</v>
      </c>
      <c r="J684" s="142">
        <v>16000</v>
      </c>
      <c r="K684" s="142">
        <v>1984000</v>
      </c>
      <c r="L684" s="137" t="s">
        <v>20</v>
      </c>
      <c r="M684" s="137" t="s">
        <v>20</v>
      </c>
      <c r="N684" s="137" t="s">
        <v>20</v>
      </c>
      <c r="O684" s="137" t="s">
        <v>20</v>
      </c>
      <c r="P684" s="137" t="s">
        <v>20</v>
      </c>
      <c r="Q684" s="137" t="s">
        <v>20</v>
      </c>
    </row>
    <row r="685" spans="2:17" ht="39" x14ac:dyDescent="0.25">
      <c r="B685" s="137">
        <v>683</v>
      </c>
      <c r="C685" s="135" t="s">
        <v>321</v>
      </c>
      <c r="D685" s="138" t="s">
        <v>4111</v>
      </c>
      <c r="E685" s="139">
        <v>45626</v>
      </c>
      <c r="F685" s="140">
        <v>0.8305555555555556</v>
      </c>
      <c r="G685" s="138" t="s">
        <v>4694</v>
      </c>
      <c r="H685" s="138" t="s">
        <v>406</v>
      </c>
      <c r="I685" s="138" t="s">
        <v>2047</v>
      </c>
      <c r="J685" s="142">
        <v>700000</v>
      </c>
      <c r="K685" s="142">
        <v>1100000</v>
      </c>
      <c r="L685" s="137" t="s">
        <v>20</v>
      </c>
      <c r="M685" s="137" t="s">
        <v>20</v>
      </c>
      <c r="N685" s="137" t="s">
        <v>20</v>
      </c>
      <c r="O685" s="137" t="s">
        <v>20</v>
      </c>
      <c r="P685" s="137" t="s">
        <v>20</v>
      </c>
      <c r="Q685" s="137" t="s">
        <v>20</v>
      </c>
    </row>
    <row r="686" spans="2:17" ht="39" x14ac:dyDescent="0.25">
      <c r="B686" s="137">
        <v>684</v>
      </c>
      <c r="C686" s="135" t="s">
        <v>321</v>
      </c>
      <c r="D686" s="138" t="s">
        <v>334</v>
      </c>
      <c r="E686" s="139">
        <v>45599</v>
      </c>
      <c r="F686" s="140">
        <v>0.28194444444444444</v>
      </c>
      <c r="G686" s="141" t="s">
        <v>551</v>
      </c>
      <c r="H686" s="141" t="s">
        <v>552</v>
      </c>
      <c r="I686" s="141" t="s">
        <v>553</v>
      </c>
      <c r="J686" s="142">
        <v>250000</v>
      </c>
      <c r="K686" s="142">
        <v>2500000</v>
      </c>
      <c r="L686" s="137" t="s">
        <v>20</v>
      </c>
      <c r="M686" s="137" t="s">
        <v>20</v>
      </c>
      <c r="N686" s="137" t="s">
        <v>20</v>
      </c>
      <c r="O686" s="137" t="s">
        <v>20</v>
      </c>
      <c r="P686" s="137" t="s">
        <v>20</v>
      </c>
      <c r="Q686" s="137" t="s">
        <v>20</v>
      </c>
    </row>
    <row r="687" spans="2:17" ht="21" x14ac:dyDescent="0.25">
      <c r="B687" s="137">
        <v>685</v>
      </c>
      <c r="C687" s="135" t="s">
        <v>321</v>
      </c>
      <c r="D687" s="138" t="s">
        <v>334</v>
      </c>
      <c r="E687" s="139">
        <v>45599</v>
      </c>
      <c r="F687" s="140">
        <v>0.77777777777777779</v>
      </c>
      <c r="G687" s="141" t="s">
        <v>554</v>
      </c>
      <c r="H687" s="141" t="s">
        <v>406</v>
      </c>
      <c r="I687" s="141" t="s">
        <v>4695</v>
      </c>
      <c r="J687" s="142">
        <v>5000</v>
      </c>
      <c r="K687" s="142">
        <v>5000</v>
      </c>
      <c r="L687" s="137" t="s">
        <v>20</v>
      </c>
      <c r="M687" s="137" t="s">
        <v>20</v>
      </c>
      <c r="N687" s="137" t="s">
        <v>20</v>
      </c>
      <c r="O687" s="137" t="s">
        <v>20</v>
      </c>
      <c r="P687" s="137" t="s">
        <v>20</v>
      </c>
      <c r="Q687" s="137" t="s">
        <v>20</v>
      </c>
    </row>
    <row r="688" spans="2:17" ht="19.5" customHeight="1" x14ac:dyDescent="0.25">
      <c r="B688" s="137">
        <v>686</v>
      </c>
      <c r="C688" s="135" t="s">
        <v>321</v>
      </c>
      <c r="D688" s="138" t="s">
        <v>334</v>
      </c>
      <c r="E688" s="139">
        <v>45613</v>
      </c>
      <c r="F688" s="145">
        <v>0.4597222222222222</v>
      </c>
      <c r="G688" s="138" t="s">
        <v>555</v>
      </c>
      <c r="H688" s="138" t="s">
        <v>406</v>
      </c>
      <c r="I688" s="138" t="s">
        <v>547</v>
      </c>
      <c r="J688" s="142">
        <v>15000</v>
      </c>
      <c r="K688" s="142">
        <v>5000</v>
      </c>
      <c r="L688" s="137" t="s">
        <v>20</v>
      </c>
      <c r="M688" s="137" t="s">
        <v>20</v>
      </c>
      <c r="N688" s="137" t="s">
        <v>20</v>
      </c>
      <c r="O688" s="137" t="s">
        <v>20</v>
      </c>
      <c r="P688" s="137" t="s">
        <v>20</v>
      </c>
      <c r="Q688" s="137" t="s">
        <v>20</v>
      </c>
    </row>
    <row r="689" spans="2:17" ht="19.5" customHeight="1" x14ac:dyDescent="0.25">
      <c r="B689" s="137">
        <v>687</v>
      </c>
      <c r="C689" s="135" t="s">
        <v>321</v>
      </c>
      <c r="D689" s="138" t="s">
        <v>334</v>
      </c>
      <c r="E689" s="139">
        <v>45620</v>
      </c>
      <c r="F689" s="145">
        <v>0.59375</v>
      </c>
      <c r="G689" s="138" t="s">
        <v>556</v>
      </c>
      <c r="H689" s="138" t="s">
        <v>406</v>
      </c>
      <c r="I689" s="138" t="s">
        <v>557</v>
      </c>
      <c r="J689" s="142" t="s">
        <v>341</v>
      </c>
      <c r="K689" s="142">
        <v>100000</v>
      </c>
      <c r="L689" s="137" t="s">
        <v>20</v>
      </c>
      <c r="M689" s="137" t="s">
        <v>20</v>
      </c>
      <c r="N689" s="137" t="s">
        <v>20</v>
      </c>
      <c r="O689" s="137" t="s">
        <v>20</v>
      </c>
      <c r="P689" s="137" t="s">
        <v>20</v>
      </c>
      <c r="Q689" s="137" t="s">
        <v>20</v>
      </c>
    </row>
    <row r="690" spans="2:17" ht="19.5" customHeight="1" x14ac:dyDescent="0.25">
      <c r="B690" s="137">
        <v>688</v>
      </c>
      <c r="C690" s="135" t="s">
        <v>321</v>
      </c>
      <c r="D690" s="138" t="s">
        <v>334</v>
      </c>
      <c r="E690" s="139">
        <v>45622</v>
      </c>
      <c r="F690" s="145">
        <v>0.71319444444444446</v>
      </c>
      <c r="G690" s="138" t="s">
        <v>558</v>
      </c>
      <c r="H690" s="138" t="s">
        <v>406</v>
      </c>
      <c r="I690" s="138" t="s">
        <v>547</v>
      </c>
      <c r="J690" s="142">
        <v>90000</v>
      </c>
      <c r="K690" s="142">
        <v>10000</v>
      </c>
      <c r="L690" s="137" t="s">
        <v>20</v>
      </c>
      <c r="M690" s="137" t="s">
        <v>20</v>
      </c>
      <c r="N690" s="137" t="s">
        <v>20</v>
      </c>
      <c r="O690" s="137" t="s">
        <v>20</v>
      </c>
      <c r="P690" s="137" t="s">
        <v>20</v>
      </c>
      <c r="Q690" s="137" t="s">
        <v>20</v>
      </c>
    </row>
    <row r="691" spans="2:17" ht="58.5" x14ac:dyDescent="0.25">
      <c r="B691" s="137">
        <v>689</v>
      </c>
      <c r="C691" s="135" t="s">
        <v>321</v>
      </c>
      <c r="D691" s="138" t="s">
        <v>3669</v>
      </c>
      <c r="E691" s="139">
        <v>45627</v>
      </c>
      <c r="F691" s="140">
        <v>0.4861111111111111</v>
      </c>
      <c r="G691" s="138" t="s">
        <v>4696</v>
      </c>
      <c r="H691" s="138" t="s">
        <v>3752</v>
      </c>
      <c r="I691" s="138" t="s">
        <v>4436</v>
      </c>
      <c r="J691" s="142">
        <v>3000</v>
      </c>
      <c r="K691" s="142">
        <v>7000</v>
      </c>
      <c r="L691" s="141" t="s">
        <v>20</v>
      </c>
      <c r="M691" s="141" t="s">
        <v>20</v>
      </c>
      <c r="N691" s="141" t="s">
        <v>20</v>
      </c>
      <c r="O691" s="141" t="s">
        <v>20</v>
      </c>
      <c r="P691" s="141" t="s">
        <v>20</v>
      </c>
      <c r="Q691" s="141" t="s">
        <v>20</v>
      </c>
    </row>
    <row r="692" spans="2:17" ht="58.5" x14ac:dyDescent="0.25">
      <c r="B692" s="137">
        <v>690</v>
      </c>
      <c r="C692" s="135" t="s">
        <v>321</v>
      </c>
      <c r="D692" s="138" t="s">
        <v>3685</v>
      </c>
      <c r="E692" s="139">
        <v>45632</v>
      </c>
      <c r="F692" s="140">
        <v>0.65416666666666667</v>
      </c>
      <c r="G692" s="138" t="s">
        <v>4697</v>
      </c>
      <c r="H692" s="138" t="s">
        <v>4108</v>
      </c>
      <c r="I692" s="138" t="s">
        <v>4698</v>
      </c>
      <c r="J692" s="142">
        <v>300000</v>
      </c>
      <c r="K692" s="142">
        <v>200000</v>
      </c>
      <c r="L692" s="137" t="s">
        <v>20</v>
      </c>
      <c r="M692" s="137" t="s">
        <v>20</v>
      </c>
      <c r="N692" s="141" t="s">
        <v>20</v>
      </c>
      <c r="O692" s="137" t="s">
        <v>20</v>
      </c>
      <c r="P692" s="137" t="s">
        <v>20</v>
      </c>
      <c r="Q692" s="137" t="s">
        <v>20</v>
      </c>
    </row>
    <row r="693" spans="2:17" ht="39" x14ac:dyDescent="0.25">
      <c r="B693" s="137">
        <v>691</v>
      </c>
      <c r="C693" s="135" t="s">
        <v>321</v>
      </c>
      <c r="D693" s="138" t="s">
        <v>3685</v>
      </c>
      <c r="E693" s="139">
        <v>45637</v>
      </c>
      <c r="F693" s="140">
        <v>0.93125000000000002</v>
      </c>
      <c r="G693" s="138" t="s">
        <v>4699</v>
      </c>
      <c r="H693" s="138" t="s">
        <v>4700</v>
      </c>
      <c r="I693" s="138" t="s">
        <v>4701</v>
      </c>
      <c r="J693" s="142">
        <v>150000</v>
      </c>
      <c r="K693" s="142">
        <v>550000</v>
      </c>
      <c r="L693" s="137" t="s">
        <v>20</v>
      </c>
      <c r="M693" s="137" t="s">
        <v>20</v>
      </c>
      <c r="N693" s="137" t="s">
        <v>20</v>
      </c>
      <c r="O693" s="137" t="s">
        <v>20</v>
      </c>
      <c r="P693" s="137" t="s">
        <v>20</v>
      </c>
      <c r="Q693" s="137" t="s">
        <v>20</v>
      </c>
    </row>
    <row r="694" spans="2:17" ht="58.5" x14ac:dyDescent="0.25">
      <c r="B694" s="137">
        <v>692</v>
      </c>
      <c r="C694" s="135" t="s">
        <v>321</v>
      </c>
      <c r="D694" s="138" t="s">
        <v>3669</v>
      </c>
      <c r="E694" s="139">
        <v>45640</v>
      </c>
      <c r="F694" s="140">
        <v>0.51527777777777772</v>
      </c>
      <c r="G694" s="138" t="s">
        <v>4702</v>
      </c>
      <c r="H694" s="138" t="s">
        <v>3752</v>
      </c>
      <c r="I694" s="138" t="s">
        <v>4703</v>
      </c>
      <c r="J694" s="142">
        <v>40000</v>
      </c>
      <c r="K694" s="142">
        <v>260000</v>
      </c>
      <c r="L694" s="137" t="s">
        <v>20</v>
      </c>
      <c r="M694" s="137" t="s">
        <v>20</v>
      </c>
      <c r="N694" s="137" t="s">
        <v>20</v>
      </c>
      <c r="O694" s="137" t="s">
        <v>20</v>
      </c>
      <c r="P694" s="137" t="s">
        <v>20</v>
      </c>
      <c r="Q694" s="137" t="s">
        <v>20</v>
      </c>
    </row>
    <row r="695" spans="2:17" ht="39" x14ac:dyDescent="0.25">
      <c r="B695" s="137">
        <v>693</v>
      </c>
      <c r="C695" s="135" t="s">
        <v>321</v>
      </c>
      <c r="D695" s="138" t="s">
        <v>3669</v>
      </c>
      <c r="E695" s="139">
        <v>45653</v>
      </c>
      <c r="F695" s="140">
        <v>0.61597222222222225</v>
      </c>
      <c r="G695" s="138" t="s">
        <v>4704</v>
      </c>
      <c r="H695" s="138" t="s">
        <v>4108</v>
      </c>
      <c r="I695" s="138" t="s">
        <v>347</v>
      </c>
      <c r="J695" s="142">
        <v>10000</v>
      </c>
      <c r="K695" s="142">
        <v>90000</v>
      </c>
      <c r="L695" s="137" t="s">
        <v>20</v>
      </c>
      <c r="M695" s="137" t="s">
        <v>20</v>
      </c>
      <c r="N695" s="137" t="s">
        <v>20</v>
      </c>
      <c r="O695" s="137" t="s">
        <v>20</v>
      </c>
      <c r="P695" s="137" t="s">
        <v>20</v>
      </c>
      <c r="Q695" s="137" t="s">
        <v>20</v>
      </c>
    </row>
    <row r="696" spans="2:17" ht="19.5" customHeight="1" x14ac:dyDescent="0.25">
      <c r="B696" s="137">
        <v>694</v>
      </c>
      <c r="C696" s="135" t="s">
        <v>321</v>
      </c>
      <c r="D696" s="138" t="s">
        <v>3669</v>
      </c>
      <c r="E696" s="139">
        <v>45657</v>
      </c>
      <c r="F696" s="140">
        <v>0.53055555555555556</v>
      </c>
      <c r="G696" s="138" t="s">
        <v>4705</v>
      </c>
      <c r="H696" s="138" t="s">
        <v>4108</v>
      </c>
      <c r="I696" s="138" t="s">
        <v>4706</v>
      </c>
      <c r="J696" s="142" t="s">
        <v>3674</v>
      </c>
      <c r="K696" s="142" t="s">
        <v>4707</v>
      </c>
      <c r="L696" s="137" t="s">
        <v>20</v>
      </c>
      <c r="M696" s="137" t="s">
        <v>20</v>
      </c>
      <c r="N696" s="137" t="s">
        <v>20</v>
      </c>
      <c r="O696" s="137" t="s">
        <v>20</v>
      </c>
      <c r="P696" s="137" t="s">
        <v>20</v>
      </c>
      <c r="Q696" s="137" t="s">
        <v>20</v>
      </c>
    </row>
    <row r="697" spans="2:17" ht="39" x14ac:dyDescent="0.25">
      <c r="B697" s="137">
        <v>695</v>
      </c>
      <c r="C697" s="135" t="s">
        <v>321</v>
      </c>
      <c r="D697" s="138" t="s">
        <v>4111</v>
      </c>
      <c r="E697" s="139">
        <v>45632</v>
      </c>
      <c r="F697" s="140">
        <v>0.96944444444444444</v>
      </c>
      <c r="G697" s="138" t="s">
        <v>4708</v>
      </c>
      <c r="H697" s="138" t="s">
        <v>4108</v>
      </c>
      <c r="I697" s="138" t="s">
        <v>4709</v>
      </c>
      <c r="J697" s="142">
        <v>500000</v>
      </c>
      <c r="K697" s="142">
        <v>1000000</v>
      </c>
      <c r="L697" s="137" t="s">
        <v>20</v>
      </c>
      <c r="M697" s="137" t="s">
        <v>20</v>
      </c>
      <c r="N697" s="137" t="s">
        <v>20</v>
      </c>
      <c r="O697" s="137" t="s">
        <v>20</v>
      </c>
      <c r="P697" s="137" t="s">
        <v>20</v>
      </c>
      <c r="Q697" s="137" t="s">
        <v>20</v>
      </c>
    </row>
    <row r="698" spans="2:17" ht="39" x14ac:dyDescent="0.25">
      <c r="B698" s="137">
        <v>696</v>
      </c>
      <c r="C698" s="135" t="s">
        <v>321</v>
      </c>
      <c r="D698" s="138" t="s">
        <v>4111</v>
      </c>
      <c r="E698" s="139">
        <v>45644</v>
      </c>
      <c r="F698" s="140">
        <v>0.20833333333333334</v>
      </c>
      <c r="G698" s="138" t="s">
        <v>4710</v>
      </c>
      <c r="H698" s="138" t="s">
        <v>4711</v>
      </c>
      <c r="I698" s="138" t="s">
        <v>4712</v>
      </c>
      <c r="J698" s="142">
        <v>90000</v>
      </c>
      <c r="K698" s="142">
        <v>110000</v>
      </c>
      <c r="L698" s="137" t="s">
        <v>20</v>
      </c>
      <c r="M698" s="141">
        <v>1</v>
      </c>
      <c r="N698" s="137" t="s">
        <v>20</v>
      </c>
      <c r="O698" s="137" t="s">
        <v>20</v>
      </c>
      <c r="P698" s="137" t="s">
        <v>20</v>
      </c>
      <c r="Q698" s="137" t="s">
        <v>20</v>
      </c>
    </row>
    <row r="699" spans="2:17" ht="22.5" customHeight="1" x14ac:dyDescent="0.25">
      <c r="B699" s="137">
        <v>697</v>
      </c>
      <c r="C699" s="135" t="s">
        <v>321</v>
      </c>
      <c r="D699" s="138" t="s">
        <v>317</v>
      </c>
      <c r="E699" s="139"/>
      <c r="F699" s="145">
        <v>0.44861111111111113</v>
      </c>
      <c r="G699" s="138" t="s">
        <v>559</v>
      </c>
      <c r="H699" s="138" t="s">
        <v>560</v>
      </c>
      <c r="I699" s="138" t="s">
        <v>561</v>
      </c>
      <c r="J699" s="142">
        <v>500</v>
      </c>
      <c r="K699" s="142">
        <v>99500</v>
      </c>
      <c r="L699" s="141" t="s">
        <v>20</v>
      </c>
      <c r="M699" s="141" t="s">
        <v>20</v>
      </c>
      <c r="N699" s="141" t="s">
        <v>20</v>
      </c>
      <c r="O699" s="141" t="s">
        <v>20</v>
      </c>
      <c r="P699" s="141" t="s">
        <v>20</v>
      </c>
      <c r="Q699" s="141" t="s">
        <v>20</v>
      </c>
    </row>
    <row r="700" spans="2:17" ht="21" x14ac:dyDescent="0.25">
      <c r="B700" s="137">
        <v>698</v>
      </c>
      <c r="C700" s="135" t="s">
        <v>321</v>
      </c>
      <c r="D700" s="138"/>
      <c r="E700" s="139">
        <v>45634</v>
      </c>
      <c r="F700" s="145"/>
      <c r="G700" s="138"/>
      <c r="H700" s="138"/>
      <c r="I700" s="138"/>
      <c r="J700" s="142"/>
      <c r="K700" s="142"/>
      <c r="L700" s="141"/>
      <c r="M700" s="141"/>
      <c r="N700" s="141"/>
      <c r="O700" s="141"/>
      <c r="P700" s="141"/>
      <c r="Q700" s="141"/>
    </row>
    <row r="701" spans="2:17" ht="39" x14ac:dyDescent="0.25">
      <c r="B701" s="137">
        <v>699</v>
      </c>
      <c r="C701" s="135" t="s">
        <v>321</v>
      </c>
      <c r="D701" s="138" t="s">
        <v>317</v>
      </c>
      <c r="E701" s="139">
        <v>45637</v>
      </c>
      <c r="F701" s="140">
        <v>0.46041666666666664</v>
      </c>
      <c r="G701" s="138" t="s">
        <v>4713</v>
      </c>
      <c r="H701" s="138" t="s">
        <v>562</v>
      </c>
      <c r="I701" s="138" t="s">
        <v>563</v>
      </c>
      <c r="J701" s="142">
        <v>495000</v>
      </c>
      <c r="K701" s="142">
        <v>105000</v>
      </c>
      <c r="L701" s="137" t="s">
        <v>20</v>
      </c>
      <c r="M701" s="137" t="s">
        <v>20</v>
      </c>
      <c r="N701" s="137" t="s">
        <v>20</v>
      </c>
      <c r="O701" s="137" t="s">
        <v>20</v>
      </c>
      <c r="P701" s="137" t="s">
        <v>20</v>
      </c>
      <c r="Q701" s="137" t="s">
        <v>20</v>
      </c>
    </row>
    <row r="702" spans="2:17" ht="58.5" x14ac:dyDescent="0.25">
      <c r="B702" s="137">
        <v>700</v>
      </c>
      <c r="C702" s="135" t="s">
        <v>321</v>
      </c>
      <c r="D702" s="138" t="s">
        <v>317</v>
      </c>
      <c r="E702" s="139">
        <v>45639</v>
      </c>
      <c r="F702" s="140">
        <v>0.5708333333333333</v>
      </c>
      <c r="G702" s="144" t="s">
        <v>4714</v>
      </c>
      <c r="H702" s="138" t="s">
        <v>406</v>
      </c>
      <c r="I702" s="138" t="s">
        <v>564</v>
      </c>
      <c r="J702" s="142">
        <v>25000</v>
      </c>
      <c r="K702" s="142">
        <v>100000</v>
      </c>
      <c r="L702" s="137" t="s">
        <v>20</v>
      </c>
      <c r="M702" s="137" t="s">
        <v>20</v>
      </c>
      <c r="N702" s="137" t="s">
        <v>20</v>
      </c>
      <c r="O702" s="137" t="s">
        <v>20</v>
      </c>
      <c r="P702" s="137" t="s">
        <v>20</v>
      </c>
      <c r="Q702" s="137" t="s">
        <v>20</v>
      </c>
    </row>
    <row r="703" spans="2:17" ht="21.75" customHeight="1" x14ac:dyDescent="0.25">
      <c r="B703" s="137">
        <v>701</v>
      </c>
      <c r="C703" s="135" t="s">
        <v>321</v>
      </c>
      <c r="D703" s="138" t="s">
        <v>317</v>
      </c>
      <c r="E703" s="139">
        <v>45646</v>
      </c>
      <c r="F703" s="140">
        <v>0.52708333333333335</v>
      </c>
      <c r="G703" s="138" t="s">
        <v>4715</v>
      </c>
      <c r="H703" s="138" t="s">
        <v>565</v>
      </c>
      <c r="I703" s="138" t="s">
        <v>561</v>
      </c>
      <c r="J703" s="142">
        <v>200</v>
      </c>
      <c r="K703" s="142">
        <v>4800</v>
      </c>
      <c r="L703" s="137" t="s">
        <v>20</v>
      </c>
      <c r="M703" s="137" t="s">
        <v>20</v>
      </c>
      <c r="N703" s="137" t="s">
        <v>20</v>
      </c>
      <c r="O703" s="137" t="s">
        <v>20</v>
      </c>
      <c r="P703" s="137" t="s">
        <v>20</v>
      </c>
      <c r="Q703" s="137" t="s">
        <v>20</v>
      </c>
    </row>
    <row r="704" spans="2:17" ht="21.75" customHeight="1" x14ac:dyDescent="0.25">
      <c r="B704" s="137">
        <v>702</v>
      </c>
      <c r="C704" s="135" t="s">
        <v>321</v>
      </c>
      <c r="D704" s="138"/>
      <c r="E704" s="139"/>
      <c r="F704" s="140" t="s">
        <v>274</v>
      </c>
      <c r="G704" s="138"/>
      <c r="H704" s="138"/>
      <c r="I704" s="138"/>
      <c r="J704" s="142"/>
      <c r="K704" s="142"/>
      <c r="L704" s="137"/>
      <c r="M704" s="137"/>
      <c r="N704" s="137"/>
      <c r="O704" s="137"/>
      <c r="P704" s="137"/>
      <c r="Q704" s="137"/>
    </row>
    <row r="705" spans="2:17" ht="19.5" customHeight="1" x14ac:dyDescent="0.25">
      <c r="B705" s="137">
        <v>703</v>
      </c>
      <c r="C705" s="135" t="s">
        <v>321</v>
      </c>
      <c r="D705" s="138" t="s">
        <v>317</v>
      </c>
      <c r="E705" s="139">
        <v>45651</v>
      </c>
      <c r="F705" s="145">
        <v>0.69374999999999998</v>
      </c>
      <c r="G705" s="138" t="s">
        <v>566</v>
      </c>
      <c r="H705" s="138" t="s">
        <v>406</v>
      </c>
      <c r="I705" s="138" t="s">
        <v>567</v>
      </c>
      <c r="J705" s="142" t="s">
        <v>341</v>
      </c>
      <c r="K705" s="142">
        <v>100000</v>
      </c>
      <c r="L705" s="137" t="s">
        <v>20</v>
      </c>
      <c r="M705" s="137" t="s">
        <v>20</v>
      </c>
      <c r="N705" s="137" t="s">
        <v>20</v>
      </c>
      <c r="O705" s="137" t="s">
        <v>20</v>
      </c>
      <c r="P705" s="137" t="s">
        <v>20</v>
      </c>
      <c r="Q705" s="137" t="s">
        <v>20</v>
      </c>
    </row>
    <row r="706" spans="2:17" ht="58.5" x14ac:dyDescent="0.25">
      <c r="B706" s="137">
        <v>704</v>
      </c>
      <c r="C706" s="135" t="s">
        <v>321</v>
      </c>
      <c r="D706" s="138" t="s">
        <v>3654</v>
      </c>
      <c r="E706" s="139">
        <v>45627</v>
      </c>
      <c r="F706" s="140">
        <v>0.11458333333333333</v>
      </c>
      <c r="G706" s="138" t="s">
        <v>4716</v>
      </c>
      <c r="H706" s="138" t="s">
        <v>4717</v>
      </c>
      <c r="I706" s="138" t="s">
        <v>4718</v>
      </c>
      <c r="J706" s="142" t="s">
        <v>4719</v>
      </c>
      <c r="K706" s="142" t="s">
        <v>4719</v>
      </c>
      <c r="L706" s="137" t="s">
        <v>20</v>
      </c>
      <c r="M706" s="137" t="s">
        <v>20</v>
      </c>
      <c r="N706" s="137" t="s">
        <v>20</v>
      </c>
      <c r="O706" s="137" t="s">
        <v>20</v>
      </c>
      <c r="P706" s="137" t="s">
        <v>20</v>
      </c>
      <c r="Q706" s="137" t="s">
        <v>20</v>
      </c>
    </row>
    <row r="707" spans="2:17" ht="58.5" x14ac:dyDescent="0.25">
      <c r="B707" s="137">
        <v>705</v>
      </c>
      <c r="C707" s="135" t="s">
        <v>321</v>
      </c>
      <c r="D707" s="138" t="s">
        <v>3654</v>
      </c>
      <c r="E707" s="139">
        <v>45635</v>
      </c>
      <c r="F707" s="140">
        <v>0.15069444444444444</v>
      </c>
      <c r="G707" s="138" t="s">
        <v>4720</v>
      </c>
      <c r="H707" s="138" t="s">
        <v>3713</v>
      </c>
      <c r="I707" s="138" t="s">
        <v>4721</v>
      </c>
      <c r="J707" s="142">
        <v>900000</v>
      </c>
      <c r="K707" s="142">
        <v>9100000</v>
      </c>
      <c r="L707" s="137" t="s">
        <v>20</v>
      </c>
      <c r="M707" s="137" t="s">
        <v>20</v>
      </c>
      <c r="N707" s="137" t="s">
        <v>20</v>
      </c>
      <c r="O707" s="137" t="s">
        <v>20</v>
      </c>
      <c r="P707" s="137" t="s">
        <v>20</v>
      </c>
      <c r="Q707" s="137" t="s">
        <v>20</v>
      </c>
    </row>
    <row r="708" spans="2:17" ht="30.75" customHeight="1" x14ac:dyDescent="0.25">
      <c r="B708" s="137">
        <v>706</v>
      </c>
      <c r="C708" s="135" t="s">
        <v>321</v>
      </c>
      <c r="D708" s="138" t="s">
        <v>3654</v>
      </c>
      <c r="E708" s="139">
        <v>45635</v>
      </c>
      <c r="F708" s="145">
        <v>0.69444444444444442</v>
      </c>
      <c r="G708" s="138" t="s">
        <v>4722</v>
      </c>
      <c r="H708" s="138" t="s">
        <v>4723</v>
      </c>
      <c r="I708" s="138" t="s">
        <v>4724</v>
      </c>
      <c r="J708" s="142"/>
      <c r="K708" s="142"/>
      <c r="L708" s="137" t="s">
        <v>20</v>
      </c>
      <c r="M708" s="137" t="s">
        <v>20</v>
      </c>
      <c r="N708" s="137" t="s">
        <v>20</v>
      </c>
      <c r="O708" s="137" t="s">
        <v>20</v>
      </c>
      <c r="P708" s="137" t="s">
        <v>20</v>
      </c>
      <c r="Q708" s="137" t="s">
        <v>20</v>
      </c>
    </row>
    <row r="709" spans="2:17" ht="19.5" customHeight="1" x14ac:dyDescent="0.25">
      <c r="B709" s="137">
        <v>707</v>
      </c>
      <c r="C709" s="135" t="s">
        <v>321</v>
      </c>
      <c r="D709" s="138" t="s">
        <v>3654</v>
      </c>
      <c r="E709" s="139"/>
      <c r="F709" s="145"/>
      <c r="G709" s="138"/>
      <c r="H709" s="138"/>
      <c r="I709" s="138"/>
      <c r="J709" s="142">
        <v>10000</v>
      </c>
      <c r="K709" s="142">
        <v>9990000</v>
      </c>
      <c r="L709" s="137"/>
      <c r="M709" s="137"/>
      <c r="N709" s="137"/>
      <c r="O709" s="137"/>
      <c r="P709" s="137"/>
      <c r="Q709" s="137"/>
    </row>
    <row r="710" spans="2:17" ht="58.5" x14ac:dyDescent="0.25">
      <c r="B710" s="137">
        <v>708</v>
      </c>
      <c r="C710" s="135" t="s">
        <v>321</v>
      </c>
      <c r="D710" s="138" t="s">
        <v>3654</v>
      </c>
      <c r="E710" s="139">
        <v>45636</v>
      </c>
      <c r="F710" s="140">
        <v>0.63888888888888884</v>
      </c>
      <c r="G710" s="138" t="s">
        <v>4725</v>
      </c>
      <c r="H710" s="138" t="s">
        <v>4634</v>
      </c>
      <c r="I710" s="138" t="s">
        <v>4726</v>
      </c>
      <c r="J710" s="142">
        <v>1000</v>
      </c>
      <c r="K710" s="142">
        <v>99000</v>
      </c>
      <c r="L710" s="137" t="s">
        <v>20</v>
      </c>
      <c r="M710" s="137" t="s">
        <v>20</v>
      </c>
      <c r="N710" s="137" t="s">
        <v>20</v>
      </c>
      <c r="O710" s="137" t="s">
        <v>20</v>
      </c>
      <c r="P710" s="137" t="s">
        <v>20</v>
      </c>
      <c r="Q710" s="137" t="s">
        <v>20</v>
      </c>
    </row>
    <row r="711" spans="2:17" ht="58.5" x14ac:dyDescent="0.25">
      <c r="B711" s="137">
        <v>709</v>
      </c>
      <c r="C711" s="135" t="s">
        <v>321</v>
      </c>
      <c r="D711" s="138" t="s">
        <v>3654</v>
      </c>
      <c r="E711" s="139">
        <v>45643</v>
      </c>
      <c r="F711" s="140">
        <v>0.60138888888888886</v>
      </c>
      <c r="G711" s="138" t="s">
        <v>4727</v>
      </c>
      <c r="H711" s="138" t="s">
        <v>4596</v>
      </c>
      <c r="I711" s="138" t="s">
        <v>347</v>
      </c>
      <c r="J711" s="142">
        <v>500</v>
      </c>
      <c r="K711" s="142">
        <v>99500</v>
      </c>
      <c r="L711" s="137" t="s">
        <v>20</v>
      </c>
      <c r="M711" s="137" t="s">
        <v>20</v>
      </c>
      <c r="N711" s="137" t="s">
        <v>20</v>
      </c>
      <c r="O711" s="137" t="s">
        <v>20</v>
      </c>
      <c r="P711" s="137" t="s">
        <v>20</v>
      </c>
      <c r="Q711" s="137" t="s">
        <v>20</v>
      </c>
    </row>
    <row r="712" spans="2:17" ht="58.5" x14ac:dyDescent="0.25">
      <c r="B712" s="137">
        <v>710</v>
      </c>
      <c r="C712" s="135" t="s">
        <v>321</v>
      </c>
      <c r="D712" s="138" t="s">
        <v>3654</v>
      </c>
      <c r="E712" s="139">
        <v>45645</v>
      </c>
      <c r="F712" s="140">
        <v>0.47222222222222221</v>
      </c>
      <c r="G712" s="138" t="s">
        <v>4728</v>
      </c>
      <c r="H712" s="138" t="s">
        <v>4634</v>
      </c>
      <c r="I712" s="138" t="s">
        <v>340</v>
      </c>
      <c r="J712" s="142">
        <v>500</v>
      </c>
      <c r="K712" s="142">
        <v>99500</v>
      </c>
      <c r="L712" s="137" t="s">
        <v>20</v>
      </c>
      <c r="M712" s="137" t="s">
        <v>20</v>
      </c>
      <c r="N712" s="137" t="s">
        <v>20</v>
      </c>
      <c r="O712" s="137" t="s">
        <v>20</v>
      </c>
      <c r="P712" s="137" t="s">
        <v>20</v>
      </c>
      <c r="Q712" s="137" t="s">
        <v>20</v>
      </c>
    </row>
    <row r="713" spans="2:17" ht="58.5" x14ac:dyDescent="0.25">
      <c r="B713" s="137">
        <v>711</v>
      </c>
      <c r="C713" s="135" t="s">
        <v>321</v>
      </c>
      <c r="D713" s="138" t="s">
        <v>3721</v>
      </c>
      <c r="E713" s="139">
        <v>45641</v>
      </c>
      <c r="F713" s="140">
        <v>0.6333333333333333</v>
      </c>
      <c r="G713" s="141" t="s">
        <v>4729</v>
      </c>
      <c r="H713" s="138" t="s">
        <v>4730</v>
      </c>
      <c r="I713" s="141" t="s">
        <v>20</v>
      </c>
      <c r="J713" s="142" t="s">
        <v>341</v>
      </c>
      <c r="K713" s="142" t="s">
        <v>341</v>
      </c>
      <c r="L713" s="137" t="s">
        <v>20</v>
      </c>
      <c r="M713" s="137" t="s">
        <v>20</v>
      </c>
      <c r="N713" s="137" t="s">
        <v>20</v>
      </c>
      <c r="O713" s="137" t="s">
        <v>20</v>
      </c>
      <c r="P713" s="137" t="s">
        <v>20</v>
      </c>
      <c r="Q713" s="137" t="s">
        <v>20</v>
      </c>
    </row>
    <row r="714" spans="2:17" ht="78" x14ac:dyDescent="0.25">
      <c r="B714" s="137">
        <v>712</v>
      </c>
      <c r="C714" s="135" t="s">
        <v>321</v>
      </c>
      <c r="D714" s="138" t="s">
        <v>3721</v>
      </c>
      <c r="E714" s="139">
        <v>45652</v>
      </c>
      <c r="F714" s="140">
        <v>0.91597222222222219</v>
      </c>
      <c r="G714" s="141" t="s">
        <v>4731</v>
      </c>
      <c r="H714" s="138" t="s">
        <v>4732</v>
      </c>
      <c r="I714" s="138" t="s">
        <v>4733</v>
      </c>
      <c r="J714" s="142">
        <v>300000</v>
      </c>
      <c r="K714" s="142">
        <v>1200000</v>
      </c>
      <c r="L714" s="137" t="s">
        <v>20</v>
      </c>
      <c r="M714" s="137" t="s">
        <v>20</v>
      </c>
      <c r="N714" s="137" t="s">
        <v>20</v>
      </c>
      <c r="O714" s="137" t="s">
        <v>20</v>
      </c>
      <c r="P714" s="137" t="s">
        <v>20</v>
      </c>
      <c r="Q714" s="137" t="s">
        <v>20</v>
      </c>
    </row>
    <row r="715" spans="2:17" ht="39" x14ac:dyDescent="0.25">
      <c r="B715" s="137">
        <v>713</v>
      </c>
      <c r="C715" s="135" t="s">
        <v>321</v>
      </c>
      <c r="D715" s="138" t="s">
        <v>307</v>
      </c>
      <c r="E715" s="139">
        <v>45633</v>
      </c>
      <c r="F715" s="145">
        <v>0.76875000000000004</v>
      </c>
      <c r="G715" s="138" t="s">
        <v>4734</v>
      </c>
      <c r="H715" s="141" t="s">
        <v>309</v>
      </c>
      <c r="I715" s="141" t="s">
        <v>568</v>
      </c>
      <c r="J715" s="142">
        <v>31000</v>
      </c>
      <c r="K715" s="142">
        <v>469000</v>
      </c>
      <c r="L715" s="137" t="s">
        <v>20</v>
      </c>
      <c r="M715" s="137" t="s">
        <v>20</v>
      </c>
      <c r="N715" s="137" t="s">
        <v>20</v>
      </c>
      <c r="O715" s="137" t="s">
        <v>20</v>
      </c>
      <c r="P715" s="137" t="s">
        <v>20</v>
      </c>
      <c r="Q715" s="137" t="s">
        <v>20</v>
      </c>
    </row>
    <row r="716" spans="2:17" ht="58.5" x14ac:dyDescent="0.25">
      <c r="B716" s="137">
        <v>714</v>
      </c>
      <c r="C716" s="135" t="s">
        <v>321</v>
      </c>
      <c r="D716" s="138" t="s">
        <v>307</v>
      </c>
      <c r="E716" s="139">
        <v>45634</v>
      </c>
      <c r="F716" s="145">
        <v>0.58472222222222225</v>
      </c>
      <c r="G716" s="138" t="s">
        <v>4758</v>
      </c>
      <c r="H716" s="141" t="s">
        <v>406</v>
      </c>
      <c r="I716" s="141" t="s">
        <v>569</v>
      </c>
      <c r="J716" s="142" t="s">
        <v>341</v>
      </c>
      <c r="K716" s="142" t="s">
        <v>341</v>
      </c>
      <c r="L716" s="137" t="s">
        <v>20</v>
      </c>
      <c r="M716" s="137" t="s">
        <v>20</v>
      </c>
      <c r="N716" s="137" t="s">
        <v>20</v>
      </c>
      <c r="O716" s="137" t="s">
        <v>20</v>
      </c>
      <c r="P716" s="137" t="s">
        <v>20</v>
      </c>
      <c r="Q716" s="137" t="s">
        <v>20</v>
      </c>
    </row>
    <row r="717" spans="2:17" ht="78" x14ac:dyDescent="0.25">
      <c r="B717" s="137">
        <v>715</v>
      </c>
      <c r="C717" s="135" t="s">
        <v>321</v>
      </c>
      <c r="D717" s="138" t="s">
        <v>307</v>
      </c>
      <c r="E717" s="139">
        <v>45637</v>
      </c>
      <c r="F717" s="140">
        <v>0.88541666666666663</v>
      </c>
      <c r="G717" s="138" t="s">
        <v>4735</v>
      </c>
      <c r="H717" s="141" t="s">
        <v>4736</v>
      </c>
      <c r="I717" s="141" t="s">
        <v>570</v>
      </c>
      <c r="J717" s="142" t="s">
        <v>341</v>
      </c>
      <c r="K717" s="142" t="s">
        <v>341</v>
      </c>
      <c r="L717" s="137" t="s">
        <v>20</v>
      </c>
      <c r="M717" s="137" t="s">
        <v>20</v>
      </c>
      <c r="N717" s="137" t="s">
        <v>20</v>
      </c>
      <c r="O717" s="137" t="s">
        <v>20</v>
      </c>
      <c r="P717" s="137" t="s">
        <v>20</v>
      </c>
      <c r="Q717" s="137" t="s">
        <v>20</v>
      </c>
    </row>
    <row r="718" spans="2:17" ht="39" x14ac:dyDescent="0.25">
      <c r="B718" s="137">
        <v>716</v>
      </c>
      <c r="C718" s="135" t="s">
        <v>321</v>
      </c>
      <c r="D718" s="138" t="s">
        <v>307</v>
      </c>
      <c r="E718" s="139">
        <v>45642</v>
      </c>
      <c r="F718" s="140">
        <v>0.49722222222222223</v>
      </c>
      <c r="G718" s="138" t="s">
        <v>571</v>
      </c>
      <c r="H718" s="141" t="s">
        <v>309</v>
      </c>
      <c r="I718" s="141" t="s">
        <v>572</v>
      </c>
      <c r="J718" s="142">
        <v>5000</v>
      </c>
      <c r="K718" s="142">
        <v>195000</v>
      </c>
      <c r="L718" s="137" t="s">
        <v>20</v>
      </c>
      <c r="M718" s="137" t="s">
        <v>20</v>
      </c>
      <c r="N718" s="137" t="s">
        <v>20</v>
      </c>
      <c r="O718" s="137" t="s">
        <v>20</v>
      </c>
      <c r="P718" s="137" t="s">
        <v>20</v>
      </c>
      <c r="Q718" s="137" t="s">
        <v>20</v>
      </c>
    </row>
    <row r="719" spans="2:17" ht="58.5" x14ac:dyDescent="0.25">
      <c r="B719" s="137">
        <v>717</v>
      </c>
      <c r="C719" s="135" t="s">
        <v>321</v>
      </c>
      <c r="D719" s="138" t="s">
        <v>307</v>
      </c>
      <c r="E719" s="139">
        <v>45643</v>
      </c>
      <c r="F719" s="140">
        <v>0.58958333333333335</v>
      </c>
      <c r="G719" s="138" t="s">
        <v>4737</v>
      </c>
      <c r="H719" s="138" t="s">
        <v>406</v>
      </c>
      <c r="I719" s="141" t="s">
        <v>573</v>
      </c>
      <c r="J719" s="142">
        <v>15000</v>
      </c>
      <c r="K719" s="142">
        <v>350000</v>
      </c>
      <c r="L719" s="137" t="s">
        <v>20</v>
      </c>
      <c r="M719" s="137" t="s">
        <v>20</v>
      </c>
      <c r="N719" s="137" t="s">
        <v>20</v>
      </c>
      <c r="O719" s="137" t="s">
        <v>20</v>
      </c>
      <c r="P719" s="137" t="s">
        <v>20</v>
      </c>
      <c r="Q719" s="137" t="s">
        <v>20</v>
      </c>
    </row>
    <row r="720" spans="2:17" ht="39" x14ac:dyDescent="0.25">
      <c r="B720" s="137">
        <v>718</v>
      </c>
      <c r="C720" s="135" t="s">
        <v>321</v>
      </c>
      <c r="D720" s="138" t="s">
        <v>307</v>
      </c>
      <c r="E720" s="139">
        <v>45646</v>
      </c>
      <c r="F720" s="140">
        <v>0.72291666666666665</v>
      </c>
      <c r="G720" s="138" t="s">
        <v>574</v>
      </c>
      <c r="H720" s="138" t="s">
        <v>406</v>
      </c>
      <c r="I720" s="138" t="s">
        <v>575</v>
      </c>
      <c r="J720" s="142">
        <v>4000</v>
      </c>
      <c r="K720" s="142">
        <v>8000</v>
      </c>
      <c r="L720" s="137" t="s">
        <v>20</v>
      </c>
      <c r="M720" s="137" t="s">
        <v>20</v>
      </c>
      <c r="N720" s="137" t="s">
        <v>20</v>
      </c>
      <c r="O720" s="137" t="s">
        <v>20</v>
      </c>
      <c r="P720" s="137" t="s">
        <v>20</v>
      </c>
      <c r="Q720" s="137" t="s">
        <v>20</v>
      </c>
    </row>
    <row r="721" spans="2:17" ht="39" x14ac:dyDescent="0.25">
      <c r="B721" s="137">
        <v>719</v>
      </c>
      <c r="C721" s="135" t="s">
        <v>321</v>
      </c>
      <c r="D721" s="138" t="s">
        <v>307</v>
      </c>
      <c r="E721" s="139">
        <v>45649</v>
      </c>
      <c r="F721" s="140">
        <v>0.56111111111111112</v>
      </c>
      <c r="G721" s="138" t="s">
        <v>576</v>
      </c>
      <c r="H721" s="138" t="s">
        <v>577</v>
      </c>
      <c r="I721" s="138" t="s">
        <v>575</v>
      </c>
      <c r="J721" s="142">
        <v>15000</v>
      </c>
      <c r="K721" s="142">
        <v>15000</v>
      </c>
      <c r="L721" s="137" t="s">
        <v>20</v>
      </c>
      <c r="M721" s="137" t="s">
        <v>20</v>
      </c>
      <c r="N721" s="137" t="s">
        <v>20</v>
      </c>
      <c r="O721" s="137" t="s">
        <v>20</v>
      </c>
      <c r="P721" s="137" t="s">
        <v>20</v>
      </c>
      <c r="Q721" s="137" t="s">
        <v>20</v>
      </c>
    </row>
    <row r="722" spans="2:17" ht="39" x14ac:dyDescent="0.25">
      <c r="B722" s="137">
        <v>720</v>
      </c>
      <c r="C722" s="135" t="s">
        <v>321</v>
      </c>
      <c r="D722" s="138" t="s">
        <v>307</v>
      </c>
      <c r="E722" s="139">
        <v>45652</v>
      </c>
      <c r="F722" s="140">
        <v>0.51388888888888884</v>
      </c>
      <c r="G722" s="141" t="s">
        <v>578</v>
      </c>
      <c r="H722" s="141" t="s">
        <v>577</v>
      </c>
      <c r="I722" s="141" t="s">
        <v>579</v>
      </c>
      <c r="J722" s="142">
        <v>15000</v>
      </c>
      <c r="K722" s="142">
        <v>120000</v>
      </c>
      <c r="L722" s="137" t="s">
        <v>20</v>
      </c>
      <c r="M722" s="137" t="s">
        <v>20</v>
      </c>
      <c r="N722" s="137" t="s">
        <v>20</v>
      </c>
      <c r="O722" s="137" t="s">
        <v>20</v>
      </c>
      <c r="P722" s="137" t="s">
        <v>20</v>
      </c>
      <c r="Q722" s="137" t="s">
        <v>20</v>
      </c>
    </row>
    <row r="723" spans="2:17" ht="39" x14ac:dyDescent="0.25">
      <c r="B723" s="137">
        <v>721</v>
      </c>
      <c r="C723" s="135" t="s">
        <v>321</v>
      </c>
      <c r="D723" s="138" t="s">
        <v>307</v>
      </c>
      <c r="E723" s="139">
        <v>45657</v>
      </c>
      <c r="F723" s="140">
        <v>0.76666666666666672</v>
      </c>
      <c r="G723" s="141" t="s">
        <v>4738</v>
      </c>
      <c r="H723" s="138" t="s">
        <v>406</v>
      </c>
      <c r="I723" s="141" t="s">
        <v>575</v>
      </c>
      <c r="J723" s="142">
        <v>3000</v>
      </c>
      <c r="K723" s="142">
        <v>5000</v>
      </c>
      <c r="L723" s="137" t="s">
        <v>20</v>
      </c>
      <c r="M723" s="137" t="s">
        <v>20</v>
      </c>
      <c r="N723" s="137" t="s">
        <v>20</v>
      </c>
      <c r="O723" s="137" t="s">
        <v>20</v>
      </c>
      <c r="P723" s="137" t="s">
        <v>20</v>
      </c>
      <c r="Q723" s="137" t="s">
        <v>20</v>
      </c>
    </row>
    <row r="724" spans="2:17" ht="31.5" customHeight="1" x14ac:dyDescent="0.25">
      <c r="B724" s="137">
        <v>722</v>
      </c>
      <c r="C724" s="135" t="s">
        <v>321</v>
      </c>
      <c r="D724" s="138" t="s">
        <v>580</v>
      </c>
      <c r="E724" s="139">
        <v>45635</v>
      </c>
      <c r="F724" s="145">
        <v>0.37152777777777779</v>
      </c>
      <c r="G724" s="138" t="s">
        <v>4739</v>
      </c>
      <c r="H724" s="138" t="s">
        <v>4740</v>
      </c>
      <c r="I724" s="138" t="s">
        <v>4741</v>
      </c>
      <c r="J724" s="142">
        <v>40000</v>
      </c>
      <c r="K724" s="142">
        <v>99960000</v>
      </c>
      <c r="L724" s="137" t="s">
        <v>20</v>
      </c>
      <c r="M724" s="137" t="s">
        <v>20</v>
      </c>
      <c r="N724" s="137" t="s">
        <v>20</v>
      </c>
      <c r="O724" s="137" t="s">
        <v>20</v>
      </c>
      <c r="P724" s="137" t="s">
        <v>20</v>
      </c>
      <c r="Q724" s="137" t="s">
        <v>20</v>
      </c>
    </row>
    <row r="725" spans="2:17" ht="97.5" x14ac:dyDescent="0.25">
      <c r="B725" s="137">
        <v>723</v>
      </c>
      <c r="C725" s="135" t="s">
        <v>321</v>
      </c>
      <c r="D725" s="138" t="s">
        <v>580</v>
      </c>
      <c r="E725" s="139">
        <v>45638</v>
      </c>
      <c r="F725" s="140">
        <v>0.30138888888888887</v>
      </c>
      <c r="G725" s="138" t="s">
        <v>4742</v>
      </c>
      <c r="H725" s="138" t="s">
        <v>4743</v>
      </c>
      <c r="I725" s="138" t="s">
        <v>4744</v>
      </c>
      <c r="J725" s="142" t="s">
        <v>3674</v>
      </c>
      <c r="K725" s="142" t="s">
        <v>3674</v>
      </c>
      <c r="L725" s="137" t="s">
        <v>20</v>
      </c>
      <c r="M725" s="137" t="s">
        <v>20</v>
      </c>
      <c r="N725" s="137" t="s">
        <v>20</v>
      </c>
      <c r="O725" s="137" t="s">
        <v>20</v>
      </c>
      <c r="P725" s="137" t="s">
        <v>20</v>
      </c>
      <c r="Q725" s="137" t="s">
        <v>20</v>
      </c>
    </row>
    <row r="726" spans="2:17" ht="31.5" customHeight="1" x14ac:dyDescent="0.25">
      <c r="B726" s="137">
        <v>724</v>
      </c>
      <c r="C726" s="135" t="s">
        <v>321</v>
      </c>
      <c r="D726" s="138" t="s">
        <v>580</v>
      </c>
      <c r="E726" s="139">
        <v>45642</v>
      </c>
      <c r="F726" s="145">
        <v>0.60902777777777772</v>
      </c>
      <c r="G726" s="138" t="s">
        <v>4745</v>
      </c>
      <c r="H726" s="138" t="s">
        <v>3698</v>
      </c>
      <c r="I726" s="138" t="s">
        <v>4741</v>
      </c>
      <c r="J726" s="142"/>
      <c r="K726" s="142"/>
      <c r="L726" s="137" t="s">
        <v>20</v>
      </c>
      <c r="M726" s="137" t="s">
        <v>20</v>
      </c>
      <c r="N726" s="137" t="s">
        <v>20</v>
      </c>
      <c r="O726" s="137" t="s">
        <v>20</v>
      </c>
      <c r="P726" s="137" t="s">
        <v>20</v>
      </c>
      <c r="Q726" s="137" t="s">
        <v>20</v>
      </c>
    </row>
    <row r="727" spans="2:17" ht="35.25" customHeight="1" x14ac:dyDescent="0.25">
      <c r="B727" s="137">
        <v>725</v>
      </c>
      <c r="C727" s="135" t="s">
        <v>321</v>
      </c>
      <c r="D727" s="138" t="s">
        <v>580</v>
      </c>
      <c r="E727" s="139">
        <v>45643</v>
      </c>
      <c r="F727" s="145">
        <v>0.58680555555555558</v>
      </c>
      <c r="G727" s="138" t="s">
        <v>4746</v>
      </c>
      <c r="H727" s="138" t="s">
        <v>504</v>
      </c>
      <c r="I727" s="138" t="s">
        <v>4747</v>
      </c>
      <c r="J727" s="142">
        <v>5000</v>
      </c>
      <c r="K727" s="142">
        <v>199995000</v>
      </c>
      <c r="L727" s="137" t="s">
        <v>20</v>
      </c>
      <c r="M727" s="137" t="s">
        <v>20</v>
      </c>
      <c r="N727" s="137" t="s">
        <v>20</v>
      </c>
      <c r="O727" s="137" t="s">
        <v>20</v>
      </c>
      <c r="P727" s="137" t="s">
        <v>20</v>
      </c>
      <c r="Q727" s="137" t="s">
        <v>20</v>
      </c>
    </row>
    <row r="728" spans="2:17" ht="31.5" customHeight="1" x14ac:dyDescent="0.25">
      <c r="B728" s="137">
        <v>726</v>
      </c>
      <c r="C728" s="135" t="s">
        <v>321</v>
      </c>
      <c r="D728" s="138" t="s">
        <v>580</v>
      </c>
      <c r="E728" s="139">
        <v>45648</v>
      </c>
      <c r="F728" s="145">
        <v>0.64236111111111116</v>
      </c>
      <c r="G728" s="138" t="s">
        <v>4748</v>
      </c>
      <c r="H728" s="138" t="s">
        <v>3698</v>
      </c>
      <c r="I728" s="138" t="s">
        <v>2757</v>
      </c>
      <c r="J728" s="142">
        <v>5000</v>
      </c>
      <c r="K728" s="142">
        <v>199995000</v>
      </c>
      <c r="L728" s="137" t="s">
        <v>20</v>
      </c>
      <c r="M728" s="137" t="s">
        <v>20</v>
      </c>
      <c r="N728" s="137" t="s">
        <v>20</v>
      </c>
      <c r="O728" s="137" t="s">
        <v>20</v>
      </c>
      <c r="P728" s="137" t="s">
        <v>20</v>
      </c>
      <c r="Q728" s="137" t="s">
        <v>20</v>
      </c>
    </row>
    <row r="729" spans="2:17" ht="156" x14ac:dyDescent="0.25">
      <c r="B729" s="137">
        <v>727</v>
      </c>
      <c r="C729" s="135" t="s">
        <v>321</v>
      </c>
      <c r="D729" s="138" t="s">
        <v>580</v>
      </c>
      <c r="E729" s="139">
        <v>45651</v>
      </c>
      <c r="F729" s="140">
        <v>0.56041666666666667</v>
      </c>
      <c r="G729" s="144" t="s">
        <v>4749</v>
      </c>
      <c r="H729" s="138" t="s">
        <v>2625</v>
      </c>
      <c r="I729" s="144" t="s">
        <v>4750</v>
      </c>
      <c r="J729" s="142">
        <v>5000</v>
      </c>
      <c r="K729" s="142">
        <v>1995000</v>
      </c>
      <c r="L729" s="137" t="s">
        <v>20</v>
      </c>
      <c r="M729" s="137" t="s">
        <v>20</v>
      </c>
      <c r="N729" s="137" t="s">
        <v>20</v>
      </c>
      <c r="O729" s="137" t="s">
        <v>20</v>
      </c>
      <c r="P729" s="137" t="s">
        <v>20</v>
      </c>
      <c r="Q729" s="137" t="s">
        <v>20</v>
      </c>
    </row>
    <row r="730" spans="2:17" ht="175.5" x14ac:dyDescent="0.25">
      <c r="B730" s="137">
        <v>728</v>
      </c>
      <c r="C730" s="135" t="s">
        <v>321</v>
      </c>
      <c r="D730" s="138" t="s">
        <v>580</v>
      </c>
      <c r="E730" s="139">
        <v>45653</v>
      </c>
      <c r="F730" s="140">
        <v>0.31944444444444442</v>
      </c>
      <c r="G730" s="144" t="s">
        <v>4751</v>
      </c>
      <c r="H730" s="138" t="s">
        <v>2625</v>
      </c>
      <c r="I730" s="144" t="s">
        <v>4750</v>
      </c>
      <c r="J730" s="142" t="s">
        <v>3674</v>
      </c>
      <c r="K730" s="142" t="s">
        <v>3674</v>
      </c>
      <c r="L730" s="137" t="s">
        <v>20</v>
      </c>
      <c r="M730" s="137" t="s">
        <v>20</v>
      </c>
      <c r="N730" s="137" t="s">
        <v>20</v>
      </c>
      <c r="O730" s="137" t="s">
        <v>20</v>
      </c>
      <c r="P730" s="137" t="s">
        <v>20</v>
      </c>
      <c r="Q730" s="137" t="s">
        <v>20</v>
      </c>
    </row>
    <row r="731" spans="2:17" ht="97.5" x14ac:dyDescent="0.25">
      <c r="B731" s="137">
        <v>729</v>
      </c>
      <c r="C731" s="135" t="s">
        <v>321</v>
      </c>
      <c r="D731" s="138" t="s">
        <v>306</v>
      </c>
      <c r="E731" s="139">
        <v>45631</v>
      </c>
      <c r="F731" s="140">
        <v>0.39027777777777778</v>
      </c>
      <c r="G731" s="141" t="s">
        <v>4752</v>
      </c>
      <c r="H731" s="141" t="s">
        <v>3162</v>
      </c>
      <c r="I731" s="138" t="s">
        <v>4753</v>
      </c>
      <c r="J731" s="142" t="s">
        <v>4754</v>
      </c>
      <c r="K731" s="142" t="s">
        <v>4755</v>
      </c>
      <c r="L731" s="137" t="s">
        <v>20</v>
      </c>
      <c r="M731" s="137" t="s">
        <v>20</v>
      </c>
      <c r="N731" s="137" t="s">
        <v>20</v>
      </c>
      <c r="O731" s="137" t="s">
        <v>20</v>
      </c>
      <c r="P731" s="137" t="s">
        <v>20</v>
      </c>
      <c r="Q731" s="137" t="s">
        <v>20</v>
      </c>
    </row>
    <row r="732" spans="2:17" ht="97.5" x14ac:dyDescent="0.25">
      <c r="B732" s="137">
        <v>730</v>
      </c>
      <c r="C732" s="135" t="s">
        <v>321</v>
      </c>
      <c r="D732" s="138" t="s">
        <v>306</v>
      </c>
      <c r="E732" s="139">
        <v>45648</v>
      </c>
      <c r="F732" s="140">
        <v>0.21041666666666667</v>
      </c>
      <c r="G732" s="138" t="s">
        <v>4756</v>
      </c>
      <c r="H732" s="141" t="s">
        <v>3649</v>
      </c>
      <c r="I732" s="138" t="s">
        <v>4757</v>
      </c>
      <c r="J732" s="142">
        <v>300000</v>
      </c>
      <c r="K732" s="142">
        <v>200000</v>
      </c>
      <c r="L732" s="137" t="s">
        <v>20</v>
      </c>
      <c r="M732" s="137" t="s">
        <v>20</v>
      </c>
      <c r="N732" s="137" t="s">
        <v>20</v>
      </c>
      <c r="O732" s="137" t="s">
        <v>20</v>
      </c>
      <c r="P732" s="137" t="s">
        <v>20</v>
      </c>
      <c r="Q732" s="137" t="s">
        <v>20</v>
      </c>
    </row>
    <row r="735" spans="2:17" x14ac:dyDescent="0.3">
      <c r="F735" s="25"/>
    </row>
    <row r="736" spans="2:17" x14ac:dyDescent="0.3">
      <c r="F736" s="2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8C465-3AD9-44DA-B008-5D6B17A4D0F0}">
  <dimension ref="B2:R114"/>
  <sheetViews>
    <sheetView topLeftCell="H24" zoomScale="70" zoomScaleNormal="70" workbookViewId="0">
      <selection activeCell="K24" sqref="K23:R58"/>
    </sheetView>
  </sheetViews>
  <sheetFormatPr defaultColWidth="9.140625" defaultRowHeight="19.5" x14ac:dyDescent="0.35"/>
  <cols>
    <col min="1" max="4" width="9.140625" style="31"/>
    <col min="5" max="5" width="15.140625" style="31" customWidth="1"/>
    <col min="6" max="6" width="19.42578125" style="30" customWidth="1"/>
    <col min="7" max="7" width="44.85546875" style="31" customWidth="1"/>
    <col min="8" max="9" width="24.7109375" style="31" customWidth="1"/>
    <col min="10" max="10" width="24" style="31" customWidth="1"/>
    <col min="11" max="11" width="16.140625" style="31" customWidth="1"/>
    <col min="12" max="12" width="19.85546875" style="31" customWidth="1"/>
    <col min="13" max="18" width="9.140625" style="103"/>
    <col min="19" max="16384" width="9.140625" style="31"/>
  </cols>
  <sheetData>
    <row r="2" spans="2:18" s="184" customFormat="1" ht="81.75" customHeight="1" x14ac:dyDescent="0.45">
      <c r="B2" s="27" t="s">
        <v>76</v>
      </c>
      <c r="C2" s="105" t="s">
        <v>77</v>
      </c>
      <c r="D2" s="27" t="s">
        <v>5608</v>
      </c>
      <c r="E2" s="27" t="s">
        <v>79</v>
      </c>
      <c r="F2" s="27" t="s">
        <v>80</v>
      </c>
      <c r="G2" s="27" t="s">
        <v>81</v>
      </c>
      <c r="H2" s="183" t="s">
        <v>82</v>
      </c>
      <c r="I2" s="183"/>
      <c r="J2" s="27" t="s">
        <v>83</v>
      </c>
      <c r="K2" s="27" t="s">
        <v>84</v>
      </c>
      <c r="L2" s="27" t="s">
        <v>85</v>
      </c>
      <c r="M2" s="27" t="s">
        <v>86</v>
      </c>
      <c r="N2" s="27" t="s">
        <v>91</v>
      </c>
      <c r="O2" s="27" t="s">
        <v>87</v>
      </c>
      <c r="P2" s="27" t="s">
        <v>90</v>
      </c>
      <c r="Q2" s="27" t="s">
        <v>88</v>
      </c>
      <c r="R2" s="27" t="s">
        <v>89</v>
      </c>
    </row>
    <row r="3" spans="2:18" ht="39" x14ac:dyDescent="0.35">
      <c r="B3" s="28">
        <v>1</v>
      </c>
      <c r="C3" s="113" t="s">
        <v>4832</v>
      </c>
      <c r="D3" s="26" t="s">
        <v>4832</v>
      </c>
      <c r="E3" s="110">
        <v>45661</v>
      </c>
      <c r="F3" s="109">
        <v>0.61111111111111116</v>
      </c>
      <c r="G3" s="113" t="s">
        <v>5488</v>
      </c>
      <c r="H3" s="28" t="s">
        <v>5489</v>
      </c>
      <c r="I3" s="28"/>
      <c r="J3" s="26" t="s">
        <v>5490</v>
      </c>
      <c r="K3" s="26" t="s">
        <v>5491</v>
      </c>
      <c r="L3" s="26" t="s">
        <v>5492</v>
      </c>
      <c r="M3" s="28" t="s">
        <v>20</v>
      </c>
      <c r="N3" s="28" t="s">
        <v>20</v>
      </c>
      <c r="O3" s="28" t="s">
        <v>20</v>
      </c>
      <c r="P3" s="28">
        <v>1</v>
      </c>
      <c r="Q3" s="28" t="s">
        <v>20</v>
      </c>
      <c r="R3" s="28">
        <v>3</v>
      </c>
    </row>
    <row r="4" spans="2:18" x14ac:dyDescent="0.35">
      <c r="B4" s="28">
        <v>2</v>
      </c>
      <c r="C4" s="113" t="s">
        <v>4832</v>
      </c>
      <c r="D4" s="26" t="s">
        <v>4832</v>
      </c>
      <c r="E4" s="110">
        <v>45667</v>
      </c>
      <c r="F4" s="109">
        <v>0.74097222222222225</v>
      </c>
      <c r="G4" s="113" t="s">
        <v>5493</v>
      </c>
      <c r="H4" s="28" t="s">
        <v>5494</v>
      </c>
      <c r="I4" s="28"/>
      <c r="J4" s="26" t="s">
        <v>5495</v>
      </c>
      <c r="K4" s="26" t="s">
        <v>5496</v>
      </c>
      <c r="L4" s="26" t="s">
        <v>5497</v>
      </c>
      <c r="M4" s="28" t="s">
        <v>20</v>
      </c>
      <c r="N4" s="28" t="s">
        <v>20</v>
      </c>
      <c r="O4" s="28" t="s">
        <v>20</v>
      </c>
      <c r="P4" s="28" t="s">
        <v>20</v>
      </c>
      <c r="Q4" s="28" t="s">
        <v>20</v>
      </c>
      <c r="R4" s="28" t="s">
        <v>20</v>
      </c>
    </row>
    <row r="5" spans="2:18" x14ac:dyDescent="0.35">
      <c r="B5" s="28">
        <v>3</v>
      </c>
      <c r="C5" s="113" t="s">
        <v>4832</v>
      </c>
      <c r="D5" s="26" t="s">
        <v>4832</v>
      </c>
      <c r="E5" s="110">
        <v>45688</v>
      </c>
      <c r="F5" s="109">
        <v>9.6527777777777782E-2</v>
      </c>
      <c r="G5" s="113" t="s">
        <v>5498</v>
      </c>
      <c r="H5" s="26" t="s">
        <v>5499</v>
      </c>
      <c r="I5" s="26"/>
      <c r="J5" s="26" t="s">
        <v>5500</v>
      </c>
      <c r="K5" s="26" t="s">
        <v>4947</v>
      </c>
      <c r="L5" s="26" t="s">
        <v>5501</v>
      </c>
      <c r="M5" s="28" t="s">
        <v>20</v>
      </c>
      <c r="N5" s="28" t="s">
        <v>20</v>
      </c>
      <c r="O5" s="28" t="s">
        <v>20</v>
      </c>
      <c r="P5" s="28" t="s">
        <v>20</v>
      </c>
      <c r="Q5" s="28" t="s">
        <v>20</v>
      </c>
      <c r="R5" s="28" t="s">
        <v>20</v>
      </c>
    </row>
    <row r="6" spans="2:18" ht="351" x14ac:dyDescent="0.35">
      <c r="B6" s="28">
        <v>4</v>
      </c>
      <c r="C6" s="113" t="s">
        <v>4832</v>
      </c>
      <c r="D6" s="26" t="s">
        <v>5609</v>
      </c>
      <c r="E6" s="108">
        <v>45683</v>
      </c>
      <c r="F6" s="109">
        <v>0.47916666666666669</v>
      </c>
      <c r="G6" s="26" t="s">
        <v>5502</v>
      </c>
      <c r="H6" s="26" t="s">
        <v>5503</v>
      </c>
      <c r="I6" s="26"/>
      <c r="J6" s="26" t="s">
        <v>5504</v>
      </c>
      <c r="K6" s="28" t="s">
        <v>20</v>
      </c>
      <c r="L6" s="28" t="s">
        <v>20</v>
      </c>
      <c r="M6" s="28" t="s">
        <v>20</v>
      </c>
      <c r="N6" s="28" t="s">
        <v>20</v>
      </c>
      <c r="O6" s="28" t="s">
        <v>20</v>
      </c>
      <c r="P6" s="28" t="s">
        <v>20</v>
      </c>
      <c r="Q6" s="28" t="s">
        <v>20</v>
      </c>
      <c r="R6" s="28" t="s">
        <v>20</v>
      </c>
    </row>
    <row r="7" spans="2:18" ht="175.5" x14ac:dyDescent="0.35">
      <c r="B7" s="28">
        <v>5</v>
      </c>
      <c r="C7" s="113" t="s">
        <v>4832</v>
      </c>
      <c r="D7" s="26" t="s">
        <v>4832</v>
      </c>
      <c r="E7" s="110">
        <v>45637</v>
      </c>
      <c r="F7" s="109">
        <v>0.7944444444444444</v>
      </c>
      <c r="G7" s="26" t="s">
        <v>5505</v>
      </c>
      <c r="H7" s="26" t="s">
        <v>309</v>
      </c>
      <c r="I7" s="26"/>
      <c r="J7" s="26" t="s">
        <v>5506</v>
      </c>
      <c r="K7" s="26" t="s">
        <v>226</v>
      </c>
      <c r="L7" s="26" t="s">
        <v>5507</v>
      </c>
      <c r="M7" s="28" t="s">
        <v>20</v>
      </c>
      <c r="N7" s="28" t="s">
        <v>20</v>
      </c>
      <c r="O7" s="28" t="s">
        <v>20</v>
      </c>
      <c r="P7" s="28" t="s">
        <v>20</v>
      </c>
      <c r="Q7" s="28" t="s">
        <v>20</v>
      </c>
      <c r="R7" s="28" t="s">
        <v>20</v>
      </c>
    </row>
    <row r="8" spans="2:18" x14ac:dyDescent="0.35">
      <c r="B8" s="28">
        <v>6</v>
      </c>
      <c r="C8" s="113" t="s">
        <v>4832</v>
      </c>
      <c r="D8" s="26" t="s">
        <v>4832</v>
      </c>
      <c r="E8" s="108">
        <v>45642</v>
      </c>
      <c r="F8" s="109">
        <v>0.8041666666666667</v>
      </c>
      <c r="G8" s="26" t="s">
        <v>5508</v>
      </c>
      <c r="H8" s="28" t="s">
        <v>20</v>
      </c>
      <c r="I8" s="28"/>
      <c r="J8" s="28" t="s">
        <v>20</v>
      </c>
      <c r="K8" s="28" t="s">
        <v>20</v>
      </c>
      <c r="L8" s="28" t="s">
        <v>20</v>
      </c>
      <c r="M8" s="28" t="s">
        <v>20</v>
      </c>
      <c r="N8" s="28" t="s">
        <v>20</v>
      </c>
      <c r="O8" s="28" t="s">
        <v>20</v>
      </c>
      <c r="P8" s="28" t="s">
        <v>20</v>
      </c>
      <c r="Q8" s="28" t="s">
        <v>20</v>
      </c>
      <c r="R8" s="28" t="s">
        <v>20</v>
      </c>
    </row>
    <row r="9" spans="2:18" ht="117" x14ac:dyDescent="0.35">
      <c r="B9" s="28">
        <v>7</v>
      </c>
      <c r="C9" s="113" t="s">
        <v>4832</v>
      </c>
      <c r="D9" s="26" t="s">
        <v>4832</v>
      </c>
      <c r="E9" s="110">
        <v>45646</v>
      </c>
      <c r="F9" s="109">
        <v>0.4</v>
      </c>
      <c r="G9" s="26" t="s">
        <v>5509</v>
      </c>
      <c r="H9" s="26" t="s">
        <v>1904</v>
      </c>
      <c r="I9" s="26"/>
      <c r="J9" s="26" t="s">
        <v>343</v>
      </c>
      <c r="K9" s="26" t="s">
        <v>226</v>
      </c>
      <c r="L9" s="26" t="s">
        <v>5510</v>
      </c>
      <c r="M9" s="28" t="s">
        <v>20</v>
      </c>
      <c r="N9" s="28" t="s">
        <v>20</v>
      </c>
      <c r="O9" s="28" t="s">
        <v>20</v>
      </c>
      <c r="P9" s="28" t="s">
        <v>20</v>
      </c>
      <c r="Q9" s="28" t="s">
        <v>20</v>
      </c>
      <c r="R9" s="28" t="s">
        <v>20</v>
      </c>
    </row>
    <row r="10" spans="2:18" ht="136.5" x14ac:dyDescent="0.35">
      <c r="B10" s="28">
        <v>8</v>
      </c>
      <c r="C10" s="113" t="s">
        <v>4832</v>
      </c>
      <c r="D10" s="26" t="s">
        <v>4832</v>
      </c>
      <c r="E10" s="110">
        <v>45649</v>
      </c>
      <c r="F10" s="109">
        <v>0.69791666666666663</v>
      </c>
      <c r="G10" s="26" t="s">
        <v>5511</v>
      </c>
      <c r="H10" s="26" t="s">
        <v>5512</v>
      </c>
      <c r="I10" s="26"/>
      <c r="J10" s="26" t="s">
        <v>3088</v>
      </c>
      <c r="K10" s="26" t="s">
        <v>189</v>
      </c>
      <c r="L10" s="26" t="s">
        <v>5513</v>
      </c>
      <c r="M10" s="28" t="s">
        <v>20</v>
      </c>
      <c r="N10" s="28" t="s">
        <v>20</v>
      </c>
      <c r="O10" s="28" t="s">
        <v>20</v>
      </c>
      <c r="P10" s="28" t="s">
        <v>20</v>
      </c>
      <c r="Q10" s="28" t="s">
        <v>20</v>
      </c>
      <c r="R10" s="28" t="s">
        <v>20</v>
      </c>
    </row>
    <row r="11" spans="2:18" ht="312" x14ac:dyDescent="0.35">
      <c r="B11" s="28">
        <v>9</v>
      </c>
      <c r="C11" s="113" t="s">
        <v>4832</v>
      </c>
      <c r="D11" s="26" t="s">
        <v>5610</v>
      </c>
      <c r="E11" s="110">
        <v>45639</v>
      </c>
      <c r="F11" s="109">
        <v>0.13333333333333333</v>
      </c>
      <c r="G11" s="26" t="s">
        <v>5514</v>
      </c>
      <c r="H11" s="26" t="s">
        <v>5515</v>
      </c>
      <c r="I11" s="26"/>
      <c r="J11" s="26" t="s">
        <v>5516</v>
      </c>
      <c r="K11" s="26" t="s">
        <v>20</v>
      </c>
      <c r="L11" s="26" t="s">
        <v>20</v>
      </c>
      <c r="M11" s="28" t="s">
        <v>20</v>
      </c>
      <c r="N11" s="28" t="s">
        <v>20</v>
      </c>
      <c r="O11" s="28" t="s">
        <v>20</v>
      </c>
      <c r="P11" s="28" t="s">
        <v>20</v>
      </c>
      <c r="Q11" s="28" t="s">
        <v>20</v>
      </c>
      <c r="R11" s="28" t="s">
        <v>20</v>
      </c>
    </row>
    <row r="12" spans="2:18" ht="136.5" x14ac:dyDescent="0.35">
      <c r="B12" s="28">
        <v>10</v>
      </c>
      <c r="C12" s="113" t="s">
        <v>4832</v>
      </c>
      <c r="D12" s="122" t="s">
        <v>4832</v>
      </c>
      <c r="E12" s="123">
        <v>45634</v>
      </c>
      <c r="F12" s="109">
        <v>0.74513888888888891</v>
      </c>
      <c r="G12" s="26" t="s">
        <v>5517</v>
      </c>
      <c r="H12" s="28" t="s">
        <v>269</v>
      </c>
      <c r="I12" s="28"/>
      <c r="J12" s="28" t="s">
        <v>5518</v>
      </c>
      <c r="K12" s="26" t="s">
        <v>20</v>
      </c>
      <c r="L12" s="28" t="s">
        <v>20</v>
      </c>
      <c r="M12" s="28" t="s">
        <v>20</v>
      </c>
      <c r="N12" s="28" t="s">
        <v>20</v>
      </c>
      <c r="O12" s="28" t="s">
        <v>20</v>
      </c>
      <c r="P12" s="104"/>
      <c r="Q12" s="104"/>
      <c r="R12" s="104"/>
    </row>
    <row r="13" spans="2:18" ht="136.5" x14ac:dyDescent="0.35">
      <c r="B13" s="28">
        <v>11</v>
      </c>
      <c r="C13" s="113" t="s">
        <v>4832</v>
      </c>
      <c r="D13" s="122" t="s">
        <v>4832</v>
      </c>
      <c r="E13" s="123">
        <v>45644</v>
      </c>
      <c r="F13" s="109">
        <v>0.58750000000000002</v>
      </c>
      <c r="G13" s="26" t="s">
        <v>5519</v>
      </c>
      <c r="H13" s="28" t="s">
        <v>211</v>
      </c>
      <c r="I13" s="28"/>
      <c r="J13" s="28" t="s">
        <v>5520</v>
      </c>
      <c r="K13" s="26" t="s">
        <v>20</v>
      </c>
      <c r="L13" s="28" t="s">
        <v>20</v>
      </c>
      <c r="M13" s="28" t="s">
        <v>20</v>
      </c>
      <c r="N13" s="28" t="s">
        <v>20</v>
      </c>
      <c r="O13" s="28" t="s">
        <v>20</v>
      </c>
      <c r="P13" s="104"/>
      <c r="Q13" s="104"/>
      <c r="R13" s="104"/>
    </row>
    <row r="14" spans="2:18" ht="175.5" x14ac:dyDescent="0.35">
      <c r="B14" s="28">
        <v>12</v>
      </c>
      <c r="C14" s="113" t="s">
        <v>4832</v>
      </c>
      <c r="D14" s="26" t="s">
        <v>5610</v>
      </c>
      <c r="E14" s="108">
        <v>45619</v>
      </c>
      <c r="F14" s="109">
        <v>0.39305555555555555</v>
      </c>
      <c r="G14" s="26" t="s">
        <v>5521</v>
      </c>
      <c r="H14" s="26" t="s">
        <v>5522</v>
      </c>
      <c r="I14" s="26"/>
      <c r="J14" s="26" t="s">
        <v>5523</v>
      </c>
      <c r="K14" s="122" t="s">
        <v>4929</v>
      </c>
      <c r="L14" s="26" t="s">
        <v>5524</v>
      </c>
      <c r="M14" s="28" t="s">
        <v>20</v>
      </c>
      <c r="N14" s="28" t="s">
        <v>20</v>
      </c>
      <c r="O14" s="28" t="s">
        <v>20</v>
      </c>
      <c r="P14" s="28" t="s">
        <v>20</v>
      </c>
      <c r="Q14" s="28" t="s">
        <v>20</v>
      </c>
      <c r="R14" s="28"/>
    </row>
    <row r="15" spans="2:18" ht="117" x14ac:dyDescent="0.35">
      <c r="B15" s="28">
        <v>13</v>
      </c>
      <c r="C15" s="113" t="s">
        <v>4832</v>
      </c>
      <c r="D15" s="26" t="s">
        <v>4832</v>
      </c>
      <c r="E15" s="108">
        <v>45584</v>
      </c>
      <c r="F15" s="109">
        <v>0.63472222222222219</v>
      </c>
      <c r="G15" s="26" t="s">
        <v>5525</v>
      </c>
      <c r="H15" s="28" t="s">
        <v>309</v>
      </c>
      <c r="I15" s="28"/>
      <c r="J15" s="28" t="s">
        <v>5526</v>
      </c>
      <c r="K15" s="162">
        <v>120000</v>
      </c>
      <c r="L15" s="162">
        <v>7880000</v>
      </c>
      <c r="M15" s="28" t="s">
        <v>20</v>
      </c>
      <c r="N15" s="28" t="s">
        <v>20</v>
      </c>
      <c r="O15" s="28" t="s">
        <v>20</v>
      </c>
      <c r="P15" s="28" t="s">
        <v>20</v>
      </c>
      <c r="Q15" s="28" t="s">
        <v>20</v>
      </c>
      <c r="R15" s="28" t="s">
        <v>20</v>
      </c>
    </row>
    <row r="16" spans="2:18" ht="117" x14ac:dyDescent="0.35">
      <c r="B16" s="28">
        <v>14</v>
      </c>
      <c r="C16" s="113" t="s">
        <v>4832</v>
      </c>
      <c r="D16" s="26" t="s">
        <v>4832</v>
      </c>
      <c r="E16" s="108">
        <v>45592</v>
      </c>
      <c r="F16" s="109">
        <v>0.98611111111111116</v>
      </c>
      <c r="G16" s="26" t="s">
        <v>5527</v>
      </c>
      <c r="H16" s="28" t="s">
        <v>406</v>
      </c>
      <c r="I16" s="28"/>
      <c r="J16" s="28" t="s">
        <v>5528</v>
      </c>
      <c r="K16" s="162">
        <v>300000</v>
      </c>
      <c r="L16" s="162">
        <v>2200000</v>
      </c>
      <c r="M16" s="28" t="s">
        <v>20</v>
      </c>
      <c r="N16" s="28" t="s">
        <v>20</v>
      </c>
      <c r="O16" s="28" t="s">
        <v>20</v>
      </c>
      <c r="P16" s="28" t="s">
        <v>20</v>
      </c>
      <c r="Q16" s="28" t="s">
        <v>20</v>
      </c>
      <c r="R16" s="28" t="s">
        <v>20</v>
      </c>
    </row>
    <row r="17" spans="2:18" ht="234" x14ac:dyDescent="0.35">
      <c r="B17" s="28">
        <v>15</v>
      </c>
      <c r="C17" s="113" t="s">
        <v>4832</v>
      </c>
      <c r="D17" s="26" t="s">
        <v>5610</v>
      </c>
      <c r="E17" s="108">
        <v>45568</v>
      </c>
      <c r="F17" s="109">
        <v>0.72083333333333333</v>
      </c>
      <c r="G17" s="26" t="s">
        <v>5529</v>
      </c>
      <c r="H17" s="26" t="s">
        <v>5530</v>
      </c>
      <c r="I17" s="26"/>
      <c r="J17" s="26" t="s">
        <v>5531</v>
      </c>
      <c r="K17" s="180">
        <v>150000</v>
      </c>
      <c r="L17" s="180">
        <v>150000</v>
      </c>
      <c r="M17" s="28" t="s">
        <v>20</v>
      </c>
      <c r="N17" s="28" t="s">
        <v>20</v>
      </c>
      <c r="O17" s="28" t="s">
        <v>20</v>
      </c>
      <c r="P17" s="28" t="s">
        <v>20</v>
      </c>
      <c r="Q17" s="28" t="s">
        <v>20</v>
      </c>
      <c r="R17" s="28" t="s">
        <v>20</v>
      </c>
    </row>
    <row r="18" spans="2:18" ht="175.5" x14ac:dyDescent="0.35">
      <c r="B18" s="28">
        <v>16</v>
      </c>
      <c r="C18" s="113" t="s">
        <v>4832</v>
      </c>
      <c r="D18" s="26" t="s">
        <v>5610</v>
      </c>
      <c r="E18" s="108">
        <v>45578</v>
      </c>
      <c r="F18" s="109">
        <v>0.5493055555555556</v>
      </c>
      <c r="G18" s="26" t="s">
        <v>5532</v>
      </c>
      <c r="H18" s="26" t="s">
        <v>5533</v>
      </c>
      <c r="I18" s="26"/>
      <c r="J18" s="26" t="s">
        <v>5534</v>
      </c>
      <c r="K18" s="180">
        <v>10000</v>
      </c>
      <c r="L18" s="180">
        <v>10000</v>
      </c>
      <c r="M18" s="28" t="s">
        <v>20</v>
      </c>
      <c r="N18" s="28" t="s">
        <v>20</v>
      </c>
      <c r="O18" s="28" t="s">
        <v>20</v>
      </c>
      <c r="P18" s="28" t="s">
        <v>20</v>
      </c>
      <c r="Q18" s="28" t="s">
        <v>20</v>
      </c>
      <c r="R18" s="28"/>
    </row>
    <row r="19" spans="2:18" ht="195" x14ac:dyDescent="0.35">
      <c r="B19" s="28">
        <v>17</v>
      </c>
      <c r="C19" s="113" t="s">
        <v>4832</v>
      </c>
      <c r="D19" s="26" t="s">
        <v>4832</v>
      </c>
      <c r="E19" s="108">
        <v>45541</v>
      </c>
      <c r="F19" s="109">
        <v>0.99791666666666667</v>
      </c>
      <c r="G19" s="26" t="s">
        <v>5535</v>
      </c>
      <c r="H19" s="28" t="s">
        <v>309</v>
      </c>
      <c r="I19" s="28"/>
      <c r="J19" s="28" t="s">
        <v>5536</v>
      </c>
      <c r="K19" s="162">
        <v>675000</v>
      </c>
      <c r="L19" s="162">
        <v>2425000</v>
      </c>
      <c r="M19" s="28" t="s">
        <v>20</v>
      </c>
      <c r="N19" s="28" t="s">
        <v>20</v>
      </c>
      <c r="O19" s="28" t="s">
        <v>20</v>
      </c>
      <c r="P19" s="28" t="s">
        <v>20</v>
      </c>
      <c r="Q19" s="28" t="s">
        <v>20</v>
      </c>
      <c r="R19" s="28" t="s">
        <v>20</v>
      </c>
    </row>
    <row r="20" spans="2:18" ht="214.5" x14ac:dyDescent="0.35">
      <c r="B20" s="28">
        <v>18</v>
      </c>
      <c r="C20" s="113" t="s">
        <v>4832</v>
      </c>
      <c r="D20" s="26" t="s">
        <v>5610</v>
      </c>
      <c r="E20" s="108">
        <v>45561</v>
      </c>
      <c r="F20" s="109">
        <v>3.2638888888888891E-2</v>
      </c>
      <c r="G20" s="26" t="s">
        <v>5537</v>
      </c>
      <c r="H20" s="26" t="s">
        <v>5538</v>
      </c>
      <c r="I20" s="26"/>
      <c r="J20" s="26" t="s">
        <v>5539</v>
      </c>
      <c r="K20" s="181">
        <v>200000</v>
      </c>
      <c r="L20" s="180">
        <v>3800000</v>
      </c>
      <c r="M20" s="28" t="s">
        <v>20</v>
      </c>
      <c r="N20" s="28" t="s">
        <v>20</v>
      </c>
      <c r="O20" s="28" t="s">
        <v>20</v>
      </c>
      <c r="P20" s="28" t="s">
        <v>20</v>
      </c>
      <c r="Q20" s="28" t="s">
        <v>20</v>
      </c>
      <c r="R20" s="28" t="s">
        <v>20</v>
      </c>
    </row>
    <row r="21" spans="2:18" ht="175.5" x14ac:dyDescent="0.35">
      <c r="B21" s="28">
        <v>19</v>
      </c>
      <c r="C21" s="113" t="s">
        <v>4832</v>
      </c>
      <c r="D21" s="26" t="s">
        <v>5610</v>
      </c>
      <c r="E21" s="108">
        <v>45526</v>
      </c>
      <c r="F21" s="109">
        <v>0.71458333333333335</v>
      </c>
      <c r="G21" s="26" t="s">
        <v>5540</v>
      </c>
      <c r="H21" s="26" t="s">
        <v>5541</v>
      </c>
      <c r="I21" s="26"/>
      <c r="J21" s="26" t="s">
        <v>5542</v>
      </c>
      <c r="K21" s="122" t="s">
        <v>157</v>
      </c>
      <c r="L21" s="26" t="s">
        <v>4947</v>
      </c>
      <c r="M21" s="28" t="s">
        <v>20</v>
      </c>
      <c r="N21" s="28" t="s">
        <v>20</v>
      </c>
      <c r="O21" s="28" t="s">
        <v>20</v>
      </c>
      <c r="P21" s="28" t="s">
        <v>20</v>
      </c>
      <c r="Q21" s="28" t="s">
        <v>20</v>
      </c>
      <c r="R21" s="28" t="s">
        <v>20</v>
      </c>
    </row>
    <row r="22" spans="2:18" ht="195" x14ac:dyDescent="0.35">
      <c r="B22" s="28">
        <v>20</v>
      </c>
      <c r="C22" s="113" t="s">
        <v>4832</v>
      </c>
      <c r="D22" s="26" t="s">
        <v>5610</v>
      </c>
      <c r="E22" s="108">
        <v>45496</v>
      </c>
      <c r="F22" s="109">
        <v>0.60902777777777772</v>
      </c>
      <c r="G22" s="26" t="s">
        <v>5543</v>
      </c>
      <c r="H22" s="26" t="s">
        <v>5544</v>
      </c>
      <c r="I22" s="26"/>
      <c r="J22" s="26" t="s">
        <v>5545</v>
      </c>
      <c r="K22" s="122" t="s">
        <v>157</v>
      </c>
      <c r="L22" s="26" t="s">
        <v>157</v>
      </c>
      <c r="M22" s="28" t="s">
        <v>20</v>
      </c>
      <c r="N22" s="28" t="s">
        <v>20</v>
      </c>
      <c r="O22" s="28" t="s">
        <v>20</v>
      </c>
      <c r="P22" s="28" t="s">
        <v>20</v>
      </c>
      <c r="Q22" s="28" t="s">
        <v>20</v>
      </c>
      <c r="R22" s="28" t="s">
        <v>20</v>
      </c>
    </row>
    <row r="23" spans="2:18" ht="175.5" x14ac:dyDescent="0.35">
      <c r="B23" s="28">
        <v>21</v>
      </c>
      <c r="C23" s="113" t="s">
        <v>4832</v>
      </c>
      <c r="D23" s="26" t="s">
        <v>4832</v>
      </c>
      <c r="E23" s="108">
        <v>45456</v>
      </c>
      <c r="F23" s="28">
        <v>14.16</v>
      </c>
      <c r="G23" s="26" t="s">
        <v>5546</v>
      </c>
      <c r="H23" s="28" t="s">
        <v>1904</v>
      </c>
      <c r="I23" s="28"/>
      <c r="J23" s="28" t="s">
        <v>5547</v>
      </c>
      <c r="K23" s="162">
        <v>50000</v>
      </c>
      <c r="L23" s="162">
        <v>3450000</v>
      </c>
      <c r="M23" s="28" t="s">
        <v>20</v>
      </c>
      <c r="N23" s="28" t="s">
        <v>20</v>
      </c>
      <c r="O23" s="28" t="s">
        <v>20</v>
      </c>
      <c r="P23" s="28" t="s">
        <v>20</v>
      </c>
      <c r="Q23" s="28" t="s">
        <v>20</v>
      </c>
      <c r="R23" s="28">
        <v>1</v>
      </c>
    </row>
    <row r="24" spans="2:18" ht="214.5" x14ac:dyDescent="0.35">
      <c r="B24" s="28">
        <v>22</v>
      </c>
      <c r="C24" s="113" t="s">
        <v>4832</v>
      </c>
      <c r="D24" s="26" t="s">
        <v>5610</v>
      </c>
      <c r="E24" s="108">
        <v>45459</v>
      </c>
      <c r="F24" s="109">
        <v>0.83472222222222225</v>
      </c>
      <c r="G24" s="26" t="s">
        <v>5548</v>
      </c>
      <c r="H24" s="26" t="s">
        <v>5549</v>
      </c>
      <c r="I24" s="26"/>
      <c r="J24" s="26" t="s">
        <v>5550</v>
      </c>
      <c r="K24" s="181">
        <v>100000</v>
      </c>
      <c r="L24" s="180">
        <v>4900000</v>
      </c>
      <c r="M24" s="28" t="s">
        <v>20</v>
      </c>
      <c r="N24" s="28" t="s">
        <v>20</v>
      </c>
      <c r="O24" s="28" t="s">
        <v>20</v>
      </c>
      <c r="P24" s="28" t="s">
        <v>20</v>
      </c>
      <c r="Q24" s="28" t="s">
        <v>20</v>
      </c>
      <c r="R24" s="28" t="s">
        <v>20</v>
      </c>
    </row>
    <row r="25" spans="2:18" ht="175.5" x14ac:dyDescent="0.35">
      <c r="B25" s="28">
        <v>23</v>
      </c>
      <c r="C25" s="113" t="s">
        <v>4832</v>
      </c>
      <c r="D25" s="26"/>
      <c r="E25" s="108">
        <v>45462</v>
      </c>
      <c r="F25" s="109">
        <v>0.68055555555555558</v>
      </c>
      <c r="G25" s="26" t="s">
        <v>5551</v>
      </c>
      <c r="H25" s="26" t="s">
        <v>5552</v>
      </c>
      <c r="I25" s="26"/>
      <c r="J25" s="26" t="s">
        <v>5553</v>
      </c>
      <c r="K25" s="181">
        <v>50000</v>
      </c>
      <c r="L25" s="180">
        <v>950000</v>
      </c>
      <c r="M25" s="28" t="s">
        <v>20</v>
      </c>
      <c r="N25" s="28" t="s">
        <v>20</v>
      </c>
      <c r="O25" s="28" t="s">
        <v>20</v>
      </c>
      <c r="P25" s="28" t="s">
        <v>20</v>
      </c>
      <c r="Q25" s="28" t="s">
        <v>20</v>
      </c>
      <c r="R25" s="28" t="s">
        <v>20</v>
      </c>
    </row>
    <row r="26" spans="2:18" ht="156" x14ac:dyDescent="0.35">
      <c r="B26" s="28">
        <v>24</v>
      </c>
      <c r="C26" s="113" t="s">
        <v>4832</v>
      </c>
      <c r="D26" s="122" t="s">
        <v>4832</v>
      </c>
      <c r="E26" s="110">
        <v>45444</v>
      </c>
      <c r="F26" s="109">
        <v>0.35416666666666669</v>
      </c>
      <c r="G26" s="26" t="s">
        <v>5554</v>
      </c>
      <c r="H26" s="113"/>
      <c r="I26" s="113"/>
      <c r="J26" s="113"/>
      <c r="K26" s="162">
        <v>20000</v>
      </c>
      <c r="L26" s="185">
        <v>3480000</v>
      </c>
      <c r="M26" s="28" t="s">
        <v>20</v>
      </c>
      <c r="N26" s="28" t="s">
        <v>20</v>
      </c>
      <c r="O26" s="28" t="s">
        <v>20</v>
      </c>
      <c r="P26" s="28" t="s">
        <v>20</v>
      </c>
      <c r="Q26" s="28" t="s">
        <v>20</v>
      </c>
      <c r="R26" s="28" t="s">
        <v>20</v>
      </c>
    </row>
    <row r="27" spans="2:18" ht="156" x14ac:dyDescent="0.35">
      <c r="B27" s="28">
        <v>25</v>
      </c>
      <c r="C27" s="113" t="s">
        <v>4832</v>
      </c>
      <c r="D27" s="122" t="s">
        <v>4832</v>
      </c>
      <c r="E27" s="26" t="s">
        <v>5487</v>
      </c>
      <c r="F27" s="109">
        <v>0.68263888888888891</v>
      </c>
      <c r="G27" s="26" t="s">
        <v>5555</v>
      </c>
      <c r="H27" s="113"/>
      <c r="I27" s="113"/>
      <c r="J27" s="113"/>
      <c r="K27" s="162">
        <v>5000</v>
      </c>
      <c r="L27" s="162">
        <v>1995000</v>
      </c>
      <c r="M27" s="28" t="s">
        <v>20</v>
      </c>
      <c r="N27" s="28" t="s">
        <v>20</v>
      </c>
      <c r="O27" s="28" t="s">
        <v>20</v>
      </c>
      <c r="P27" s="28" t="s">
        <v>20</v>
      </c>
      <c r="Q27" s="28" t="s">
        <v>20</v>
      </c>
      <c r="R27" s="28" t="s">
        <v>20</v>
      </c>
    </row>
    <row r="28" spans="2:18" ht="136.5" x14ac:dyDescent="0.35">
      <c r="B28" s="28">
        <v>26</v>
      </c>
      <c r="C28" s="113" t="s">
        <v>4832</v>
      </c>
      <c r="D28" s="122" t="s">
        <v>4832</v>
      </c>
      <c r="E28" s="110">
        <v>45444</v>
      </c>
      <c r="F28" s="109">
        <v>0.68472222222222223</v>
      </c>
      <c r="G28" s="26" t="s">
        <v>5556</v>
      </c>
      <c r="H28" s="113"/>
      <c r="I28" s="113"/>
      <c r="J28" s="113"/>
      <c r="K28" s="162">
        <v>5000</v>
      </c>
      <c r="L28" s="162">
        <v>1995000</v>
      </c>
      <c r="M28" s="28" t="s">
        <v>20</v>
      </c>
      <c r="N28" s="28" t="s">
        <v>20</v>
      </c>
      <c r="O28" s="28" t="s">
        <v>20</v>
      </c>
      <c r="P28" s="28" t="s">
        <v>20</v>
      </c>
      <c r="Q28" s="28" t="s">
        <v>20</v>
      </c>
      <c r="R28" s="28" t="s">
        <v>20</v>
      </c>
    </row>
    <row r="29" spans="2:18" ht="136.5" x14ac:dyDescent="0.35">
      <c r="B29" s="28">
        <v>27</v>
      </c>
      <c r="C29" s="113" t="s">
        <v>4832</v>
      </c>
      <c r="D29" s="122" t="s">
        <v>4832</v>
      </c>
      <c r="E29" s="110">
        <v>45445</v>
      </c>
      <c r="F29" s="109">
        <v>0.84027777777777779</v>
      </c>
      <c r="G29" s="26" t="s">
        <v>5557</v>
      </c>
      <c r="H29" s="113"/>
      <c r="I29" s="113"/>
      <c r="J29" s="113"/>
      <c r="K29" s="162">
        <v>5000</v>
      </c>
      <c r="L29" s="162">
        <v>1995000</v>
      </c>
      <c r="M29" s="28" t="s">
        <v>20</v>
      </c>
      <c r="N29" s="28" t="s">
        <v>20</v>
      </c>
      <c r="O29" s="28" t="s">
        <v>20</v>
      </c>
      <c r="P29" s="28" t="s">
        <v>20</v>
      </c>
      <c r="Q29" s="28" t="s">
        <v>20</v>
      </c>
      <c r="R29" s="28" t="s">
        <v>20</v>
      </c>
    </row>
    <row r="30" spans="2:18" ht="136.5" x14ac:dyDescent="0.35">
      <c r="B30" s="28">
        <v>28</v>
      </c>
      <c r="C30" s="113" t="s">
        <v>4832</v>
      </c>
      <c r="D30" s="122" t="s">
        <v>4832</v>
      </c>
      <c r="E30" s="110">
        <v>45454</v>
      </c>
      <c r="F30" s="109">
        <v>0.47569444444444442</v>
      </c>
      <c r="G30" s="26" t="s">
        <v>5558</v>
      </c>
      <c r="H30" s="113"/>
      <c r="I30" s="113"/>
      <c r="J30" s="113"/>
      <c r="K30" s="162">
        <v>20000</v>
      </c>
      <c r="L30" s="162">
        <v>2480000</v>
      </c>
      <c r="M30" s="28" t="s">
        <v>20</v>
      </c>
      <c r="N30" s="28" t="s">
        <v>20</v>
      </c>
      <c r="O30" s="28" t="s">
        <v>20</v>
      </c>
      <c r="P30" s="28" t="s">
        <v>20</v>
      </c>
      <c r="Q30" s="28" t="s">
        <v>20</v>
      </c>
      <c r="R30" s="28" t="s">
        <v>20</v>
      </c>
    </row>
    <row r="31" spans="2:18" ht="156" x14ac:dyDescent="0.35">
      <c r="B31" s="28">
        <v>29</v>
      </c>
      <c r="C31" s="113" t="s">
        <v>4832</v>
      </c>
      <c r="D31" s="122" t="s">
        <v>4832</v>
      </c>
      <c r="E31" s="110">
        <v>45456</v>
      </c>
      <c r="F31" s="109">
        <v>0.47638888888888886</v>
      </c>
      <c r="G31" s="26" t="s">
        <v>5559</v>
      </c>
      <c r="H31" s="113"/>
      <c r="I31" s="113"/>
      <c r="J31" s="113"/>
      <c r="K31" s="162">
        <v>20000</v>
      </c>
      <c r="L31" s="162">
        <v>4980000</v>
      </c>
      <c r="M31" s="28" t="s">
        <v>20</v>
      </c>
      <c r="N31" s="28" t="s">
        <v>20</v>
      </c>
      <c r="O31" s="28" t="s">
        <v>20</v>
      </c>
      <c r="P31" s="28" t="s">
        <v>20</v>
      </c>
      <c r="Q31" s="28" t="s">
        <v>20</v>
      </c>
      <c r="R31" s="28" t="s">
        <v>20</v>
      </c>
    </row>
    <row r="32" spans="2:18" ht="136.5" x14ac:dyDescent="0.35">
      <c r="B32" s="28">
        <v>30</v>
      </c>
      <c r="C32" s="113" t="s">
        <v>4832</v>
      </c>
      <c r="D32" s="122" t="s">
        <v>4832</v>
      </c>
      <c r="E32" s="110">
        <v>45457</v>
      </c>
      <c r="F32" s="109">
        <v>0.80694444444444446</v>
      </c>
      <c r="G32" s="26" t="s">
        <v>5560</v>
      </c>
      <c r="H32" s="113"/>
      <c r="I32" s="113"/>
      <c r="J32" s="113"/>
      <c r="K32" s="162">
        <v>20000</v>
      </c>
      <c r="L32" s="162">
        <v>5980000</v>
      </c>
      <c r="M32" s="28" t="s">
        <v>20</v>
      </c>
      <c r="N32" s="28" t="s">
        <v>20</v>
      </c>
      <c r="O32" s="28" t="s">
        <v>20</v>
      </c>
      <c r="P32" s="28" t="s">
        <v>20</v>
      </c>
      <c r="Q32" s="28" t="s">
        <v>20</v>
      </c>
      <c r="R32" s="28" t="s">
        <v>20</v>
      </c>
    </row>
    <row r="33" spans="2:18" ht="136.5" x14ac:dyDescent="0.35">
      <c r="B33" s="28">
        <v>31</v>
      </c>
      <c r="C33" s="113" t="s">
        <v>4832</v>
      </c>
      <c r="D33" s="122" t="s">
        <v>4832</v>
      </c>
      <c r="E33" s="110">
        <v>45458</v>
      </c>
      <c r="F33" s="109">
        <v>0.5083333333333333</v>
      </c>
      <c r="G33" s="26" t="s">
        <v>5561</v>
      </c>
      <c r="H33" s="113"/>
      <c r="I33" s="113"/>
      <c r="J33" s="113"/>
      <c r="K33" s="162">
        <v>10000</v>
      </c>
      <c r="L33" s="162">
        <v>2990000</v>
      </c>
      <c r="M33" s="28" t="s">
        <v>20</v>
      </c>
      <c r="N33" s="28" t="s">
        <v>20</v>
      </c>
      <c r="O33" s="28" t="s">
        <v>20</v>
      </c>
      <c r="P33" s="28" t="s">
        <v>20</v>
      </c>
      <c r="Q33" s="28" t="s">
        <v>20</v>
      </c>
      <c r="R33" s="28" t="s">
        <v>20</v>
      </c>
    </row>
    <row r="34" spans="2:18" ht="136.5" x14ac:dyDescent="0.35">
      <c r="B34" s="28">
        <v>32</v>
      </c>
      <c r="C34" s="113" t="s">
        <v>4832</v>
      </c>
      <c r="D34" s="122" t="s">
        <v>4832</v>
      </c>
      <c r="E34" s="110">
        <v>45458</v>
      </c>
      <c r="F34" s="109">
        <v>0.58194444444444449</v>
      </c>
      <c r="G34" s="26" t="s">
        <v>5562</v>
      </c>
      <c r="H34" s="113"/>
      <c r="I34" s="113"/>
      <c r="J34" s="113"/>
      <c r="K34" s="162">
        <v>10000</v>
      </c>
      <c r="L34" s="162">
        <v>990000</v>
      </c>
      <c r="M34" s="28" t="s">
        <v>20</v>
      </c>
      <c r="N34" s="28" t="s">
        <v>20</v>
      </c>
      <c r="O34" s="28" t="s">
        <v>20</v>
      </c>
      <c r="P34" s="28" t="s">
        <v>20</v>
      </c>
      <c r="Q34" s="28" t="s">
        <v>20</v>
      </c>
      <c r="R34" s="28" t="s">
        <v>20</v>
      </c>
    </row>
    <row r="35" spans="2:18" ht="136.5" x14ac:dyDescent="0.35">
      <c r="B35" s="28">
        <v>33</v>
      </c>
      <c r="C35" s="113" t="s">
        <v>4832</v>
      </c>
      <c r="D35" s="122" t="s">
        <v>4832</v>
      </c>
      <c r="E35" s="110">
        <v>45458</v>
      </c>
      <c r="F35" s="109">
        <v>0.61458333333333337</v>
      </c>
      <c r="G35" s="26" t="s">
        <v>5563</v>
      </c>
      <c r="H35" s="113"/>
      <c r="I35" s="113"/>
      <c r="J35" s="113"/>
      <c r="K35" s="162">
        <v>10000</v>
      </c>
      <c r="L35" s="162">
        <v>2990000</v>
      </c>
      <c r="M35" s="28" t="s">
        <v>20</v>
      </c>
      <c r="N35" s="28" t="s">
        <v>20</v>
      </c>
      <c r="O35" s="28" t="s">
        <v>20</v>
      </c>
      <c r="P35" s="28" t="s">
        <v>20</v>
      </c>
      <c r="Q35" s="28" t="s">
        <v>20</v>
      </c>
      <c r="R35" s="28" t="s">
        <v>20</v>
      </c>
    </row>
    <row r="36" spans="2:18" ht="156" x14ac:dyDescent="0.35">
      <c r="B36" s="28">
        <v>34</v>
      </c>
      <c r="C36" s="113" t="s">
        <v>4832</v>
      </c>
      <c r="D36" s="122" t="s">
        <v>4832</v>
      </c>
      <c r="E36" s="110">
        <v>45459</v>
      </c>
      <c r="F36" s="109">
        <v>0.49930555555555556</v>
      </c>
      <c r="G36" s="26" t="s">
        <v>5564</v>
      </c>
      <c r="H36" s="113"/>
      <c r="I36" s="113"/>
      <c r="J36" s="113"/>
      <c r="K36" s="162">
        <v>10000</v>
      </c>
      <c r="L36" s="162">
        <v>3490000</v>
      </c>
      <c r="M36" s="28" t="s">
        <v>20</v>
      </c>
      <c r="N36" s="28" t="s">
        <v>20</v>
      </c>
      <c r="O36" s="28" t="s">
        <v>20</v>
      </c>
      <c r="P36" s="28" t="s">
        <v>20</v>
      </c>
      <c r="Q36" s="28" t="s">
        <v>20</v>
      </c>
      <c r="R36" s="28" t="s">
        <v>20</v>
      </c>
    </row>
    <row r="37" spans="2:18" ht="136.5" x14ac:dyDescent="0.35">
      <c r="B37" s="28">
        <v>35</v>
      </c>
      <c r="C37" s="113" t="s">
        <v>4832</v>
      </c>
      <c r="D37" s="122" t="s">
        <v>4832</v>
      </c>
      <c r="E37" s="110">
        <v>45459</v>
      </c>
      <c r="F37" s="109">
        <v>0.52430555555555558</v>
      </c>
      <c r="G37" s="26" t="s">
        <v>5565</v>
      </c>
      <c r="H37" s="113"/>
      <c r="I37" s="113"/>
      <c r="J37" s="113"/>
      <c r="K37" s="162">
        <v>10000</v>
      </c>
      <c r="L37" s="162">
        <v>1990000</v>
      </c>
      <c r="M37" s="28" t="s">
        <v>20</v>
      </c>
      <c r="N37" s="28" t="s">
        <v>20</v>
      </c>
      <c r="O37" s="28" t="s">
        <v>20</v>
      </c>
      <c r="P37" s="28" t="s">
        <v>20</v>
      </c>
      <c r="Q37" s="28" t="s">
        <v>20</v>
      </c>
      <c r="R37" s="28" t="s">
        <v>20</v>
      </c>
    </row>
    <row r="38" spans="2:18" ht="136.5" x14ac:dyDescent="0.35">
      <c r="B38" s="28">
        <v>36</v>
      </c>
      <c r="C38" s="113" t="s">
        <v>4832</v>
      </c>
      <c r="D38" s="122" t="s">
        <v>4832</v>
      </c>
      <c r="E38" s="110">
        <v>45459</v>
      </c>
      <c r="F38" s="109">
        <v>0.68680555555555556</v>
      </c>
      <c r="G38" s="26" t="s">
        <v>5566</v>
      </c>
      <c r="H38" s="113"/>
      <c r="I38" s="113"/>
      <c r="J38" s="113"/>
      <c r="K38" s="162">
        <v>20000</v>
      </c>
      <c r="L38" s="162">
        <v>3980000</v>
      </c>
      <c r="M38" s="28" t="s">
        <v>20</v>
      </c>
      <c r="N38" s="28" t="s">
        <v>20</v>
      </c>
      <c r="O38" s="28" t="s">
        <v>20</v>
      </c>
      <c r="P38" s="28" t="s">
        <v>20</v>
      </c>
      <c r="Q38" s="28" t="s">
        <v>20</v>
      </c>
      <c r="R38" s="28" t="s">
        <v>20</v>
      </c>
    </row>
    <row r="39" spans="2:18" ht="214.5" x14ac:dyDescent="0.35">
      <c r="B39" s="28">
        <v>37</v>
      </c>
      <c r="C39" s="113" t="s">
        <v>4832</v>
      </c>
      <c r="D39" s="26" t="s">
        <v>5610</v>
      </c>
      <c r="E39" s="110">
        <v>45444</v>
      </c>
      <c r="F39" s="109">
        <v>0.43402777777777779</v>
      </c>
      <c r="G39" s="26" t="s">
        <v>5567</v>
      </c>
      <c r="H39" s="113"/>
      <c r="I39" s="113"/>
      <c r="J39" s="113"/>
      <c r="K39" s="26" t="s">
        <v>145</v>
      </c>
      <c r="L39" s="26" t="s">
        <v>173</v>
      </c>
      <c r="M39" s="28" t="s">
        <v>20</v>
      </c>
      <c r="N39" s="28" t="s">
        <v>20</v>
      </c>
      <c r="O39" s="28" t="s">
        <v>20</v>
      </c>
      <c r="P39" s="28" t="s">
        <v>20</v>
      </c>
      <c r="Q39" s="28" t="s">
        <v>20</v>
      </c>
      <c r="R39" s="28" t="s">
        <v>20</v>
      </c>
    </row>
    <row r="40" spans="2:18" ht="136.5" x14ac:dyDescent="0.35">
      <c r="B40" s="28">
        <v>38</v>
      </c>
      <c r="C40" s="113" t="s">
        <v>4832</v>
      </c>
      <c r="D40" s="26" t="s">
        <v>5610</v>
      </c>
      <c r="E40" s="110">
        <v>45444</v>
      </c>
      <c r="F40" s="109">
        <v>0.49583333333333335</v>
      </c>
      <c r="G40" s="26" t="s">
        <v>5568</v>
      </c>
      <c r="H40" s="113"/>
      <c r="I40" s="113"/>
      <c r="J40" s="113"/>
      <c r="K40" s="26" t="s">
        <v>5569</v>
      </c>
      <c r="L40" s="26" t="s">
        <v>4947</v>
      </c>
      <c r="M40" s="28" t="s">
        <v>20</v>
      </c>
      <c r="N40" s="28" t="s">
        <v>20</v>
      </c>
      <c r="O40" s="28" t="s">
        <v>20</v>
      </c>
      <c r="P40" s="28" t="s">
        <v>20</v>
      </c>
      <c r="Q40" s="28" t="s">
        <v>20</v>
      </c>
      <c r="R40" s="28" t="s">
        <v>20</v>
      </c>
    </row>
    <row r="41" spans="2:18" ht="214.5" x14ac:dyDescent="0.35">
      <c r="B41" s="28">
        <v>39</v>
      </c>
      <c r="C41" s="113" t="s">
        <v>4832</v>
      </c>
      <c r="D41" s="26" t="s">
        <v>5610</v>
      </c>
      <c r="E41" s="110">
        <v>45444</v>
      </c>
      <c r="F41" s="109">
        <v>0.72986111111111107</v>
      </c>
      <c r="G41" s="26" t="s">
        <v>5570</v>
      </c>
      <c r="H41" s="113"/>
      <c r="I41" s="113"/>
      <c r="J41" s="113"/>
      <c r="K41" s="26" t="s">
        <v>5569</v>
      </c>
      <c r="L41" s="26" t="s">
        <v>4947</v>
      </c>
      <c r="M41" s="28" t="s">
        <v>20</v>
      </c>
      <c r="N41" s="28" t="s">
        <v>20</v>
      </c>
      <c r="O41" s="28" t="s">
        <v>20</v>
      </c>
      <c r="P41" s="28" t="s">
        <v>20</v>
      </c>
      <c r="Q41" s="28" t="s">
        <v>20</v>
      </c>
      <c r="R41" s="28" t="s">
        <v>20</v>
      </c>
    </row>
    <row r="42" spans="2:18" ht="195" x14ac:dyDescent="0.35">
      <c r="B42" s="28">
        <v>40</v>
      </c>
      <c r="C42" s="113" t="s">
        <v>4832</v>
      </c>
      <c r="D42" s="26" t="s">
        <v>5610</v>
      </c>
      <c r="E42" s="110">
        <v>45445</v>
      </c>
      <c r="F42" s="109">
        <v>0.3263888888888889</v>
      </c>
      <c r="G42" s="26" t="s">
        <v>5571</v>
      </c>
      <c r="H42" s="113"/>
      <c r="I42" s="113"/>
      <c r="J42" s="113"/>
      <c r="K42" s="26" t="s">
        <v>5572</v>
      </c>
      <c r="L42" s="26" t="s">
        <v>173</v>
      </c>
      <c r="M42" s="28" t="s">
        <v>20</v>
      </c>
      <c r="N42" s="28" t="s">
        <v>20</v>
      </c>
      <c r="O42" s="28" t="s">
        <v>20</v>
      </c>
      <c r="P42" s="28" t="s">
        <v>20</v>
      </c>
      <c r="Q42" s="28" t="s">
        <v>20</v>
      </c>
      <c r="R42" s="28" t="s">
        <v>20</v>
      </c>
    </row>
    <row r="43" spans="2:18" ht="175.5" x14ac:dyDescent="0.35">
      <c r="B43" s="28">
        <v>41</v>
      </c>
      <c r="C43" s="113" t="s">
        <v>4832</v>
      </c>
      <c r="D43" s="26" t="s">
        <v>5610</v>
      </c>
      <c r="E43" s="110">
        <v>45445</v>
      </c>
      <c r="F43" s="109">
        <v>0.81527777777777777</v>
      </c>
      <c r="G43" s="26" t="s">
        <v>5573</v>
      </c>
      <c r="H43" s="113"/>
      <c r="I43" s="113"/>
      <c r="J43" s="113"/>
      <c r="K43" s="26" t="s">
        <v>5574</v>
      </c>
      <c r="L43" s="26" t="s">
        <v>152</v>
      </c>
      <c r="M43" s="28" t="s">
        <v>20</v>
      </c>
      <c r="N43" s="28" t="s">
        <v>20</v>
      </c>
      <c r="O43" s="28" t="s">
        <v>20</v>
      </c>
      <c r="P43" s="28" t="s">
        <v>20</v>
      </c>
      <c r="Q43" s="28" t="s">
        <v>20</v>
      </c>
      <c r="R43" s="28" t="s">
        <v>20</v>
      </c>
    </row>
    <row r="44" spans="2:18" ht="214.5" x14ac:dyDescent="0.35">
      <c r="B44" s="28">
        <v>42</v>
      </c>
      <c r="C44" s="113" t="s">
        <v>4832</v>
      </c>
      <c r="D44" s="26" t="s">
        <v>5610</v>
      </c>
      <c r="E44" s="110">
        <v>45448</v>
      </c>
      <c r="F44" s="109">
        <v>0.54305555555555551</v>
      </c>
      <c r="G44" s="26" t="s">
        <v>5575</v>
      </c>
      <c r="H44" s="113"/>
      <c r="I44" s="113"/>
      <c r="J44" s="113"/>
      <c r="K44" s="26" t="s">
        <v>5572</v>
      </c>
      <c r="L44" s="26" t="s">
        <v>197</v>
      </c>
      <c r="M44" s="28" t="s">
        <v>20</v>
      </c>
      <c r="N44" s="28" t="s">
        <v>20</v>
      </c>
      <c r="O44" s="28" t="s">
        <v>20</v>
      </c>
      <c r="P44" s="28" t="s">
        <v>20</v>
      </c>
      <c r="Q44" s="28" t="s">
        <v>20</v>
      </c>
      <c r="R44" s="28" t="s">
        <v>20</v>
      </c>
    </row>
    <row r="45" spans="2:18" ht="214.5" x14ac:dyDescent="0.35">
      <c r="B45" s="28">
        <v>43</v>
      </c>
      <c r="C45" s="113" t="s">
        <v>4832</v>
      </c>
      <c r="D45" s="26" t="s">
        <v>5610</v>
      </c>
      <c r="E45" s="110">
        <v>45448</v>
      </c>
      <c r="F45" s="109">
        <v>0.6381944444444444</v>
      </c>
      <c r="G45" s="26" t="s">
        <v>5576</v>
      </c>
      <c r="H45" s="113"/>
      <c r="I45" s="113"/>
      <c r="J45" s="113"/>
      <c r="K45" s="26" t="s">
        <v>5572</v>
      </c>
      <c r="L45" s="26" t="s">
        <v>173</v>
      </c>
      <c r="M45" s="28" t="s">
        <v>20</v>
      </c>
      <c r="N45" s="28" t="s">
        <v>20</v>
      </c>
      <c r="O45" s="28" t="s">
        <v>20</v>
      </c>
      <c r="P45" s="28" t="s">
        <v>20</v>
      </c>
      <c r="Q45" s="28" t="s">
        <v>20</v>
      </c>
      <c r="R45" s="28" t="s">
        <v>20</v>
      </c>
    </row>
    <row r="46" spans="2:18" ht="214.5" x14ac:dyDescent="0.35">
      <c r="B46" s="28">
        <v>44</v>
      </c>
      <c r="C46" s="113" t="s">
        <v>4832</v>
      </c>
      <c r="D46" s="26" t="s">
        <v>5610</v>
      </c>
      <c r="E46" s="110">
        <v>45452</v>
      </c>
      <c r="F46" s="109">
        <v>0.56736111111111109</v>
      </c>
      <c r="G46" s="26" t="s">
        <v>5577</v>
      </c>
      <c r="H46" s="113"/>
      <c r="I46" s="113"/>
      <c r="J46" s="113"/>
      <c r="K46" s="26" t="s">
        <v>5578</v>
      </c>
      <c r="L46" s="26" t="s">
        <v>263</v>
      </c>
      <c r="M46" s="28" t="s">
        <v>20</v>
      </c>
      <c r="N46" s="28" t="s">
        <v>20</v>
      </c>
      <c r="O46" s="28" t="s">
        <v>20</v>
      </c>
      <c r="P46" s="28" t="s">
        <v>20</v>
      </c>
      <c r="Q46" s="28" t="s">
        <v>20</v>
      </c>
      <c r="R46" s="28" t="s">
        <v>20</v>
      </c>
    </row>
    <row r="47" spans="2:18" ht="234" x14ac:dyDescent="0.35">
      <c r="B47" s="28">
        <v>45</v>
      </c>
      <c r="C47" s="113" t="s">
        <v>4832</v>
      </c>
      <c r="D47" s="26" t="s">
        <v>5610</v>
      </c>
      <c r="E47" s="110">
        <v>45453</v>
      </c>
      <c r="F47" s="109">
        <v>0.57847222222222228</v>
      </c>
      <c r="G47" s="26" t="s">
        <v>5579</v>
      </c>
      <c r="H47" s="113"/>
      <c r="I47" s="113"/>
      <c r="J47" s="113"/>
      <c r="K47" s="26" t="s">
        <v>5580</v>
      </c>
      <c r="L47" s="26" t="s">
        <v>174</v>
      </c>
      <c r="M47" s="28" t="s">
        <v>20</v>
      </c>
      <c r="N47" s="28" t="s">
        <v>20</v>
      </c>
      <c r="O47" s="28" t="s">
        <v>20</v>
      </c>
      <c r="P47" s="28" t="s">
        <v>20</v>
      </c>
      <c r="Q47" s="28" t="s">
        <v>20</v>
      </c>
      <c r="R47" s="28" t="s">
        <v>20</v>
      </c>
    </row>
    <row r="48" spans="2:18" ht="175.5" x14ac:dyDescent="0.35">
      <c r="B48" s="28">
        <v>46</v>
      </c>
      <c r="C48" s="113" t="s">
        <v>4832</v>
      </c>
      <c r="D48" s="26" t="s">
        <v>5610</v>
      </c>
      <c r="E48" s="110">
        <v>45454</v>
      </c>
      <c r="F48" s="109">
        <v>0.76736111111111116</v>
      </c>
      <c r="G48" s="26" t="s">
        <v>5581</v>
      </c>
      <c r="H48" s="113"/>
      <c r="I48" s="113"/>
      <c r="J48" s="113"/>
      <c r="K48" s="26" t="s">
        <v>5582</v>
      </c>
      <c r="L48" s="26" t="s">
        <v>5583</v>
      </c>
      <c r="M48" s="28" t="s">
        <v>20</v>
      </c>
      <c r="N48" s="28" t="s">
        <v>20</v>
      </c>
      <c r="O48" s="28" t="s">
        <v>20</v>
      </c>
      <c r="P48" s="28" t="s">
        <v>20</v>
      </c>
      <c r="Q48" s="28" t="s">
        <v>20</v>
      </c>
      <c r="R48" s="28" t="s">
        <v>20</v>
      </c>
    </row>
    <row r="49" spans="2:18" ht="195" x14ac:dyDescent="0.35">
      <c r="B49" s="28">
        <v>47</v>
      </c>
      <c r="C49" s="113" t="s">
        <v>4832</v>
      </c>
      <c r="D49" s="26" t="s">
        <v>5610</v>
      </c>
      <c r="E49" s="110">
        <v>45455</v>
      </c>
      <c r="F49" s="109">
        <v>0.60833333333333328</v>
      </c>
      <c r="G49" s="26" t="s">
        <v>5584</v>
      </c>
      <c r="H49" s="113"/>
      <c r="I49" s="113"/>
      <c r="J49" s="113"/>
      <c r="K49" s="26" t="s">
        <v>141</v>
      </c>
      <c r="L49" s="26" t="s">
        <v>152</v>
      </c>
      <c r="M49" s="28" t="s">
        <v>20</v>
      </c>
      <c r="N49" s="28" t="s">
        <v>20</v>
      </c>
      <c r="O49" s="28" t="s">
        <v>20</v>
      </c>
      <c r="P49" s="28" t="s">
        <v>20</v>
      </c>
      <c r="Q49" s="28" t="s">
        <v>20</v>
      </c>
      <c r="R49" s="28" t="s">
        <v>20</v>
      </c>
    </row>
    <row r="50" spans="2:18" ht="214.5" x14ac:dyDescent="0.35">
      <c r="B50" s="28">
        <v>48</v>
      </c>
      <c r="C50" s="113" t="s">
        <v>4832</v>
      </c>
      <c r="D50" s="26" t="s">
        <v>5610</v>
      </c>
      <c r="E50" s="110">
        <v>45456</v>
      </c>
      <c r="F50" s="109">
        <v>0.46111111111111114</v>
      </c>
      <c r="G50" s="26" t="s">
        <v>5585</v>
      </c>
      <c r="H50" s="113"/>
      <c r="I50" s="113"/>
      <c r="J50" s="113"/>
      <c r="K50" s="26" t="s">
        <v>171</v>
      </c>
      <c r="L50" s="26" t="s">
        <v>172</v>
      </c>
      <c r="M50" s="28" t="s">
        <v>20</v>
      </c>
      <c r="N50" s="28" t="s">
        <v>20</v>
      </c>
      <c r="O50" s="28" t="s">
        <v>20</v>
      </c>
      <c r="P50" s="28" t="s">
        <v>20</v>
      </c>
      <c r="Q50" s="28" t="s">
        <v>20</v>
      </c>
      <c r="R50" s="28" t="s">
        <v>20</v>
      </c>
    </row>
    <row r="51" spans="2:18" ht="195" x14ac:dyDescent="0.35">
      <c r="B51" s="28">
        <v>49</v>
      </c>
      <c r="C51" s="113" t="s">
        <v>4832</v>
      </c>
      <c r="D51" s="26" t="s">
        <v>5610</v>
      </c>
      <c r="E51" s="110">
        <v>45457</v>
      </c>
      <c r="F51" s="109">
        <v>0.58611111111111114</v>
      </c>
      <c r="G51" s="26" t="s">
        <v>5586</v>
      </c>
      <c r="H51" s="113"/>
      <c r="I51" s="113"/>
      <c r="J51" s="113"/>
      <c r="K51" s="26" t="s">
        <v>141</v>
      </c>
      <c r="L51" s="26" t="s">
        <v>152</v>
      </c>
      <c r="M51" s="28" t="s">
        <v>20</v>
      </c>
      <c r="N51" s="28" t="s">
        <v>20</v>
      </c>
      <c r="O51" s="28" t="s">
        <v>20</v>
      </c>
      <c r="P51" s="28" t="s">
        <v>20</v>
      </c>
      <c r="Q51" s="28" t="s">
        <v>20</v>
      </c>
      <c r="R51" s="28" t="s">
        <v>20</v>
      </c>
    </row>
    <row r="52" spans="2:18" ht="214.5" x14ac:dyDescent="0.35">
      <c r="B52" s="28">
        <v>50</v>
      </c>
      <c r="C52" s="113" t="s">
        <v>4832</v>
      </c>
      <c r="D52" s="26" t="s">
        <v>5610</v>
      </c>
      <c r="E52" s="110">
        <v>45457</v>
      </c>
      <c r="F52" s="109">
        <v>0.63888888888888884</v>
      </c>
      <c r="G52" s="26" t="s">
        <v>5587</v>
      </c>
      <c r="H52" s="113"/>
      <c r="I52" s="113"/>
      <c r="J52" s="113"/>
      <c r="K52" s="26" t="s">
        <v>157</v>
      </c>
      <c r="L52" s="26" t="s">
        <v>235</v>
      </c>
      <c r="M52" s="28" t="s">
        <v>20</v>
      </c>
      <c r="N52" s="28" t="s">
        <v>20</v>
      </c>
      <c r="O52" s="28" t="s">
        <v>20</v>
      </c>
      <c r="P52" s="28" t="s">
        <v>20</v>
      </c>
      <c r="Q52" s="28" t="s">
        <v>20</v>
      </c>
      <c r="R52" s="28" t="s">
        <v>20</v>
      </c>
    </row>
    <row r="53" spans="2:18" ht="214.5" x14ac:dyDescent="0.35">
      <c r="B53" s="28">
        <v>51</v>
      </c>
      <c r="C53" s="113" t="s">
        <v>4832</v>
      </c>
      <c r="D53" s="26" t="s">
        <v>5610</v>
      </c>
      <c r="E53" s="110">
        <v>45458</v>
      </c>
      <c r="F53" s="109">
        <v>0.5444444444444444</v>
      </c>
      <c r="G53" s="26" t="s">
        <v>5588</v>
      </c>
      <c r="H53" s="113"/>
      <c r="I53" s="113"/>
      <c r="J53" s="113"/>
      <c r="K53" s="26" t="s">
        <v>5589</v>
      </c>
      <c r="L53" s="26" t="s">
        <v>5590</v>
      </c>
      <c r="M53" s="28" t="s">
        <v>20</v>
      </c>
      <c r="N53" s="28" t="s">
        <v>20</v>
      </c>
      <c r="O53" s="28" t="s">
        <v>20</v>
      </c>
      <c r="P53" s="28" t="s">
        <v>20</v>
      </c>
      <c r="Q53" s="28" t="s">
        <v>20</v>
      </c>
      <c r="R53" s="28" t="s">
        <v>20</v>
      </c>
    </row>
    <row r="54" spans="2:18" ht="214.5" x14ac:dyDescent="0.35">
      <c r="B54" s="28">
        <v>52</v>
      </c>
      <c r="C54" s="113" t="s">
        <v>4832</v>
      </c>
      <c r="D54" s="26" t="s">
        <v>5610</v>
      </c>
      <c r="E54" s="110">
        <v>45458</v>
      </c>
      <c r="F54" s="109">
        <v>0.65</v>
      </c>
      <c r="G54" s="26" t="s">
        <v>5591</v>
      </c>
      <c r="H54" s="113"/>
      <c r="I54" s="113"/>
      <c r="J54" s="113"/>
      <c r="K54" s="26" t="s">
        <v>5578</v>
      </c>
      <c r="L54" s="26" t="s">
        <v>5592</v>
      </c>
      <c r="M54" s="28" t="s">
        <v>20</v>
      </c>
      <c r="N54" s="28" t="s">
        <v>20</v>
      </c>
      <c r="O54" s="28" t="s">
        <v>20</v>
      </c>
      <c r="P54" s="28" t="s">
        <v>20</v>
      </c>
      <c r="Q54" s="28" t="s">
        <v>20</v>
      </c>
      <c r="R54" s="28" t="s">
        <v>20</v>
      </c>
    </row>
    <row r="55" spans="2:18" ht="195" x14ac:dyDescent="0.35">
      <c r="B55" s="28">
        <v>53</v>
      </c>
      <c r="C55" s="113" t="s">
        <v>4832</v>
      </c>
      <c r="D55" s="26" t="s">
        <v>5610</v>
      </c>
      <c r="E55" s="110">
        <v>45459</v>
      </c>
      <c r="F55" s="109">
        <v>0.46597222222222223</v>
      </c>
      <c r="G55" s="26" t="s">
        <v>5593</v>
      </c>
      <c r="H55" s="113"/>
      <c r="I55" s="113"/>
      <c r="J55" s="113"/>
      <c r="K55" s="26" t="s">
        <v>145</v>
      </c>
      <c r="L55" s="26" t="s">
        <v>5594</v>
      </c>
      <c r="M55" s="28" t="s">
        <v>20</v>
      </c>
      <c r="N55" s="28" t="s">
        <v>20</v>
      </c>
      <c r="O55" s="28" t="s">
        <v>20</v>
      </c>
      <c r="P55" s="28" t="s">
        <v>20</v>
      </c>
      <c r="Q55" s="28" t="s">
        <v>20</v>
      </c>
      <c r="R55" s="28" t="s">
        <v>20</v>
      </c>
    </row>
    <row r="56" spans="2:18" ht="234" x14ac:dyDescent="0.35">
      <c r="B56" s="28">
        <v>54</v>
      </c>
      <c r="C56" s="113" t="s">
        <v>4832</v>
      </c>
      <c r="D56" s="26" t="s">
        <v>5610</v>
      </c>
      <c r="E56" s="110">
        <v>45459</v>
      </c>
      <c r="F56" s="109">
        <v>0.67013888888888884</v>
      </c>
      <c r="G56" s="26" t="s">
        <v>5595</v>
      </c>
      <c r="H56" s="113"/>
      <c r="I56" s="113"/>
      <c r="J56" s="113"/>
      <c r="K56" s="26" t="s">
        <v>157</v>
      </c>
      <c r="L56" s="26" t="s">
        <v>197</v>
      </c>
      <c r="M56" s="28" t="s">
        <v>20</v>
      </c>
      <c r="N56" s="28" t="s">
        <v>20</v>
      </c>
      <c r="O56" s="28" t="s">
        <v>20</v>
      </c>
      <c r="P56" s="28" t="s">
        <v>20</v>
      </c>
      <c r="Q56" s="28" t="s">
        <v>20</v>
      </c>
      <c r="R56" s="28" t="s">
        <v>20</v>
      </c>
    </row>
    <row r="57" spans="2:18" ht="214.5" x14ac:dyDescent="0.35">
      <c r="B57" s="28">
        <v>55</v>
      </c>
      <c r="C57" s="113" t="s">
        <v>4832</v>
      </c>
      <c r="D57" s="26" t="s">
        <v>5610</v>
      </c>
      <c r="E57" s="110">
        <v>45460</v>
      </c>
      <c r="F57" s="109">
        <v>0.38194444444444442</v>
      </c>
      <c r="G57" s="26" t="s">
        <v>5596</v>
      </c>
      <c r="H57" s="113"/>
      <c r="I57" s="113"/>
      <c r="J57" s="113"/>
      <c r="K57" s="26" t="s">
        <v>141</v>
      </c>
      <c r="L57" s="26" t="s">
        <v>152</v>
      </c>
      <c r="M57" s="28" t="s">
        <v>20</v>
      </c>
      <c r="N57" s="28" t="s">
        <v>20</v>
      </c>
      <c r="O57" s="28" t="s">
        <v>20</v>
      </c>
      <c r="P57" s="28" t="s">
        <v>20</v>
      </c>
      <c r="Q57" s="28" t="s">
        <v>20</v>
      </c>
      <c r="R57" s="28" t="s">
        <v>20</v>
      </c>
    </row>
    <row r="58" spans="2:18" ht="234" x14ac:dyDescent="0.35">
      <c r="B58" s="28">
        <v>56</v>
      </c>
      <c r="C58" s="113" t="s">
        <v>4832</v>
      </c>
      <c r="D58" s="26" t="s">
        <v>5610</v>
      </c>
      <c r="E58" s="110">
        <v>45460</v>
      </c>
      <c r="F58" s="109">
        <v>0.3972222222222222</v>
      </c>
      <c r="G58" s="26" t="s">
        <v>5597</v>
      </c>
      <c r="H58" s="113"/>
      <c r="I58" s="113"/>
      <c r="J58" s="113"/>
      <c r="K58" s="26" t="s">
        <v>171</v>
      </c>
      <c r="L58" s="26" t="s">
        <v>5592</v>
      </c>
      <c r="M58" s="28" t="s">
        <v>20</v>
      </c>
      <c r="N58" s="28" t="s">
        <v>20</v>
      </c>
      <c r="O58" s="28" t="s">
        <v>20</v>
      </c>
      <c r="P58" s="28" t="s">
        <v>20</v>
      </c>
      <c r="Q58" s="28" t="s">
        <v>20</v>
      </c>
      <c r="R58" s="28" t="s">
        <v>20</v>
      </c>
    </row>
    <row r="59" spans="2:18" ht="195" x14ac:dyDescent="0.35">
      <c r="B59" s="28">
        <v>57</v>
      </c>
      <c r="C59" s="113" t="s">
        <v>4832</v>
      </c>
      <c r="D59" s="26" t="s">
        <v>4832</v>
      </c>
      <c r="E59" s="110">
        <v>45364</v>
      </c>
      <c r="F59" s="109">
        <v>0.75624999999999998</v>
      </c>
      <c r="G59" s="26" t="s">
        <v>5598</v>
      </c>
      <c r="H59" s="26" t="s">
        <v>5599</v>
      </c>
      <c r="I59" s="26"/>
      <c r="J59" s="26" t="s">
        <v>2325</v>
      </c>
      <c r="K59" s="180">
        <v>5000</v>
      </c>
      <c r="L59" s="180">
        <v>995000</v>
      </c>
      <c r="M59" s="28" t="s">
        <v>20</v>
      </c>
      <c r="N59" s="28" t="s">
        <v>20</v>
      </c>
      <c r="O59" s="28" t="s">
        <v>20</v>
      </c>
      <c r="P59" s="28" t="s">
        <v>20</v>
      </c>
      <c r="Q59" s="28" t="s">
        <v>20</v>
      </c>
      <c r="R59" s="28" t="s">
        <v>20</v>
      </c>
    </row>
    <row r="60" spans="2:18" ht="214.5" x14ac:dyDescent="0.35">
      <c r="B60" s="28">
        <v>58</v>
      </c>
      <c r="C60" s="113" t="s">
        <v>4832</v>
      </c>
      <c r="D60" s="26" t="s">
        <v>5610</v>
      </c>
      <c r="E60" s="110">
        <v>45380</v>
      </c>
      <c r="F60" s="109">
        <v>0.97083333333333333</v>
      </c>
      <c r="G60" s="26" t="s">
        <v>5600</v>
      </c>
      <c r="H60" s="28" t="s">
        <v>5601</v>
      </c>
      <c r="I60" s="28"/>
      <c r="J60" s="28" t="s">
        <v>5602</v>
      </c>
      <c r="K60" s="26" t="s">
        <v>250</v>
      </c>
      <c r="L60" s="26" t="s">
        <v>157</v>
      </c>
      <c r="M60" s="28"/>
      <c r="N60" s="28" t="s">
        <v>20</v>
      </c>
      <c r="O60" s="28" t="s">
        <v>20</v>
      </c>
      <c r="P60" s="28" t="s">
        <v>20</v>
      </c>
      <c r="Q60" s="28" t="s">
        <v>20</v>
      </c>
      <c r="R60" s="28" t="s">
        <v>20</v>
      </c>
    </row>
    <row r="61" spans="2:18" ht="175.5" x14ac:dyDescent="0.35">
      <c r="B61" s="28">
        <v>59</v>
      </c>
      <c r="C61" s="113" t="s">
        <v>4832</v>
      </c>
      <c r="D61" s="122" t="s">
        <v>4832</v>
      </c>
      <c r="E61" s="110">
        <v>45374</v>
      </c>
      <c r="F61" s="109">
        <v>0.86736111111111114</v>
      </c>
      <c r="G61" s="26" t="s">
        <v>5603</v>
      </c>
      <c r="H61" s="113"/>
      <c r="I61" s="113"/>
      <c r="J61" s="113"/>
      <c r="K61" s="162">
        <v>5000</v>
      </c>
      <c r="L61" s="162">
        <v>1495000</v>
      </c>
      <c r="M61" s="28" t="s">
        <v>20</v>
      </c>
      <c r="N61" s="28" t="s">
        <v>20</v>
      </c>
      <c r="O61" s="28" t="s">
        <v>20</v>
      </c>
      <c r="P61" s="28" t="s">
        <v>20</v>
      </c>
      <c r="Q61" s="28" t="s">
        <v>20</v>
      </c>
      <c r="R61" s="28" t="s">
        <v>20</v>
      </c>
    </row>
    <row r="62" spans="2:18" ht="156" x14ac:dyDescent="0.35">
      <c r="B62" s="28">
        <v>60</v>
      </c>
      <c r="C62" s="113" t="s">
        <v>4832</v>
      </c>
      <c r="D62" s="26"/>
      <c r="E62" s="108">
        <v>45379</v>
      </c>
      <c r="F62" s="109">
        <v>0.59583333333333333</v>
      </c>
      <c r="G62" s="26" t="s">
        <v>5604</v>
      </c>
      <c r="H62" s="113"/>
      <c r="I62" s="113"/>
      <c r="J62" s="113"/>
      <c r="K62" s="28">
        <v>4</v>
      </c>
      <c r="L62" s="28" t="s">
        <v>5605</v>
      </c>
      <c r="M62" s="28" t="s">
        <v>20</v>
      </c>
      <c r="N62" s="28" t="s">
        <v>20</v>
      </c>
      <c r="O62" s="28" t="s">
        <v>20</v>
      </c>
      <c r="P62" s="28" t="s">
        <v>20</v>
      </c>
      <c r="Q62" s="28" t="s">
        <v>20</v>
      </c>
      <c r="R62" s="28" t="s">
        <v>20</v>
      </c>
    </row>
    <row r="63" spans="2:18" ht="117" x14ac:dyDescent="0.35">
      <c r="B63" s="28">
        <v>61</v>
      </c>
      <c r="C63" s="113" t="s">
        <v>4832</v>
      </c>
      <c r="D63" s="26"/>
      <c r="E63" s="108">
        <v>45380</v>
      </c>
      <c r="F63" s="109">
        <v>0.84791666666666665</v>
      </c>
      <c r="G63" s="26" t="s">
        <v>5606</v>
      </c>
      <c r="H63" s="113"/>
      <c r="I63" s="113"/>
      <c r="J63" s="113"/>
      <c r="K63" s="28">
        <v>5</v>
      </c>
      <c r="L63" s="28" t="s">
        <v>5607</v>
      </c>
      <c r="M63" s="28" t="s">
        <v>20</v>
      </c>
      <c r="N63" s="28" t="s">
        <v>20</v>
      </c>
      <c r="O63" s="28" t="s">
        <v>20</v>
      </c>
      <c r="P63" s="28" t="s">
        <v>20</v>
      </c>
      <c r="Q63" s="28" t="s">
        <v>20</v>
      </c>
      <c r="R63" s="28" t="s">
        <v>20</v>
      </c>
    </row>
    <row r="64" spans="2:18" x14ac:dyDescent="0.35">
      <c r="B64" s="28">
        <v>62</v>
      </c>
      <c r="C64" s="131"/>
      <c r="D64" s="131"/>
      <c r="E64" s="131"/>
      <c r="F64" s="104"/>
      <c r="G64" s="131"/>
      <c r="H64" s="131"/>
      <c r="I64" s="131"/>
      <c r="J64" s="131"/>
      <c r="K64" s="131"/>
      <c r="L64" s="131"/>
      <c r="M64" s="114"/>
      <c r="N64" s="114"/>
      <c r="O64" s="114"/>
      <c r="P64" s="114"/>
      <c r="Q64" s="114"/>
      <c r="R64" s="114"/>
    </row>
    <row r="65" spans="2:18" x14ac:dyDescent="0.35">
      <c r="B65" s="28">
        <v>63</v>
      </c>
      <c r="C65" s="131"/>
      <c r="D65" s="131"/>
      <c r="E65" s="131"/>
      <c r="F65" s="104"/>
      <c r="G65" s="131"/>
      <c r="H65" s="131"/>
      <c r="I65" s="131"/>
      <c r="J65" s="131"/>
      <c r="K65" s="131"/>
      <c r="L65" s="131"/>
      <c r="M65" s="114"/>
      <c r="N65" s="114"/>
      <c r="O65" s="114"/>
      <c r="P65" s="114"/>
      <c r="Q65" s="114"/>
      <c r="R65" s="114"/>
    </row>
    <row r="66" spans="2:18" x14ac:dyDescent="0.35">
      <c r="B66" s="28">
        <v>64</v>
      </c>
      <c r="C66" s="131"/>
      <c r="D66" s="131"/>
      <c r="E66" s="131"/>
      <c r="F66" s="104"/>
      <c r="G66" s="131"/>
      <c r="H66" s="131"/>
      <c r="I66" s="131"/>
      <c r="J66" s="131"/>
      <c r="K66" s="131"/>
      <c r="L66" s="131"/>
      <c r="M66" s="114"/>
      <c r="N66" s="114"/>
      <c r="O66" s="114"/>
      <c r="P66" s="114"/>
      <c r="Q66" s="114"/>
      <c r="R66" s="114"/>
    </row>
    <row r="67" spans="2:18" x14ac:dyDescent="0.35">
      <c r="B67" s="28">
        <v>65</v>
      </c>
      <c r="C67" s="131"/>
      <c r="D67" s="131"/>
      <c r="E67" s="131"/>
      <c r="F67" s="104"/>
      <c r="G67" s="131"/>
      <c r="H67" s="131"/>
      <c r="I67" s="131"/>
      <c r="J67" s="131"/>
      <c r="K67" s="131"/>
      <c r="L67" s="131"/>
      <c r="M67" s="114"/>
      <c r="N67" s="114"/>
      <c r="O67" s="114"/>
      <c r="P67" s="114"/>
      <c r="Q67" s="114"/>
      <c r="R67" s="114"/>
    </row>
    <row r="68" spans="2:18" x14ac:dyDescent="0.35">
      <c r="B68" s="28">
        <v>66</v>
      </c>
      <c r="C68" s="131"/>
      <c r="D68" s="131"/>
      <c r="E68" s="131"/>
      <c r="F68" s="104"/>
      <c r="G68" s="131"/>
      <c r="H68" s="131"/>
      <c r="I68" s="131"/>
      <c r="J68" s="131"/>
      <c r="K68" s="131"/>
      <c r="L68" s="131"/>
      <c r="M68" s="114"/>
      <c r="N68" s="114"/>
      <c r="O68" s="114"/>
      <c r="P68" s="114"/>
      <c r="Q68" s="114"/>
      <c r="R68" s="114"/>
    </row>
    <row r="69" spans="2:18" x14ac:dyDescent="0.35">
      <c r="B69" s="28">
        <v>67</v>
      </c>
      <c r="C69" s="131"/>
      <c r="D69" s="131"/>
      <c r="E69" s="131"/>
      <c r="F69" s="104"/>
      <c r="G69" s="131"/>
      <c r="H69" s="131"/>
      <c r="I69" s="131"/>
      <c r="J69" s="131"/>
      <c r="K69" s="131"/>
      <c r="L69" s="131"/>
      <c r="M69" s="114"/>
      <c r="N69" s="114"/>
      <c r="O69" s="114"/>
      <c r="P69" s="114"/>
      <c r="Q69" s="114"/>
      <c r="R69" s="114"/>
    </row>
    <row r="70" spans="2:18" x14ac:dyDescent="0.35">
      <c r="B70" s="28">
        <v>68</v>
      </c>
      <c r="C70" s="131"/>
      <c r="D70" s="131"/>
      <c r="E70" s="131"/>
      <c r="F70" s="104"/>
      <c r="G70" s="131"/>
      <c r="H70" s="131"/>
      <c r="I70" s="131"/>
      <c r="J70" s="131"/>
      <c r="K70" s="131"/>
      <c r="L70" s="131"/>
      <c r="M70" s="114"/>
      <c r="N70" s="114"/>
      <c r="O70" s="114"/>
      <c r="P70" s="114"/>
      <c r="Q70" s="114"/>
      <c r="R70" s="114"/>
    </row>
    <row r="71" spans="2:18" x14ac:dyDescent="0.35">
      <c r="B71" s="28">
        <v>69</v>
      </c>
      <c r="C71" s="131"/>
      <c r="D71" s="131"/>
      <c r="E71" s="131"/>
      <c r="F71" s="104"/>
      <c r="G71" s="131"/>
      <c r="H71" s="131"/>
      <c r="I71" s="131"/>
      <c r="J71" s="131"/>
      <c r="K71" s="131"/>
      <c r="L71" s="131"/>
      <c r="M71" s="114"/>
      <c r="N71" s="114"/>
      <c r="O71" s="114"/>
      <c r="P71" s="114"/>
      <c r="Q71" s="114"/>
      <c r="R71" s="114"/>
    </row>
    <row r="72" spans="2:18" x14ac:dyDescent="0.35">
      <c r="B72" s="28">
        <v>70</v>
      </c>
      <c r="C72" s="131"/>
      <c r="D72" s="131"/>
      <c r="E72" s="131"/>
      <c r="F72" s="104"/>
      <c r="G72" s="131"/>
      <c r="H72" s="131"/>
      <c r="I72" s="131"/>
      <c r="J72" s="131"/>
      <c r="K72" s="131"/>
      <c r="L72" s="131"/>
      <c r="M72" s="114"/>
      <c r="N72" s="114"/>
      <c r="O72" s="114"/>
      <c r="P72" s="114"/>
      <c r="Q72" s="114"/>
      <c r="R72" s="114"/>
    </row>
    <row r="73" spans="2:18" x14ac:dyDescent="0.35">
      <c r="B73" s="28">
        <v>71</v>
      </c>
      <c r="C73" s="131"/>
      <c r="D73" s="131"/>
      <c r="E73" s="131"/>
      <c r="F73" s="104"/>
      <c r="G73" s="131"/>
      <c r="H73" s="131"/>
      <c r="I73" s="131"/>
      <c r="J73" s="131"/>
      <c r="K73" s="131"/>
      <c r="L73" s="131"/>
      <c r="M73" s="114"/>
      <c r="N73" s="114"/>
      <c r="O73" s="114"/>
      <c r="P73" s="114"/>
      <c r="Q73" s="114"/>
      <c r="R73" s="114"/>
    </row>
    <row r="74" spans="2:18" x14ac:dyDescent="0.35">
      <c r="B74" s="28">
        <v>72</v>
      </c>
      <c r="C74" s="131"/>
      <c r="D74" s="131"/>
      <c r="E74" s="131"/>
      <c r="F74" s="104"/>
      <c r="G74" s="131"/>
      <c r="H74" s="131"/>
      <c r="I74" s="131"/>
      <c r="J74" s="131"/>
      <c r="K74" s="131"/>
      <c r="L74" s="131"/>
      <c r="M74" s="114"/>
      <c r="N74" s="114"/>
      <c r="O74" s="114"/>
      <c r="P74" s="114"/>
      <c r="Q74" s="114"/>
      <c r="R74" s="114"/>
    </row>
    <row r="75" spans="2:18" x14ac:dyDescent="0.35">
      <c r="B75" s="28">
        <v>73</v>
      </c>
      <c r="C75" s="131"/>
      <c r="D75" s="131"/>
      <c r="E75" s="131"/>
      <c r="F75" s="104"/>
      <c r="G75" s="131"/>
      <c r="H75" s="131"/>
      <c r="I75" s="131"/>
      <c r="J75" s="131"/>
      <c r="K75" s="131"/>
      <c r="L75" s="131"/>
      <c r="M75" s="114"/>
      <c r="N75" s="114"/>
      <c r="O75" s="114"/>
      <c r="P75" s="114"/>
      <c r="Q75" s="114"/>
      <c r="R75" s="114"/>
    </row>
    <row r="76" spans="2:18" x14ac:dyDescent="0.35">
      <c r="B76" s="28">
        <v>74</v>
      </c>
      <c r="C76" s="131"/>
      <c r="D76" s="131"/>
      <c r="E76" s="131"/>
      <c r="F76" s="104"/>
      <c r="G76" s="131"/>
      <c r="H76" s="131"/>
      <c r="I76" s="131"/>
      <c r="J76" s="131"/>
      <c r="K76" s="131"/>
      <c r="L76" s="131"/>
      <c r="M76" s="114"/>
      <c r="N76" s="114"/>
      <c r="O76" s="114"/>
      <c r="P76" s="114"/>
      <c r="Q76" s="114"/>
      <c r="R76" s="114"/>
    </row>
    <row r="77" spans="2:18" x14ac:dyDescent="0.35">
      <c r="B77" s="28">
        <v>75</v>
      </c>
      <c r="C77" s="131"/>
      <c r="D77" s="131"/>
      <c r="E77" s="131"/>
      <c r="F77" s="104"/>
      <c r="G77" s="131"/>
      <c r="H77" s="131"/>
      <c r="I77" s="131"/>
      <c r="J77" s="131"/>
      <c r="K77" s="131"/>
      <c r="L77" s="131"/>
      <c r="M77" s="114"/>
      <c r="N77" s="114"/>
      <c r="O77" s="114"/>
      <c r="P77" s="114"/>
      <c r="Q77" s="114"/>
      <c r="R77" s="114"/>
    </row>
    <row r="78" spans="2:18" x14ac:dyDescent="0.35">
      <c r="B78" s="28">
        <v>76</v>
      </c>
      <c r="C78" s="131"/>
      <c r="D78" s="131"/>
      <c r="E78" s="131"/>
      <c r="F78" s="104"/>
      <c r="G78" s="131"/>
      <c r="H78" s="131"/>
      <c r="I78" s="131"/>
      <c r="J78" s="131"/>
      <c r="K78" s="131"/>
      <c r="L78" s="131"/>
      <c r="M78" s="114"/>
      <c r="N78" s="114"/>
      <c r="O78" s="114"/>
      <c r="P78" s="114"/>
      <c r="Q78" s="114"/>
      <c r="R78" s="114"/>
    </row>
    <row r="79" spans="2:18" x14ac:dyDescent="0.35">
      <c r="B79" s="28">
        <v>77</v>
      </c>
      <c r="C79" s="131"/>
      <c r="D79" s="131"/>
      <c r="E79" s="131"/>
      <c r="F79" s="104"/>
      <c r="G79" s="131"/>
      <c r="H79" s="131"/>
      <c r="I79" s="131"/>
      <c r="J79" s="131"/>
      <c r="K79" s="131"/>
      <c r="L79" s="131"/>
      <c r="M79" s="114"/>
      <c r="N79" s="114"/>
      <c r="O79" s="114"/>
      <c r="P79" s="114"/>
      <c r="Q79" s="114"/>
      <c r="R79" s="114"/>
    </row>
    <row r="80" spans="2:18" x14ac:dyDescent="0.35">
      <c r="B80" s="28">
        <v>78</v>
      </c>
      <c r="C80" s="131"/>
      <c r="D80" s="131"/>
      <c r="E80" s="131"/>
      <c r="F80" s="104"/>
      <c r="G80" s="131"/>
      <c r="H80" s="131"/>
      <c r="I80" s="131"/>
      <c r="J80" s="131"/>
      <c r="K80" s="131"/>
      <c r="L80" s="131"/>
      <c r="M80" s="114"/>
      <c r="N80" s="114"/>
      <c r="O80" s="114"/>
      <c r="P80" s="114"/>
      <c r="Q80" s="114"/>
      <c r="R80" s="114"/>
    </row>
    <row r="81" spans="2:18" x14ac:dyDescent="0.35">
      <c r="B81" s="28">
        <v>79</v>
      </c>
      <c r="C81" s="131"/>
      <c r="D81" s="131"/>
      <c r="E81" s="131"/>
      <c r="F81" s="104"/>
      <c r="G81" s="131"/>
      <c r="H81" s="131"/>
      <c r="I81" s="131"/>
      <c r="J81" s="131"/>
      <c r="K81" s="131"/>
      <c r="L81" s="131"/>
      <c r="M81" s="114"/>
      <c r="N81" s="114"/>
      <c r="O81" s="114"/>
      <c r="P81" s="114"/>
      <c r="Q81" s="114"/>
      <c r="R81" s="114"/>
    </row>
    <row r="82" spans="2:18" x14ac:dyDescent="0.35">
      <c r="B82" s="28">
        <v>80</v>
      </c>
      <c r="C82" s="131"/>
      <c r="D82" s="131"/>
      <c r="E82" s="131"/>
      <c r="F82" s="104"/>
      <c r="G82" s="131"/>
      <c r="H82" s="131"/>
      <c r="I82" s="131"/>
      <c r="J82" s="131"/>
      <c r="K82" s="131"/>
      <c r="L82" s="131"/>
      <c r="M82" s="114"/>
      <c r="N82" s="114"/>
      <c r="O82" s="114"/>
      <c r="P82" s="114"/>
      <c r="Q82" s="114"/>
      <c r="R82" s="114"/>
    </row>
    <row r="83" spans="2:18" x14ac:dyDescent="0.35">
      <c r="B83" s="28">
        <v>81</v>
      </c>
      <c r="C83" s="131"/>
      <c r="D83" s="131"/>
      <c r="E83" s="131"/>
      <c r="F83" s="104"/>
      <c r="G83" s="131"/>
      <c r="H83" s="131"/>
      <c r="I83" s="131"/>
      <c r="J83" s="131"/>
      <c r="K83" s="131"/>
      <c r="L83" s="131"/>
      <c r="M83" s="114"/>
      <c r="N83" s="114"/>
      <c r="O83" s="114"/>
      <c r="P83" s="114"/>
      <c r="Q83" s="114"/>
      <c r="R83" s="114"/>
    </row>
    <row r="84" spans="2:18" x14ac:dyDescent="0.35">
      <c r="B84" s="28">
        <v>82</v>
      </c>
      <c r="C84" s="131"/>
      <c r="D84" s="131"/>
      <c r="E84" s="131"/>
      <c r="F84" s="104"/>
      <c r="G84" s="131"/>
      <c r="H84" s="131"/>
      <c r="I84" s="131"/>
      <c r="J84" s="131"/>
      <c r="K84" s="131"/>
      <c r="L84" s="131"/>
      <c r="M84" s="114"/>
      <c r="N84" s="114"/>
      <c r="O84" s="114"/>
      <c r="P84" s="114"/>
      <c r="Q84" s="114"/>
      <c r="R84" s="114"/>
    </row>
    <row r="85" spans="2:18" x14ac:dyDescent="0.35">
      <c r="B85" s="28">
        <v>83</v>
      </c>
      <c r="C85" s="131"/>
      <c r="D85" s="131"/>
      <c r="E85" s="131"/>
      <c r="F85" s="104"/>
      <c r="G85" s="131"/>
      <c r="H85" s="131"/>
      <c r="I85" s="131"/>
      <c r="J85" s="131"/>
      <c r="K85" s="131"/>
      <c r="L85" s="131"/>
      <c r="M85" s="114"/>
      <c r="N85" s="114"/>
      <c r="O85" s="114"/>
      <c r="P85" s="114"/>
      <c r="Q85" s="114"/>
      <c r="R85" s="114"/>
    </row>
    <row r="86" spans="2:18" x14ac:dyDescent="0.35">
      <c r="B86" s="28">
        <v>84</v>
      </c>
      <c r="C86" s="131"/>
      <c r="D86" s="131"/>
      <c r="E86" s="131"/>
      <c r="F86" s="104"/>
      <c r="G86" s="131"/>
      <c r="H86" s="131"/>
      <c r="I86" s="131"/>
      <c r="J86" s="131"/>
      <c r="K86" s="131"/>
      <c r="L86" s="131"/>
      <c r="M86" s="114"/>
      <c r="N86" s="114"/>
      <c r="O86" s="114"/>
      <c r="P86" s="114"/>
      <c r="Q86" s="114"/>
      <c r="R86" s="114"/>
    </row>
    <row r="87" spans="2:18" x14ac:dyDescent="0.35">
      <c r="B87" s="28">
        <v>85</v>
      </c>
      <c r="C87" s="131"/>
      <c r="D87" s="131"/>
      <c r="E87" s="131"/>
      <c r="F87" s="104"/>
      <c r="G87" s="131"/>
      <c r="H87" s="131"/>
      <c r="I87" s="131"/>
      <c r="J87" s="131"/>
      <c r="K87" s="131"/>
      <c r="L87" s="131"/>
      <c r="M87" s="114"/>
      <c r="N87" s="114"/>
      <c r="O87" s="114"/>
      <c r="P87" s="114"/>
      <c r="Q87" s="114"/>
      <c r="R87" s="114"/>
    </row>
    <row r="88" spans="2:18" x14ac:dyDescent="0.35">
      <c r="B88" s="28">
        <v>86</v>
      </c>
      <c r="C88" s="131"/>
      <c r="D88" s="131"/>
      <c r="E88" s="131"/>
      <c r="F88" s="104"/>
      <c r="G88" s="131"/>
      <c r="H88" s="131"/>
      <c r="I88" s="131"/>
      <c r="J88" s="131"/>
      <c r="K88" s="131"/>
      <c r="L88" s="131"/>
      <c r="M88" s="114"/>
      <c r="N88" s="114"/>
      <c r="O88" s="114"/>
      <c r="P88" s="114"/>
      <c r="Q88" s="114"/>
      <c r="R88" s="114"/>
    </row>
    <row r="89" spans="2:18" x14ac:dyDescent="0.35">
      <c r="B89" s="28">
        <v>87</v>
      </c>
      <c r="C89" s="131"/>
      <c r="D89" s="131"/>
      <c r="E89" s="131"/>
      <c r="F89" s="104"/>
      <c r="G89" s="131"/>
      <c r="H89" s="131"/>
      <c r="I89" s="131"/>
      <c r="J89" s="131"/>
      <c r="K89" s="131"/>
      <c r="L89" s="131"/>
      <c r="M89" s="114"/>
      <c r="N89" s="114"/>
      <c r="O89" s="114"/>
      <c r="P89" s="114"/>
      <c r="Q89" s="114"/>
      <c r="R89" s="114"/>
    </row>
    <row r="90" spans="2:18" x14ac:dyDescent="0.35">
      <c r="B90" s="28">
        <v>88</v>
      </c>
      <c r="C90" s="131"/>
      <c r="D90" s="131"/>
      <c r="E90" s="131"/>
      <c r="F90" s="104"/>
      <c r="G90" s="131"/>
      <c r="H90" s="131"/>
      <c r="I90" s="131"/>
      <c r="J90" s="131"/>
      <c r="K90" s="131"/>
      <c r="L90" s="131"/>
      <c r="M90" s="114"/>
      <c r="N90" s="114"/>
      <c r="O90" s="114"/>
      <c r="P90" s="114"/>
      <c r="Q90" s="114"/>
      <c r="R90" s="114"/>
    </row>
    <row r="91" spans="2:18" x14ac:dyDescent="0.35">
      <c r="B91" s="28">
        <v>89</v>
      </c>
      <c r="C91" s="131"/>
      <c r="D91" s="131"/>
      <c r="E91" s="131"/>
      <c r="F91" s="104"/>
      <c r="G91" s="131"/>
      <c r="H91" s="131"/>
      <c r="I91" s="131"/>
      <c r="J91" s="131"/>
      <c r="K91" s="131"/>
      <c r="L91" s="131"/>
      <c r="M91" s="114"/>
      <c r="N91" s="114"/>
      <c r="O91" s="114"/>
      <c r="P91" s="114"/>
      <c r="Q91" s="114"/>
      <c r="R91" s="114"/>
    </row>
    <row r="92" spans="2:18" x14ac:dyDescent="0.35">
      <c r="B92" s="28">
        <v>90</v>
      </c>
      <c r="C92" s="131"/>
      <c r="D92" s="131"/>
      <c r="E92" s="131"/>
      <c r="F92" s="104"/>
      <c r="G92" s="131"/>
      <c r="H92" s="131"/>
      <c r="I92" s="131"/>
      <c r="J92" s="131"/>
      <c r="K92" s="131"/>
      <c r="L92" s="131"/>
      <c r="M92" s="114"/>
      <c r="N92" s="114"/>
      <c r="O92" s="114"/>
      <c r="P92" s="114"/>
      <c r="Q92" s="114"/>
      <c r="R92" s="114"/>
    </row>
    <row r="93" spans="2:18" x14ac:dyDescent="0.35">
      <c r="B93" s="28">
        <v>91</v>
      </c>
      <c r="C93" s="131"/>
      <c r="D93" s="131"/>
      <c r="E93" s="131"/>
      <c r="F93" s="104"/>
      <c r="G93" s="131"/>
      <c r="H93" s="131"/>
      <c r="I93" s="131"/>
      <c r="J93" s="131"/>
      <c r="K93" s="131"/>
      <c r="L93" s="131"/>
      <c r="M93" s="114"/>
      <c r="N93" s="114"/>
      <c r="O93" s="114"/>
      <c r="P93" s="114"/>
      <c r="Q93" s="114"/>
      <c r="R93" s="114"/>
    </row>
    <row r="94" spans="2:18" x14ac:dyDescent="0.35">
      <c r="B94" s="28">
        <v>92</v>
      </c>
      <c r="C94" s="131"/>
      <c r="D94" s="131"/>
      <c r="E94" s="131"/>
      <c r="F94" s="104"/>
      <c r="G94" s="131"/>
      <c r="H94" s="131"/>
      <c r="I94" s="131"/>
      <c r="J94" s="131"/>
      <c r="K94" s="131"/>
      <c r="L94" s="131"/>
      <c r="M94" s="114"/>
      <c r="N94" s="114"/>
      <c r="O94" s="114"/>
      <c r="P94" s="114"/>
      <c r="Q94" s="114"/>
      <c r="R94" s="114"/>
    </row>
    <row r="95" spans="2:18" x14ac:dyDescent="0.35">
      <c r="B95" s="28">
        <v>93</v>
      </c>
      <c r="C95" s="131"/>
      <c r="D95" s="131"/>
      <c r="E95" s="131"/>
      <c r="F95" s="104"/>
      <c r="G95" s="131"/>
      <c r="H95" s="131"/>
      <c r="I95" s="131"/>
      <c r="J95" s="131"/>
      <c r="K95" s="131"/>
      <c r="L95" s="131"/>
      <c r="M95" s="114"/>
      <c r="N95" s="114"/>
      <c r="O95" s="114"/>
      <c r="P95" s="114"/>
      <c r="Q95" s="114"/>
      <c r="R95" s="114"/>
    </row>
    <row r="96" spans="2:18" x14ac:dyDescent="0.35">
      <c r="B96" s="28">
        <v>94</v>
      </c>
      <c r="C96" s="131"/>
      <c r="D96" s="131"/>
      <c r="E96" s="131"/>
      <c r="F96" s="104"/>
      <c r="G96" s="131"/>
      <c r="H96" s="131"/>
      <c r="I96" s="131"/>
      <c r="J96" s="131"/>
      <c r="K96" s="131"/>
      <c r="L96" s="131"/>
      <c r="M96" s="114"/>
      <c r="N96" s="114"/>
      <c r="O96" s="114"/>
      <c r="P96" s="114"/>
      <c r="Q96" s="114"/>
      <c r="R96" s="114"/>
    </row>
    <row r="97" spans="2:18" x14ac:dyDescent="0.35">
      <c r="B97" s="28">
        <v>95</v>
      </c>
      <c r="C97" s="131"/>
      <c r="D97" s="131"/>
      <c r="E97" s="131"/>
      <c r="F97" s="104"/>
      <c r="G97" s="131"/>
      <c r="H97" s="131"/>
      <c r="I97" s="131"/>
      <c r="J97" s="131"/>
      <c r="K97" s="131"/>
      <c r="L97" s="131"/>
      <c r="M97" s="114"/>
      <c r="N97" s="114"/>
      <c r="O97" s="114"/>
      <c r="P97" s="114"/>
      <c r="Q97" s="114"/>
      <c r="R97" s="114"/>
    </row>
    <row r="98" spans="2:18" x14ac:dyDescent="0.35">
      <c r="B98" s="28">
        <v>96</v>
      </c>
      <c r="C98" s="131"/>
      <c r="D98" s="131"/>
      <c r="E98" s="131"/>
      <c r="F98" s="104"/>
      <c r="G98" s="131"/>
      <c r="H98" s="131"/>
      <c r="I98" s="131"/>
      <c r="J98" s="131"/>
      <c r="K98" s="131"/>
      <c r="L98" s="131"/>
      <c r="M98" s="114"/>
      <c r="N98" s="114"/>
      <c r="O98" s="114"/>
      <c r="P98" s="114"/>
      <c r="Q98" s="114"/>
      <c r="R98" s="114"/>
    </row>
    <row r="99" spans="2:18" x14ac:dyDescent="0.35">
      <c r="B99" s="28">
        <v>97</v>
      </c>
      <c r="C99" s="131"/>
      <c r="D99" s="131"/>
      <c r="E99" s="131"/>
      <c r="F99" s="104"/>
      <c r="G99" s="131"/>
      <c r="H99" s="131"/>
      <c r="I99" s="131"/>
      <c r="J99" s="131"/>
      <c r="K99" s="131"/>
      <c r="L99" s="131"/>
      <c r="M99" s="114"/>
      <c r="N99" s="114"/>
      <c r="O99" s="114"/>
      <c r="P99" s="114"/>
      <c r="Q99" s="114"/>
      <c r="R99" s="114"/>
    </row>
    <row r="100" spans="2:18" x14ac:dyDescent="0.35">
      <c r="B100" s="28">
        <v>98</v>
      </c>
      <c r="C100" s="131"/>
      <c r="D100" s="131"/>
      <c r="E100" s="131"/>
      <c r="F100" s="104"/>
      <c r="G100" s="131"/>
      <c r="H100" s="131"/>
      <c r="I100" s="131"/>
      <c r="J100" s="131"/>
      <c r="K100" s="131"/>
      <c r="L100" s="131"/>
      <c r="M100" s="114"/>
      <c r="N100" s="114"/>
      <c r="O100" s="114"/>
      <c r="P100" s="114"/>
      <c r="Q100" s="114"/>
      <c r="R100" s="114"/>
    </row>
    <row r="101" spans="2:18" x14ac:dyDescent="0.35">
      <c r="B101" s="28">
        <v>99</v>
      </c>
      <c r="C101" s="131"/>
      <c r="D101" s="131"/>
      <c r="E101" s="131"/>
      <c r="F101" s="104"/>
      <c r="G101" s="131"/>
      <c r="H101" s="131"/>
      <c r="I101" s="131"/>
      <c r="J101" s="131"/>
      <c r="K101" s="131"/>
      <c r="L101" s="131"/>
      <c r="M101" s="114"/>
      <c r="N101" s="114"/>
      <c r="O101" s="114"/>
      <c r="P101" s="114"/>
      <c r="Q101" s="114"/>
      <c r="R101" s="114"/>
    </row>
    <row r="102" spans="2:18" x14ac:dyDescent="0.35">
      <c r="B102" s="28">
        <v>100</v>
      </c>
      <c r="C102" s="131"/>
      <c r="D102" s="131"/>
      <c r="E102" s="131"/>
      <c r="F102" s="104"/>
      <c r="G102" s="131"/>
      <c r="H102" s="131"/>
      <c r="I102" s="131"/>
      <c r="J102" s="131"/>
      <c r="K102" s="131"/>
      <c r="L102" s="131"/>
      <c r="M102" s="114"/>
      <c r="N102" s="114"/>
      <c r="O102" s="114"/>
      <c r="P102" s="114"/>
      <c r="Q102" s="114"/>
      <c r="R102" s="114"/>
    </row>
    <row r="103" spans="2:18" x14ac:dyDescent="0.35">
      <c r="B103" s="28">
        <v>101</v>
      </c>
      <c r="C103" s="131"/>
      <c r="D103" s="131"/>
      <c r="E103" s="131"/>
      <c r="F103" s="104"/>
      <c r="G103" s="131"/>
      <c r="H103" s="131"/>
      <c r="I103" s="131"/>
      <c r="J103" s="131"/>
      <c r="K103" s="131"/>
      <c r="L103" s="131"/>
      <c r="M103" s="114"/>
      <c r="N103" s="114"/>
      <c r="O103" s="114"/>
      <c r="P103" s="114"/>
      <c r="Q103" s="114"/>
      <c r="R103" s="114"/>
    </row>
    <row r="104" spans="2:18" x14ac:dyDescent="0.35">
      <c r="B104" s="28">
        <v>102</v>
      </c>
      <c r="C104" s="131"/>
      <c r="D104" s="131"/>
      <c r="E104" s="131"/>
      <c r="F104" s="104"/>
      <c r="G104" s="131"/>
      <c r="H104" s="131"/>
      <c r="I104" s="131"/>
      <c r="J104" s="131"/>
      <c r="K104" s="131"/>
      <c r="L104" s="131"/>
      <c r="M104" s="114"/>
      <c r="N104" s="114"/>
      <c r="O104" s="114"/>
      <c r="P104" s="114"/>
      <c r="Q104" s="114"/>
      <c r="R104" s="114"/>
    </row>
    <row r="105" spans="2:18" x14ac:dyDescent="0.35">
      <c r="B105" s="28">
        <v>103</v>
      </c>
      <c r="C105" s="131"/>
      <c r="D105" s="131"/>
      <c r="E105" s="131"/>
      <c r="F105" s="104"/>
      <c r="G105" s="131"/>
      <c r="H105" s="131"/>
      <c r="I105" s="131"/>
      <c r="J105" s="131"/>
      <c r="K105" s="131"/>
      <c r="L105" s="131"/>
      <c r="M105" s="114"/>
      <c r="N105" s="114"/>
      <c r="O105" s="114"/>
      <c r="P105" s="114"/>
      <c r="Q105" s="114"/>
      <c r="R105" s="114"/>
    </row>
    <row r="106" spans="2:18" x14ac:dyDescent="0.35">
      <c r="B106" s="28">
        <v>104</v>
      </c>
      <c r="C106" s="131"/>
      <c r="D106" s="131"/>
      <c r="E106" s="131"/>
      <c r="F106" s="104"/>
      <c r="G106" s="131"/>
      <c r="H106" s="131"/>
      <c r="I106" s="131"/>
      <c r="J106" s="131"/>
      <c r="K106" s="131"/>
      <c r="L106" s="131"/>
      <c r="M106" s="114"/>
      <c r="N106" s="114"/>
      <c r="O106" s="114"/>
      <c r="P106" s="114"/>
      <c r="Q106" s="114"/>
      <c r="R106" s="114"/>
    </row>
    <row r="107" spans="2:18" x14ac:dyDescent="0.35">
      <c r="B107" s="28">
        <v>105</v>
      </c>
      <c r="C107" s="131"/>
      <c r="D107" s="131"/>
      <c r="E107" s="131"/>
      <c r="F107" s="104"/>
      <c r="G107" s="131"/>
      <c r="H107" s="131"/>
      <c r="I107" s="131"/>
      <c r="J107" s="131"/>
      <c r="K107" s="131"/>
      <c r="L107" s="131"/>
      <c r="M107" s="114"/>
      <c r="N107" s="114"/>
      <c r="O107" s="114"/>
      <c r="P107" s="114"/>
      <c r="Q107" s="114"/>
      <c r="R107" s="114"/>
    </row>
    <row r="108" spans="2:18" x14ac:dyDescent="0.35">
      <c r="B108" s="28">
        <v>106</v>
      </c>
      <c r="C108" s="131"/>
      <c r="D108" s="131"/>
      <c r="E108" s="131"/>
      <c r="F108" s="104"/>
      <c r="G108" s="131"/>
      <c r="H108" s="131"/>
      <c r="I108" s="131"/>
      <c r="J108" s="131"/>
      <c r="K108" s="131"/>
      <c r="L108" s="131"/>
      <c r="M108" s="114"/>
      <c r="N108" s="114"/>
      <c r="O108" s="114"/>
      <c r="P108" s="114"/>
      <c r="Q108" s="114"/>
      <c r="R108" s="114"/>
    </row>
    <row r="109" spans="2:18" x14ac:dyDescent="0.35">
      <c r="B109" s="28">
        <v>107</v>
      </c>
      <c r="C109" s="131"/>
      <c r="D109" s="131"/>
      <c r="E109" s="131"/>
      <c r="F109" s="104"/>
      <c r="G109" s="131"/>
      <c r="H109" s="131"/>
      <c r="I109" s="131"/>
      <c r="J109" s="131"/>
      <c r="K109" s="131"/>
      <c r="L109" s="131"/>
      <c r="M109" s="114"/>
      <c r="N109" s="114"/>
      <c r="O109" s="114"/>
      <c r="P109" s="114"/>
      <c r="Q109" s="114"/>
      <c r="R109" s="114"/>
    </row>
    <row r="110" spans="2:18" x14ac:dyDescent="0.35">
      <c r="B110" s="28">
        <v>108</v>
      </c>
      <c r="C110" s="131"/>
      <c r="D110" s="131"/>
      <c r="E110" s="131"/>
      <c r="F110" s="104"/>
      <c r="G110" s="131"/>
      <c r="H110" s="131"/>
      <c r="I110" s="131"/>
      <c r="J110" s="131"/>
      <c r="K110" s="131"/>
      <c r="L110" s="131"/>
      <c r="M110" s="114"/>
      <c r="N110" s="114"/>
      <c r="O110" s="114"/>
      <c r="P110" s="114"/>
      <c r="Q110" s="114"/>
      <c r="R110" s="114"/>
    </row>
    <row r="111" spans="2:18" x14ac:dyDescent="0.35">
      <c r="B111" s="28">
        <v>109</v>
      </c>
      <c r="C111" s="131"/>
      <c r="D111" s="131"/>
      <c r="E111" s="131"/>
      <c r="F111" s="104"/>
      <c r="G111" s="131"/>
      <c r="H111" s="131"/>
      <c r="I111" s="131"/>
      <c r="J111" s="131"/>
      <c r="K111" s="131"/>
      <c r="L111" s="131"/>
      <c r="M111" s="114"/>
      <c r="N111" s="114"/>
      <c r="O111" s="114"/>
      <c r="P111" s="114"/>
      <c r="Q111" s="114"/>
      <c r="R111" s="114"/>
    </row>
    <row r="112" spans="2:18" x14ac:dyDescent="0.35">
      <c r="B112" s="28">
        <v>110</v>
      </c>
      <c r="C112" s="131"/>
      <c r="D112" s="131"/>
      <c r="E112" s="131"/>
      <c r="F112" s="104"/>
      <c r="G112" s="131"/>
      <c r="H112" s="131"/>
      <c r="I112" s="131"/>
      <c r="J112" s="131"/>
      <c r="K112" s="131"/>
      <c r="L112" s="131"/>
      <c r="M112" s="114"/>
      <c r="N112" s="114"/>
      <c r="O112" s="114"/>
      <c r="P112" s="114"/>
      <c r="Q112" s="114"/>
      <c r="R112" s="114"/>
    </row>
    <row r="113" spans="2:18" x14ac:dyDescent="0.35">
      <c r="B113" s="28">
        <v>111</v>
      </c>
      <c r="C113" s="131"/>
      <c r="D113" s="131"/>
      <c r="E113" s="131"/>
      <c r="F113" s="104"/>
      <c r="G113" s="131"/>
      <c r="H113" s="131"/>
      <c r="I113" s="131"/>
      <c r="J113" s="131"/>
      <c r="K113" s="131"/>
      <c r="L113" s="131"/>
      <c r="M113" s="114"/>
      <c r="N113" s="114"/>
      <c r="O113" s="114"/>
      <c r="P113" s="114"/>
      <c r="Q113" s="114"/>
      <c r="R113" s="114"/>
    </row>
    <row r="114" spans="2:18" x14ac:dyDescent="0.35">
      <c r="B114" s="28">
        <v>112</v>
      </c>
      <c r="C114" s="131"/>
      <c r="D114" s="131"/>
      <c r="E114" s="131"/>
      <c r="F114" s="104"/>
      <c r="G114" s="131"/>
      <c r="H114" s="131"/>
      <c r="I114" s="131"/>
      <c r="J114" s="131"/>
      <c r="K114" s="131"/>
      <c r="L114" s="131"/>
      <c r="M114" s="114"/>
      <c r="N114" s="114"/>
      <c r="O114" s="114"/>
      <c r="P114" s="114"/>
      <c r="Q114" s="114"/>
      <c r="R114" s="114"/>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8DC58-F09B-41E0-84AA-CDB45DF86AC4}">
  <dimension ref="B1:N9"/>
  <sheetViews>
    <sheetView topLeftCell="A5" workbookViewId="0">
      <selection activeCell="R5" sqref="R5"/>
    </sheetView>
  </sheetViews>
  <sheetFormatPr defaultRowHeight="15" x14ac:dyDescent="0.25"/>
  <cols>
    <col min="8" max="8" width="24.42578125" customWidth="1"/>
  </cols>
  <sheetData>
    <row r="1" spans="2:14" ht="15.75" thickBot="1" x14ac:dyDescent="0.3"/>
    <row r="2" spans="2:14" ht="31.5" customHeight="1" thickTop="1" thickBot="1" x14ac:dyDescent="0.3">
      <c r="B2" s="297" t="s">
        <v>41</v>
      </c>
      <c r="C2" s="291" t="s">
        <v>65</v>
      </c>
      <c r="D2" s="291" t="s">
        <v>66</v>
      </c>
      <c r="E2" s="288" t="s">
        <v>67</v>
      </c>
      <c r="F2" s="289"/>
      <c r="G2" s="290"/>
      <c r="H2" s="291" t="s">
        <v>3</v>
      </c>
      <c r="I2" s="278" t="s">
        <v>8</v>
      </c>
      <c r="J2" s="293"/>
      <c r="K2" s="278" t="s">
        <v>9</v>
      </c>
      <c r="L2" s="293"/>
      <c r="M2" s="278" t="s">
        <v>10</v>
      </c>
      <c r="N2" s="279"/>
    </row>
    <row r="3" spans="2:14" ht="15" customHeight="1" x14ac:dyDescent="0.25">
      <c r="B3" s="298"/>
      <c r="C3" s="292"/>
      <c r="D3" s="292"/>
      <c r="E3" s="14"/>
      <c r="F3" s="280" t="s">
        <v>69</v>
      </c>
      <c r="G3" s="282" t="s">
        <v>70</v>
      </c>
      <c r="H3" s="292"/>
      <c r="I3" s="284" t="s">
        <v>11</v>
      </c>
      <c r="J3" s="284" t="s">
        <v>12</v>
      </c>
      <c r="K3" s="284" t="s">
        <v>11</v>
      </c>
      <c r="L3" s="284" t="s">
        <v>12</v>
      </c>
      <c r="M3" s="284" t="s">
        <v>11</v>
      </c>
      <c r="N3" s="286" t="s">
        <v>12</v>
      </c>
    </row>
    <row r="4" spans="2:14" ht="16.5" thickBot="1" x14ac:dyDescent="0.3">
      <c r="B4" s="299"/>
      <c r="C4" s="285"/>
      <c r="D4" s="285"/>
      <c r="E4" s="15" t="s">
        <v>68</v>
      </c>
      <c r="F4" s="281"/>
      <c r="G4" s="283"/>
      <c r="H4" s="285"/>
      <c r="I4" s="285"/>
      <c r="J4" s="285"/>
      <c r="K4" s="285"/>
      <c r="L4" s="285"/>
      <c r="M4" s="285"/>
      <c r="N4" s="287"/>
    </row>
    <row r="5" spans="2:14" ht="95.25" thickBot="1" x14ac:dyDescent="0.3">
      <c r="B5" s="1">
        <v>1</v>
      </c>
      <c r="C5" s="284" t="s">
        <v>57</v>
      </c>
      <c r="D5" s="10">
        <v>45383</v>
      </c>
      <c r="E5" s="16">
        <v>1</v>
      </c>
      <c r="F5" s="16" t="s">
        <v>14</v>
      </c>
      <c r="G5" s="17" t="s">
        <v>14</v>
      </c>
      <c r="H5" s="6" t="s">
        <v>71</v>
      </c>
      <c r="I5" s="4" t="s">
        <v>61</v>
      </c>
      <c r="J5" s="4" t="s">
        <v>61</v>
      </c>
      <c r="K5" s="4" t="s">
        <v>61</v>
      </c>
      <c r="L5" s="4" t="s">
        <v>61</v>
      </c>
      <c r="M5" s="4" t="s">
        <v>61</v>
      </c>
      <c r="N5" s="18" t="s">
        <v>61</v>
      </c>
    </row>
    <row r="6" spans="2:14" ht="126.75" thickBot="1" x14ac:dyDescent="0.3">
      <c r="B6" s="1">
        <v>2</v>
      </c>
      <c r="C6" s="292"/>
      <c r="D6" s="10">
        <v>45406</v>
      </c>
      <c r="E6" s="16" t="s">
        <v>14</v>
      </c>
      <c r="F6" s="16">
        <v>1</v>
      </c>
      <c r="G6" s="17" t="s">
        <v>14</v>
      </c>
      <c r="H6" s="6" t="s">
        <v>72</v>
      </c>
      <c r="I6" s="4" t="s">
        <v>61</v>
      </c>
      <c r="J6" s="4" t="s">
        <v>61</v>
      </c>
      <c r="K6" s="4" t="s">
        <v>61</v>
      </c>
      <c r="L6" s="4" t="s">
        <v>61</v>
      </c>
      <c r="M6" s="4" t="s">
        <v>61</v>
      </c>
      <c r="N6" s="18" t="s">
        <v>61</v>
      </c>
    </row>
    <row r="7" spans="2:14" ht="158.25" thickBot="1" x14ac:dyDescent="0.3">
      <c r="B7" s="1">
        <v>3</v>
      </c>
      <c r="C7" s="285"/>
      <c r="D7" s="10">
        <v>45409</v>
      </c>
      <c r="E7" s="16" t="s">
        <v>14</v>
      </c>
      <c r="F7" s="16">
        <v>1</v>
      </c>
      <c r="G7" s="17" t="s">
        <v>14</v>
      </c>
      <c r="H7" s="6" t="s">
        <v>73</v>
      </c>
      <c r="I7" s="4" t="s">
        <v>61</v>
      </c>
      <c r="J7" s="4" t="s">
        <v>61</v>
      </c>
      <c r="K7" s="4" t="s">
        <v>61</v>
      </c>
      <c r="L7" s="4" t="s">
        <v>61</v>
      </c>
      <c r="M7" s="4" t="s">
        <v>61</v>
      </c>
      <c r="N7" s="18" t="s">
        <v>61</v>
      </c>
    </row>
    <row r="8" spans="2:14" ht="18.75" thickBot="1" x14ac:dyDescent="0.3">
      <c r="B8" s="294" t="s">
        <v>74</v>
      </c>
      <c r="C8" s="295"/>
      <c r="D8" s="295"/>
      <c r="E8" s="295"/>
      <c r="F8" s="295"/>
      <c r="G8" s="295"/>
      <c r="H8" s="296"/>
      <c r="I8" s="19" t="s">
        <v>75</v>
      </c>
      <c r="J8" s="19" t="s">
        <v>75</v>
      </c>
      <c r="K8" s="19" t="s">
        <v>75</v>
      </c>
      <c r="L8" s="19" t="s">
        <v>75</v>
      </c>
      <c r="M8" s="19" t="s">
        <v>75</v>
      </c>
      <c r="N8" s="20" t="s">
        <v>75</v>
      </c>
    </row>
    <row r="9" spans="2:14" ht="15.75" thickTop="1" x14ac:dyDescent="0.25"/>
  </sheetData>
  <mergeCells count="18">
    <mergeCell ref="C5:C7"/>
    <mergeCell ref="B8:H8"/>
    <mergeCell ref="K2:L2"/>
    <mergeCell ref="B2:B4"/>
    <mergeCell ref="C2:C4"/>
    <mergeCell ref="D2:D4"/>
    <mergeCell ref="M2:N2"/>
    <mergeCell ref="F3:F4"/>
    <mergeCell ref="G3:G4"/>
    <mergeCell ref="I3:I4"/>
    <mergeCell ref="J3:J4"/>
    <mergeCell ref="K3:K4"/>
    <mergeCell ref="L3:L4"/>
    <mergeCell ref="M3:M4"/>
    <mergeCell ref="N3:N4"/>
    <mergeCell ref="E2:G2"/>
    <mergeCell ref="H2:H4"/>
    <mergeCell ref="I2:J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6D802-2105-4417-8129-B7AA4A69A40F}">
  <dimension ref="B2:O13"/>
  <sheetViews>
    <sheetView topLeftCell="A7" workbookViewId="0">
      <selection activeCell="P7" sqref="P7"/>
    </sheetView>
  </sheetViews>
  <sheetFormatPr defaultRowHeight="15" x14ac:dyDescent="0.25"/>
  <sheetData>
    <row r="2" spans="2:15" ht="15.75" thickBot="1" x14ac:dyDescent="0.3"/>
    <row r="3" spans="2:15" ht="20.25" thickTop="1" thickBot="1" x14ac:dyDescent="0.3">
      <c r="B3" s="297" t="s">
        <v>41</v>
      </c>
      <c r="C3" s="291" t="s">
        <v>0</v>
      </c>
      <c r="D3" s="291" t="s">
        <v>42</v>
      </c>
      <c r="E3" s="291" t="s">
        <v>1</v>
      </c>
      <c r="F3" s="291" t="s">
        <v>2</v>
      </c>
      <c r="G3" s="291" t="s">
        <v>5</v>
      </c>
      <c r="H3" s="291" t="s">
        <v>6</v>
      </c>
      <c r="I3" s="291" t="s">
        <v>7</v>
      </c>
      <c r="J3" s="305" t="s">
        <v>8</v>
      </c>
      <c r="K3" s="306"/>
      <c r="L3" s="305" t="s">
        <v>9</v>
      </c>
      <c r="M3" s="306"/>
      <c r="N3" s="305" t="s">
        <v>10</v>
      </c>
      <c r="O3" s="307"/>
    </row>
    <row r="4" spans="2:15" ht="19.5" thickBot="1" x14ac:dyDescent="0.3">
      <c r="B4" s="299"/>
      <c r="C4" s="285"/>
      <c r="D4" s="285"/>
      <c r="E4" s="285"/>
      <c r="F4" s="285"/>
      <c r="G4" s="285"/>
      <c r="H4" s="285"/>
      <c r="I4" s="285"/>
      <c r="J4" s="7" t="s">
        <v>11</v>
      </c>
      <c r="K4" s="7" t="s">
        <v>12</v>
      </c>
      <c r="L4" s="7" t="s">
        <v>11</v>
      </c>
      <c r="M4" s="7" t="s">
        <v>12</v>
      </c>
      <c r="N4" s="7" t="s">
        <v>11</v>
      </c>
      <c r="O4" s="8" t="s">
        <v>12</v>
      </c>
    </row>
    <row r="5" spans="2:15" ht="16.5" thickBot="1" x14ac:dyDescent="0.3">
      <c r="B5" s="1" t="s">
        <v>43</v>
      </c>
      <c r="C5" s="2" t="s">
        <v>44</v>
      </c>
      <c r="D5" s="2" t="s">
        <v>45</v>
      </c>
      <c r="E5" s="2" t="s">
        <v>46</v>
      </c>
      <c r="F5" s="2" t="s">
        <v>47</v>
      </c>
      <c r="G5" s="2" t="s">
        <v>48</v>
      </c>
      <c r="H5" s="2" t="s">
        <v>49</v>
      </c>
      <c r="I5" s="2" t="s">
        <v>50</v>
      </c>
      <c r="J5" s="2" t="s">
        <v>51</v>
      </c>
      <c r="K5" s="2" t="s">
        <v>52</v>
      </c>
      <c r="L5" s="2" t="s">
        <v>53</v>
      </c>
      <c r="M5" s="2" t="s">
        <v>54</v>
      </c>
      <c r="N5" s="2" t="s">
        <v>55</v>
      </c>
      <c r="O5" s="9" t="s">
        <v>56</v>
      </c>
    </row>
    <row r="6" spans="2:15" ht="221.25" thickBot="1" x14ac:dyDescent="0.3">
      <c r="B6" s="1">
        <v>1</v>
      </c>
      <c r="C6" s="284" t="s">
        <v>13</v>
      </c>
      <c r="D6" s="303" t="s">
        <v>57</v>
      </c>
      <c r="E6" s="10">
        <v>45386</v>
      </c>
      <c r="F6" s="4" t="s">
        <v>58</v>
      </c>
      <c r="G6" s="4" t="s">
        <v>59</v>
      </c>
      <c r="H6" s="4" t="s">
        <v>24</v>
      </c>
      <c r="I6" s="4" t="s">
        <v>60</v>
      </c>
      <c r="J6" s="3" t="s">
        <v>61</v>
      </c>
      <c r="K6" s="3" t="s">
        <v>61</v>
      </c>
      <c r="L6" s="3" t="s">
        <v>61</v>
      </c>
      <c r="M6" s="3" t="s">
        <v>61</v>
      </c>
      <c r="N6" s="3" t="s">
        <v>61</v>
      </c>
      <c r="O6" s="5" t="s">
        <v>61</v>
      </c>
    </row>
    <row r="7" spans="2:15" ht="363" thickBot="1" x14ac:dyDescent="0.3">
      <c r="B7" s="1">
        <v>2</v>
      </c>
      <c r="C7" s="292"/>
      <c r="D7" s="304"/>
      <c r="E7" s="10">
        <v>45394</v>
      </c>
      <c r="F7" s="4" t="s">
        <v>62</v>
      </c>
      <c r="G7" s="4" t="s">
        <v>63</v>
      </c>
      <c r="H7" s="4" t="s">
        <v>22</v>
      </c>
      <c r="I7" s="4" t="s">
        <v>26</v>
      </c>
      <c r="J7" s="3" t="s">
        <v>61</v>
      </c>
      <c r="K7" s="3" t="s">
        <v>61</v>
      </c>
      <c r="L7" s="3" t="s">
        <v>61</v>
      </c>
      <c r="M7" s="3" t="s">
        <v>61</v>
      </c>
      <c r="N7" s="3" t="s">
        <v>61</v>
      </c>
      <c r="O7" s="5" t="s">
        <v>61</v>
      </c>
    </row>
    <row r="8" spans="2:15" ht="16.5" thickBot="1" x14ac:dyDescent="0.3">
      <c r="B8" s="1">
        <v>3</v>
      </c>
      <c r="C8" s="292"/>
      <c r="D8" s="4" t="s">
        <v>21</v>
      </c>
      <c r="E8" s="3" t="s">
        <v>61</v>
      </c>
      <c r="F8" s="3" t="s">
        <v>61</v>
      </c>
      <c r="G8" s="3" t="s">
        <v>61</v>
      </c>
      <c r="H8" s="3" t="s">
        <v>61</v>
      </c>
      <c r="I8" s="3" t="s">
        <v>61</v>
      </c>
      <c r="J8" s="3" t="s">
        <v>61</v>
      </c>
      <c r="K8" s="3" t="s">
        <v>61</v>
      </c>
      <c r="L8" s="3" t="s">
        <v>61</v>
      </c>
      <c r="M8" s="3" t="s">
        <v>61</v>
      </c>
      <c r="N8" s="3" t="s">
        <v>61</v>
      </c>
      <c r="O8" s="5" t="s">
        <v>61</v>
      </c>
    </row>
    <row r="9" spans="2:15" ht="16.5" thickBot="1" x14ac:dyDescent="0.3">
      <c r="B9" s="1">
        <v>4</v>
      </c>
      <c r="C9" s="292"/>
      <c r="D9" s="3" t="s">
        <v>27</v>
      </c>
      <c r="E9" s="3" t="s">
        <v>61</v>
      </c>
      <c r="F9" s="3" t="s">
        <v>61</v>
      </c>
      <c r="G9" s="3" t="s">
        <v>61</v>
      </c>
      <c r="H9" s="3" t="s">
        <v>61</v>
      </c>
      <c r="I9" s="3" t="s">
        <v>61</v>
      </c>
      <c r="J9" s="3" t="s">
        <v>61</v>
      </c>
      <c r="K9" s="3" t="s">
        <v>61</v>
      </c>
      <c r="L9" s="3" t="s">
        <v>61</v>
      </c>
      <c r="M9" s="3" t="s">
        <v>61</v>
      </c>
      <c r="N9" s="3" t="s">
        <v>61</v>
      </c>
      <c r="O9" s="5" t="s">
        <v>61</v>
      </c>
    </row>
    <row r="10" spans="2:15" ht="16.5" thickBot="1" x14ac:dyDescent="0.3">
      <c r="B10" s="1">
        <v>5</v>
      </c>
      <c r="C10" s="292"/>
      <c r="D10" s="3" t="s">
        <v>29</v>
      </c>
      <c r="E10" s="3" t="s">
        <v>61</v>
      </c>
      <c r="F10" s="3" t="s">
        <v>61</v>
      </c>
      <c r="G10" s="3" t="s">
        <v>61</v>
      </c>
      <c r="H10" s="3" t="s">
        <v>61</v>
      </c>
      <c r="I10" s="3" t="s">
        <v>61</v>
      </c>
      <c r="J10" s="3" t="s">
        <v>61</v>
      </c>
      <c r="K10" s="3" t="s">
        <v>61</v>
      </c>
      <c r="L10" s="3" t="s">
        <v>61</v>
      </c>
      <c r="M10" s="3" t="s">
        <v>61</v>
      </c>
      <c r="N10" s="3" t="s">
        <v>61</v>
      </c>
      <c r="O10" s="5" t="s">
        <v>61</v>
      </c>
    </row>
    <row r="11" spans="2:15" ht="16.5" thickBot="1" x14ac:dyDescent="0.3">
      <c r="B11" s="1">
        <v>6</v>
      </c>
      <c r="C11" s="285"/>
      <c r="D11" s="3" t="s">
        <v>36</v>
      </c>
      <c r="E11" s="3" t="s">
        <v>61</v>
      </c>
      <c r="F11" s="3" t="s">
        <v>61</v>
      </c>
      <c r="G11" s="3" t="s">
        <v>61</v>
      </c>
      <c r="H11" s="3" t="s">
        <v>61</v>
      </c>
      <c r="I11" s="3" t="s">
        <v>61</v>
      </c>
      <c r="J11" s="3" t="s">
        <v>61</v>
      </c>
      <c r="K11" s="3" t="s">
        <v>61</v>
      </c>
      <c r="L11" s="3" t="s">
        <v>61</v>
      </c>
      <c r="M11" s="3" t="s">
        <v>61</v>
      </c>
      <c r="N11" s="3" t="s">
        <v>61</v>
      </c>
      <c r="O11" s="5" t="s">
        <v>61</v>
      </c>
    </row>
    <row r="12" spans="2:15" ht="30.75" thickBot="1" x14ac:dyDescent="0.3">
      <c r="B12" s="300" t="s">
        <v>19</v>
      </c>
      <c r="C12" s="301"/>
      <c r="D12" s="301"/>
      <c r="E12" s="301"/>
      <c r="F12" s="301"/>
      <c r="G12" s="302"/>
      <c r="H12" s="11" t="s">
        <v>18</v>
      </c>
      <c r="I12" s="11" t="s">
        <v>64</v>
      </c>
      <c r="J12" s="12" t="s">
        <v>61</v>
      </c>
      <c r="K12" s="12" t="s">
        <v>61</v>
      </c>
      <c r="L12" s="12" t="s">
        <v>61</v>
      </c>
      <c r="M12" s="12" t="s">
        <v>61</v>
      </c>
      <c r="N12" s="12" t="s">
        <v>61</v>
      </c>
      <c r="O12" s="13" t="s">
        <v>61</v>
      </c>
    </row>
    <row r="13" spans="2:15" ht="15.75" thickTop="1" x14ac:dyDescent="0.25"/>
  </sheetData>
  <mergeCells count="14">
    <mergeCell ref="H3:H4"/>
    <mergeCell ref="I3:I4"/>
    <mergeCell ref="J3:K3"/>
    <mergeCell ref="L3:M3"/>
    <mergeCell ref="N3:O3"/>
    <mergeCell ref="D3:D4"/>
    <mergeCell ref="E3:E4"/>
    <mergeCell ref="F3:F4"/>
    <mergeCell ref="G3:G4"/>
    <mergeCell ref="B12:G12"/>
    <mergeCell ref="C6:C11"/>
    <mergeCell ref="D6:D7"/>
    <mergeCell ref="B3:B4"/>
    <mergeCell ref="C3:C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4F29E-D11B-48EE-9427-B857AB34A925}">
  <dimension ref="B2:Q750"/>
  <sheetViews>
    <sheetView topLeftCell="A714" workbookViewId="0">
      <selection activeCell="I744" sqref="I744"/>
    </sheetView>
  </sheetViews>
  <sheetFormatPr defaultRowHeight="15" x14ac:dyDescent="0.25"/>
  <cols>
    <col min="5" max="5" width="11.28515625" bestFit="1" customWidth="1"/>
  </cols>
  <sheetData>
    <row r="2" spans="2:17" ht="17.25" thickBot="1" x14ac:dyDescent="0.3">
      <c r="B2" s="32" t="s">
        <v>588</v>
      </c>
    </row>
    <row r="3" spans="2:17" ht="117" customHeight="1" thickBot="1" x14ac:dyDescent="0.3">
      <c r="B3" s="86" t="s">
        <v>589</v>
      </c>
      <c r="C3" s="86" t="s">
        <v>0</v>
      </c>
      <c r="D3" s="86" t="s">
        <v>590</v>
      </c>
      <c r="E3" s="86" t="s">
        <v>591</v>
      </c>
      <c r="F3" s="86" t="s">
        <v>592</v>
      </c>
      <c r="G3" s="86" t="s">
        <v>593</v>
      </c>
      <c r="H3" s="86" t="s">
        <v>4</v>
      </c>
      <c r="I3" s="86" t="s">
        <v>594</v>
      </c>
      <c r="J3" s="86" t="s">
        <v>595</v>
      </c>
      <c r="K3" s="86" t="s">
        <v>596</v>
      </c>
      <c r="L3" s="97" t="s">
        <v>8</v>
      </c>
      <c r="M3" s="85"/>
      <c r="N3" s="84" t="s">
        <v>9</v>
      </c>
      <c r="O3" s="85"/>
      <c r="P3" s="84" t="s">
        <v>10</v>
      </c>
      <c r="Q3" s="85"/>
    </row>
    <row r="4" spans="2:17" ht="15.75" thickBot="1" x14ac:dyDescent="0.3">
      <c r="B4" s="58"/>
      <c r="C4" s="58"/>
      <c r="D4" s="58"/>
      <c r="E4" s="58"/>
      <c r="F4" s="58"/>
      <c r="G4" s="58"/>
      <c r="H4" s="58"/>
      <c r="I4" s="58"/>
      <c r="J4" s="58"/>
      <c r="K4" s="58"/>
      <c r="L4" s="33" t="s">
        <v>11</v>
      </c>
      <c r="M4" s="33" t="s">
        <v>597</v>
      </c>
      <c r="N4" s="33" t="s">
        <v>11</v>
      </c>
      <c r="O4" s="33" t="s">
        <v>597</v>
      </c>
      <c r="P4" s="33" t="s">
        <v>11</v>
      </c>
      <c r="Q4" s="34" t="s">
        <v>597</v>
      </c>
    </row>
    <row r="5" spans="2:17" ht="15.75" thickBot="1" x14ac:dyDescent="0.3">
      <c r="B5" s="35">
        <v>1</v>
      </c>
      <c r="C5" s="34">
        <v>2</v>
      </c>
      <c r="D5" s="34">
        <v>3</v>
      </c>
      <c r="E5" s="34">
        <v>4</v>
      </c>
      <c r="F5" s="34">
        <v>5</v>
      </c>
      <c r="G5" s="34">
        <v>6</v>
      </c>
      <c r="H5" s="34">
        <v>7</v>
      </c>
      <c r="I5" s="34">
        <v>8</v>
      </c>
      <c r="J5" s="34">
        <v>9</v>
      </c>
      <c r="K5" s="34">
        <v>10</v>
      </c>
      <c r="L5" s="34">
        <v>11</v>
      </c>
      <c r="M5" s="34">
        <v>12</v>
      </c>
      <c r="N5" s="33">
        <v>13</v>
      </c>
      <c r="O5" s="33">
        <v>14</v>
      </c>
      <c r="P5" s="33">
        <v>15</v>
      </c>
      <c r="Q5" s="34">
        <v>16</v>
      </c>
    </row>
    <row r="6" spans="2:17" ht="39" thickBot="1" x14ac:dyDescent="0.3">
      <c r="B6" s="35">
        <v>1</v>
      </c>
      <c r="C6" s="34" t="s">
        <v>598</v>
      </c>
      <c r="D6" s="34" t="s">
        <v>598</v>
      </c>
      <c r="E6" s="34" t="s">
        <v>599</v>
      </c>
      <c r="F6" s="34" t="s">
        <v>279</v>
      </c>
      <c r="G6" s="36" t="s">
        <v>600</v>
      </c>
      <c r="H6" s="34" t="s">
        <v>601</v>
      </c>
      <c r="I6" s="34" t="s">
        <v>602</v>
      </c>
      <c r="J6" s="37" t="s">
        <v>14</v>
      </c>
      <c r="K6" s="37" t="s">
        <v>14</v>
      </c>
      <c r="L6" s="38" t="s">
        <v>14</v>
      </c>
      <c r="M6" s="38" t="s">
        <v>14</v>
      </c>
      <c r="N6" s="39" t="s">
        <v>14</v>
      </c>
      <c r="O6" s="39" t="s">
        <v>14</v>
      </c>
      <c r="P6" s="39" t="s">
        <v>14</v>
      </c>
      <c r="Q6" s="38" t="s">
        <v>14</v>
      </c>
    </row>
    <row r="7" spans="2:17" ht="26.25" thickBot="1" x14ac:dyDescent="0.3">
      <c r="B7" s="35">
        <v>2</v>
      </c>
      <c r="C7" s="34" t="s">
        <v>598</v>
      </c>
      <c r="D7" s="34" t="s">
        <v>598</v>
      </c>
      <c r="E7" s="40">
        <v>45292</v>
      </c>
      <c r="F7" s="34" t="s">
        <v>603</v>
      </c>
      <c r="G7" s="36" t="s">
        <v>604</v>
      </c>
      <c r="H7" s="34" t="s">
        <v>602</v>
      </c>
      <c r="I7" s="34" t="s">
        <v>605</v>
      </c>
      <c r="J7" s="37" t="s">
        <v>14</v>
      </c>
      <c r="K7" s="37" t="s">
        <v>14</v>
      </c>
      <c r="L7" s="38" t="s">
        <v>14</v>
      </c>
      <c r="M7" s="38" t="s">
        <v>14</v>
      </c>
      <c r="N7" s="39" t="s">
        <v>14</v>
      </c>
      <c r="O7" s="39" t="s">
        <v>14</v>
      </c>
      <c r="P7" s="39" t="s">
        <v>14</v>
      </c>
      <c r="Q7" s="38" t="s">
        <v>14</v>
      </c>
    </row>
    <row r="8" spans="2:17" ht="39" thickBot="1" x14ac:dyDescent="0.3">
      <c r="B8" s="35">
        <v>3</v>
      </c>
      <c r="C8" s="34" t="s">
        <v>598</v>
      </c>
      <c r="D8" s="34" t="s">
        <v>598</v>
      </c>
      <c r="E8" s="40">
        <v>45292</v>
      </c>
      <c r="F8" s="34" t="s">
        <v>606</v>
      </c>
      <c r="G8" s="34" t="s">
        <v>607</v>
      </c>
      <c r="H8" s="34" t="s">
        <v>25</v>
      </c>
      <c r="I8" s="34" t="s">
        <v>608</v>
      </c>
      <c r="J8" s="37">
        <v>180000</v>
      </c>
      <c r="K8" s="37">
        <v>20000</v>
      </c>
      <c r="L8" s="38" t="s">
        <v>14</v>
      </c>
      <c r="M8" s="38" t="s">
        <v>14</v>
      </c>
      <c r="N8" s="39" t="s">
        <v>14</v>
      </c>
      <c r="O8" s="39" t="s">
        <v>14</v>
      </c>
      <c r="P8" s="39" t="s">
        <v>14</v>
      </c>
      <c r="Q8" s="38" t="s">
        <v>14</v>
      </c>
    </row>
    <row r="9" spans="2:17" ht="51.75" thickBot="1" x14ac:dyDescent="0.3">
      <c r="B9" s="35">
        <v>4</v>
      </c>
      <c r="C9" s="34" t="s">
        <v>598</v>
      </c>
      <c r="D9" s="34" t="s">
        <v>598</v>
      </c>
      <c r="E9" s="40">
        <v>45293</v>
      </c>
      <c r="F9" s="34" t="s">
        <v>196</v>
      </c>
      <c r="G9" s="34" t="s">
        <v>609</v>
      </c>
      <c r="H9" s="34" t="s">
        <v>610</v>
      </c>
      <c r="I9" s="34" t="s">
        <v>611</v>
      </c>
      <c r="J9" s="41">
        <v>500000</v>
      </c>
      <c r="K9" s="37">
        <v>500000</v>
      </c>
      <c r="L9" s="38" t="s">
        <v>14</v>
      </c>
      <c r="M9" s="38" t="s">
        <v>14</v>
      </c>
      <c r="N9" s="39" t="s">
        <v>14</v>
      </c>
      <c r="O9" s="39" t="s">
        <v>14</v>
      </c>
      <c r="P9" s="39" t="s">
        <v>14</v>
      </c>
      <c r="Q9" s="38" t="s">
        <v>14</v>
      </c>
    </row>
    <row r="10" spans="2:17" ht="51.75" thickBot="1" x14ac:dyDescent="0.3">
      <c r="B10" s="35">
        <v>5</v>
      </c>
      <c r="C10" s="34" t="s">
        <v>598</v>
      </c>
      <c r="D10" s="34" t="s">
        <v>598</v>
      </c>
      <c r="E10" s="34" t="s">
        <v>612</v>
      </c>
      <c r="F10" s="34" t="s">
        <v>613</v>
      </c>
      <c r="G10" s="34" t="s">
        <v>614</v>
      </c>
      <c r="H10" s="34" t="s">
        <v>615</v>
      </c>
      <c r="I10" s="34" t="s">
        <v>616</v>
      </c>
      <c r="J10" s="37" t="s">
        <v>617</v>
      </c>
      <c r="K10" s="37" t="s">
        <v>618</v>
      </c>
      <c r="L10" s="38" t="s">
        <v>14</v>
      </c>
      <c r="M10" s="38" t="s">
        <v>14</v>
      </c>
      <c r="N10" s="39" t="s">
        <v>14</v>
      </c>
      <c r="O10" s="39" t="s">
        <v>14</v>
      </c>
      <c r="P10" s="39" t="s">
        <v>14</v>
      </c>
      <c r="Q10" s="38" t="s">
        <v>14</v>
      </c>
    </row>
    <row r="11" spans="2:17" ht="26.25" thickBot="1" x14ac:dyDescent="0.3">
      <c r="B11" s="35">
        <v>6</v>
      </c>
      <c r="C11" s="34" t="s">
        <v>598</v>
      </c>
      <c r="D11" s="34" t="s">
        <v>598</v>
      </c>
      <c r="E11" s="40">
        <v>45297</v>
      </c>
      <c r="F11" s="34" t="s">
        <v>619</v>
      </c>
      <c r="G11" s="34" t="s">
        <v>620</v>
      </c>
      <c r="H11" s="34" t="s">
        <v>621</v>
      </c>
      <c r="I11" s="34" t="s">
        <v>622</v>
      </c>
      <c r="J11" s="37" t="s">
        <v>14</v>
      </c>
      <c r="K11" s="37" t="s">
        <v>14</v>
      </c>
      <c r="L11" s="38" t="s">
        <v>14</v>
      </c>
      <c r="M11" s="38" t="s">
        <v>14</v>
      </c>
      <c r="N11" s="39" t="s">
        <v>14</v>
      </c>
      <c r="O11" s="39" t="s">
        <v>14</v>
      </c>
      <c r="P11" s="39" t="s">
        <v>14</v>
      </c>
      <c r="Q11" s="38" t="s">
        <v>14</v>
      </c>
    </row>
    <row r="12" spans="2:17" ht="39" thickBot="1" x14ac:dyDescent="0.3">
      <c r="B12" s="35">
        <v>7</v>
      </c>
      <c r="C12" s="34" t="s">
        <v>598</v>
      </c>
      <c r="D12" s="34" t="s">
        <v>598</v>
      </c>
      <c r="E12" s="40">
        <v>45298</v>
      </c>
      <c r="F12" s="34" t="s">
        <v>623</v>
      </c>
      <c r="G12" s="34" t="s">
        <v>624</v>
      </c>
      <c r="H12" s="34" t="s">
        <v>625</v>
      </c>
      <c r="I12" s="34" t="s">
        <v>626</v>
      </c>
      <c r="J12" s="37">
        <v>3000000</v>
      </c>
      <c r="K12" s="37">
        <v>2000000</v>
      </c>
      <c r="L12" s="38" t="s">
        <v>14</v>
      </c>
      <c r="M12" s="38" t="s">
        <v>14</v>
      </c>
      <c r="N12" s="39" t="s">
        <v>14</v>
      </c>
      <c r="O12" s="39" t="s">
        <v>14</v>
      </c>
      <c r="P12" s="39" t="s">
        <v>14</v>
      </c>
      <c r="Q12" s="38" t="s">
        <v>14</v>
      </c>
    </row>
    <row r="13" spans="2:17" ht="64.5" thickBot="1" x14ac:dyDescent="0.3">
      <c r="B13" s="35">
        <v>8</v>
      </c>
      <c r="C13" s="34" t="s">
        <v>598</v>
      </c>
      <c r="D13" s="34" t="s">
        <v>598</v>
      </c>
      <c r="E13" s="40">
        <v>45298</v>
      </c>
      <c r="F13" s="34" t="s">
        <v>627</v>
      </c>
      <c r="G13" s="34" t="s">
        <v>628</v>
      </c>
      <c r="H13" s="34" t="s">
        <v>629</v>
      </c>
      <c r="I13" s="34" t="s">
        <v>616</v>
      </c>
      <c r="J13" s="37" t="s">
        <v>14</v>
      </c>
      <c r="K13" s="37" t="s">
        <v>14</v>
      </c>
      <c r="L13" s="38" t="s">
        <v>14</v>
      </c>
      <c r="M13" s="38" t="s">
        <v>14</v>
      </c>
      <c r="N13" s="39" t="s">
        <v>14</v>
      </c>
      <c r="O13" s="39" t="s">
        <v>14</v>
      </c>
      <c r="P13" s="39" t="s">
        <v>14</v>
      </c>
      <c r="Q13" s="38" t="s">
        <v>14</v>
      </c>
    </row>
    <row r="14" spans="2:17" ht="77.25" thickBot="1" x14ac:dyDescent="0.3">
      <c r="B14" s="35">
        <v>9</v>
      </c>
      <c r="C14" s="34" t="s">
        <v>598</v>
      </c>
      <c r="D14" s="34" t="s">
        <v>598</v>
      </c>
      <c r="E14" s="34" t="s">
        <v>630</v>
      </c>
      <c r="F14" s="34" t="s">
        <v>631</v>
      </c>
      <c r="G14" s="34" t="s">
        <v>632</v>
      </c>
      <c r="H14" s="34" t="s">
        <v>615</v>
      </c>
      <c r="I14" s="34" t="s">
        <v>633</v>
      </c>
      <c r="J14" s="37">
        <v>1500000</v>
      </c>
      <c r="K14" s="37">
        <v>500000</v>
      </c>
      <c r="L14" s="38" t="s">
        <v>14</v>
      </c>
      <c r="M14" s="38" t="s">
        <v>14</v>
      </c>
      <c r="N14" s="39" t="s">
        <v>14</v>
      </c>
      <c r="O14" s="39" t="s">
        <v>14</v>
      </c>
      <c r="P14" s="39" t="s">
        <v>14</v>
      </c>
      <c r="Q14" s="38" t="s">
        <v>14</v>
      </c>
    </row>
    <row r="15" spans="2:17" ht="64.5" thickBot="1" x14ac:dyDescent="0.3">
      <c r="B15" s="35">
        <v>10</v>
      </c>
      <c r="C15" s="34" t="s">
        <v>598</v>
      </c>
      <c r="D15" s="34" t="s">
        <v>598</v>
      </c>
      <c r="E15" s="40">
        <v>45301</v>
      </c>
      <c r="F15" s="34" t="s">
        <v>634</v>
      </c>
      <c r="G15" s="34" t="s">
        <v>635</v>
      </c>
      <c r="H15" s="34" t="s">
        <v>621</v>
      </c>
      <c r="I15" s="34" t="s">
        <v>636</v>
      </c>
      <c r="J15" s="41">
        <v>30000</v>
      </c>
      <c r="K15" s="41" t="s">
        <v>20</v>
      </c>
      <c r="L15" s="38" t="s">
        <v>14</v>
      </c>
      <c r="M15" s="38" t="s">
        <v>14</v>
      </c>
      <c r="N15" s="39" t="s">
        <v>14</v>
      </c>
      <c r="O15" s="39" t="s">
        <v>14</v>
      </c>
      <c r="P15" s="39" t="s">
        <v>14</v>
      </c>
      <c r="Q15" s="38" t="s">
        <v>14</v>
      </c>
    </row>
    <row r="16" spans="2:17" ht="39" thickBot="1" x14ac:dyDescent="0.3">
      <c r="B16" s="35">
        <v>11</v>
      </c>
      <c r="C16" s="34" t="s">
        <v>598</v>
      </c>
      <c r="D16" s="34" t="s">
        <v>598</v>
      </c>
      <c r="E16" s="40">
        <v>45302</v>
      </c>
      <c r="F16" s="34" t="s">
        <v>637</v>
      </c>
      <c r="G16" s="34" t="s">
        <v>638</v>
      </c>
      <c r="H16" s="34" t="s">
        <v>25</v>
      </c>
      <c r="I16" s="34" t="s">
        <v>639</v>
      </c>
      <c r="J16" s="37">
        <v>180000</v>
      </c>
      <c r="K16" s="37">
        <v>20000</v>
      </c>
      <c r="L16" s="38" t="s">
        <v>14</v>
      </c>
      <c r="M16" s="38" t="s">
        <v>14</v>
      </c>
      <c r="N16" s="39" t="s">
        <v>14</v>
      </c>
      <c r="O16" s="39" t="s">
        <v>14</v>
      </c>
      <c r="P16" s="39" t="s">
        <v>14</v>
      </c>
      <c r="Q16" s="38" t="s">
        <v>14</v>
      </c>
    </row>
    <row r="17" spans="2:17" ht="64.5" thickBot="1" x14ac:dyDescent="0.3">
      <c r="B17" s="35">
        <v>12</v>
      </c>
      <c r="C17" s="34" t="s">
        <v>598</v>
      </c>
      <c r="D17" s="34" t="s">
        <v>598</v>
      </c>
      <c r="E17" s="40">
        <v>45304</v>
      </c>
      <c r="F17" s="34" t="s">
        <v>640</v>
      </c>
      <c r="G17" s="34" t="s">
        <v>641</v>
      </c>
      <c r="H17" s="34" t="s">
        <v>615</v>
      </c>
      <c r="I17" s="34" t="s">
        <v>642</v>
      </c>
      <c r="J17" s="41">
        <v>5000</v>
      </c>
      <c r="K17" s="37">
        <v>995000</v>
      </c>
      <c r="L17" s="38" t="s">
        <v>14</v>
      </c>
      <c r="M17" s="38" t="s">
        <v>14</v>
      </c>
      <c r="N17" s="39" t="s">
        <v>14</v>
      </c>
      <c r="O17" s="39" t="s">
        <v>14</v>
      </c>
      <c r="P17" s="39" t="s">
        <v>14</v>
      </c>
      <c r="Q17" s="38" t="s">
        <v>14</v>
      </c>
    </row>
    <row r="18" spans="2:17" ht="51.75" thickBot="1" x14ac:dyDescent="0.3">
      <c r="B18" s="35">
        <v>13</v>
      </c>
      <c r="C18" s="34" t="s">
        <v>598</v>
      </c>
      <c r="D18" s="34" t="s">
        <v>598</v>
      </c>
      <c r="E18" s="42">
        <v>45304</v>
      </c>
      <c r="F18" s="34" t="s">
        <v>643</v>
      </c>
      <c r="G18" s="34" t="s">
        <v>644</v>
      </c>
      <c r="H18" s="34" t="s">
        <v>645</v>
      </c>
      <c r="I18" s="36" t="s">
        <v>646</v>
      </c>
      <c r="J18" s="37">
        <v>200000</v>
      </c>
      <c r="K18" s="37">
        <v>380000</v>
      </c>
      <c r="L18" s="38" t="s">
        <v>14</v>
      </c>
      <c r="M18" s="38" t="s">
        <v>14</v>
      </c>
      <c r="N18" s="39" t="s">
        <v>14</v>
      </c>
      <c r="O18" s="39" t="s">
        <v>14</v>
      </c>
      <c r="P18" s="39" t="s">
        <v>14</v>
      </c>
      <c r="Q18" s="38" t="s">
        <v>14</v>
      </c>
    </row>
    <row r="19" spans="2:17" ht="26.25" thickBot="1" x14ac:dyDescent="0.3">
      <c r="B19" s="35">
        <v>14</v>
      </c>
      <c r="C19" s="34" t="s">
        <v>598</v>
      </c>
      <c r="D19" s="34" t="s">
        <v>598</v>
      </c>
      <c r="E19" s="40">
        <v>45306</v>
      </c>
      <c r="F19" s="34" t="s">
        <v>647</v>
      </c>
      <c r="G19" s="34" t="s">
        <v>648</v>
      </c>
      <c r="H19" s="34" t="s">
        <v>649</v>
      </c>
      <c r="I19" s="34" t="s">
        <v>605</v>
      </c>
      <c r="J19" s="37">
        <v>1000000</v>
      </c>
      <c r="K19" s="37">
        <v>7000000</v>
      </c>
      <c r="L19" s="38" t="s">
        <v>14</v>
      </c>
      <c r="M19" s="38" t="s">
        <v>14</v>
      </c>
      <c r="N19" s="39" t="s">
        <v>14</v>
      </c>
      <c r="O19" s="39" t="s">
        <v>14</v>
      </c>
      <c r="P19" s="39" t="s">
        <v>14</v>
      </c>
      <c r="Q19" s="38" t="s">
        <v>14</v>
      </c>
    </row>
    <row r="20" spans="2:17" ht="64.5" thickBot="1" x14ac:dyDescent="0.3">
      <c r="B20" s="35">
        <v>15</v>
      </c>
      <c r="C20" s="34" t="s">
        <v>598</v>
      </c>
      <c r="D20" s="34" t="s">
        <v>598</v>
      </c>
      <c r="E20" s="40">
        <v>45306</v>
      </c>
      <c r="F20" s="34" t="s">
        <v>650</v>
      </c>
      <c r="G20" s="34" t="s">
        <v>651</v>
      </c>
      <c r="H20" s="34" t="s">
        <v>652</v>
      </c>
      <c r="I20" s="34" t="s">
        <v>605</v>
      </c>
      <c r="J20" s="41">
        <v>150000</v>
      </c>
      <c r="K20" s="37">
        <v>1850000</v>
      </c>
      <c r="L20" s="38" t="s">
        <v>14</v>
      </c>
      <c r="M20" s="38" t="s">
        <v>14</v>
      </c>
      <c r="N20" s="39" t="s">
        <v>14</v>
      </c>
      <c r="O20" s="39" t="s">
        <v>14</v>
      </c>
      <c r="P20" s="39" t="s">
        <v>14</v>
      </c>
      <c r="Q20" s="38" t="s">
        <v>14</v>
      </c>
    </row>
    <row r="21" spans="2:17" ht="39" thickBot="1" x14ac:dyDescent="0.3">
      <c r="B21" s="35">
        <v>16</v>
      </c>
      <c r="C21" s="34" t="s">
        <v>598</v>
      </c>
      <c r="D21" s="34" t="s">
        <v>598</v>
      </c>
      <c r="E21" s="40">
        <v>45308</v>
      </c>
      <c r="F21" s="34" t="s">
        <v>228</v>
      </c>
      <c r="G21" s="34" t="s">
        <v>653</v>
      </c>
      <c r="H21" s="34" t="s">
        <v>25</v>
      </c>
      <c r="I21" s="34" t="s">
        <v>605</v>
      </c>
      <c r="J21" s="41" t="s">
        <v>20</v>
      </c>
      <c r="K21" s="41" t="s">
        <v>20</v>
      </c>
      <c r="L21" s="38" t="s">
        <v>14</v>
      </c>
      <c r="M21" s="38" t="s">
        <v>14</v>
      </c>
      <c r="N21" s="39" t="s">
        <v>14</v>
      </c>
      <c r="O21" s="39" t="s">
        <v>14</v>
      </c>
      <c r="P21" s="39" t="s">
        <v>14</v>
      </c>
      <c r="Q21" s="38" t="s">
        <v>14</v>
      </c>
    </row>
    <row r="22" spans="2:17" ht="39" thickBot="1" x14ac:dyDescent="0.3">
      <c r="B22" s="35">
        <v>17</v>
      </c>
      <c r="C22" s="34" t="s">
        <v>598</v>
      </c>
      <c r="D22" s="34" t="s">
        <v>598</v>
      </c>
      <c r="E22" s="40">
        <v>45308</v>
      </c>
      <c r="F22" s="34" t="s">
        <v>654</v>
      </c>
      <c r="G22" s="36" t="s">
        <v>655</v>
      </c>
      <c r="H22" s="34" t="s">
        <v>25</v>
      </c>
      <c r="I22" s="34" t="s">
        <v>656</v>
      </c>
      <c r="J22" s="41">
        <v>380000</v>
      </c>
      <c r="K22" s="41">
        <v>20000</v>
      </c>
      <c r="L22" s="38" t="s">
        <v>14</v>
      </c>
      <c r="M22" s="38" t="s">
        <v>14</v>
      </c>
      <c r="N22" s="39" t="s">
        <v>14</v>
      </c>
      <c r="O22" s="39" t="s">
        <v>14</v>
      </c>
      <c r="P22" s="39" t="s">
        <v>14</v>
      </c>
      <c r="Q22" s="38" t="s">
        <v>14</v>
      </c>
    </row>
    <row r="23" spans="2:17" ht="39" thickBot="1" x14ac:dyDescent="0.3">
      <c r="B23" s="35">
        <v>18</v>
      </c>
      <c r="C23" s="34" t="s">
        <v>657</v>
      </c>
      <c r="D23" s="34" t="s">
        <v>598</v>
      </c>
      <c r="E23" s="40">
        <v>45312</v>
      </c>
      <c r="F23" s="38" t="s">
        <v>658</v>
      </c>
      <c r="G23" s="38" t="s">
        <v>659</v>
      </c>
      <c r="H23" s="38" t="s">
        <v>629</v>
      </c>
      <c r="I23" s="34" t="s">
        <v>660</v>
      </c>
      <c r="J23" s="43">
        <v>50000</v>
      </c>
      <c r="K23" s="43">
        <v>50000</v>
      </c>
      <c r="L23" s="34" t="s">
        <v>14</v>
      </c>
      <c r="M23" s="34" t="s">
        <v>14</v>
      </c>
      <c r="N23" s="33" t="s">
        <v>14</v>
      </c>
      <c r="O23" s="33" t="s">
        <v>14</v>
      </c>
      <c r="P23" s="33" t="s">
        <v>14</v>
      </c>
      <c r="Q23" s="34" t="s">
        <v>14</v>
      </c>
    </row>
    <row r="24" spans="2:17" ht="15.75" thickBot="1" x14ac:dyDescent="0.3">
      <c r="B24" s="35">
        <v>19</v>
      </c>
      <c r="C24" s="34" t="s">
        <v>657</v>
      </c>
      <c r="D24" s="34" t="s">
        <v>598</v>
      </c>
      <c r="E24" s="34"/>
      <c r="F24" s="38"/>
      <c r="G24" s="38"/>
      <c r="H24" s="38"/>
      <c r="I24" s="34"/>
      <c r="J24" s="41"/>
      <c r="K24" s="41"/>
      <c r="L24" s="34" t="s">
        <v>14</v>
      </c>
      <c r="M24" s="34" t="s">
        <v>14</v>
      </c>
      <c r="N24" s="33" t="s">
        <v>14</v>
      </c>
      <c r="O24" s="33" t="s">
        <v>14</v>
      </c>
      <c r="P24" s="33" t="s">
        <v>14</v>
      </c>
      <c r="Q24" s="34" t="s">
        <v>14</v>
      </c>
    </row>
    <row r="25" spans="2:17" ht="51.75" thickBot="1" x14ac:dyDescent="0.3">
      <c r="B25" s="35">
        <v>20</v>
      </c>
      <c r="C25" s="34" t="s">
        <v>657</v>
      </c>
      <c r="D25" s="34" t="s">
        <v>598</v>
      </c>
      <c r="E25" s="40">
        <v>45313</v>
      </c>
      <c r="F25" s="38" t="s">
        <v>661</v>
      </c>
      <c r="G25" s="38" t="s">
        <v>662</v>
      </c>
      <c r="H25" s="38" t="s">
        <v>663</v>
      </c>
      <c r="I25" s="34" t="s">
        <v>616</v>
      </c>
      <c r="J25" s="37" t="s">
        <v>618</v>
      </c>
      <c r="K25" s="37" t="s">
        <v>664</v>
      </c>
      <c r="L25" s="34" t="s">
        <v>14</v>
      </c>
      <c r="M25" s="34" t="s">
        <v>14</v>
      </c>
      <c r="N25" s="33" t="s">
        <v>14</v>
      </c>
      <c r="O25" s="33" t="s">
        <v>14</v>
      </c>
      <c r="P25" s="33" t="s">
        <v>14</v>
      </c>
      <c r="Q25" s="34" t="s">
        <v>14</v>
      </c>
    </row>
    <row r="26" spans="2:17" ht="51.75" thickBot="1" x14ac:dyDescent="0.3">
      <c r="B26" s="35">
        <v>21</v>
      </c>
      <c r="C26" s="34" t="s">
        <v>657</v>
      </c>
      <c r="D26" s="34" t="s">
        <v>598</v>
      </c>
      <c r="E26" s="40">
        <v>45313</v>
      </c>
      <c r="F26" s="38" t="s">
        <v>192</v>
      </c>
      <c r="G26" s="38" t="s">
        <v>665</v>
      </c>
      <c r="H26" s="38" t="s">
        <v>666</v>
      </c>
      <c r="I26" s="34" t="s">
        <v>667</v>
      </c>
      <c r="J26" s="37">
        <v>10000</v>
      </c>
      <c r="K26" s="37">
        <v>490000</v>
      </c>
      <c r="L26" s="38" t="s">
        <v>14</v>
      </c>
      <c r="M26" s="38" t="s">
        <v>14</v>
      </c>
      <c r="N26" s="39" t="s">
        <v>14</v>
      </c>
      <c r="O26" s="39" t="s">
        <v>14</v>
      </c>
      <c r="P26" s="39" t="s">
        <v>14</v>
      </c>
      <c r="Q26" s="38" t="s">
        <v>14</v>
      </c>
    </row>
    <row r="27" spans="2:17" ht="39" thickBot="1" x14ac:dyDescent="0.3">
      <c r="B27" s="35">
        <v>22</v>
      </c>
      <c r="C27" s="34" t="s">
        <v>657</v>
      </c>
      <c r="D27" s="34" t="s">
        <v>598</v>
      </c>
      <c r="E27" s="40">
        <v>45313</v>
      </c>
      <c r="F27" s="38" t="s">
        <v>668</v>
      </c>
      <c r="G27" s="38" t="s">
        <v>669</v>
      </c>
      <c r="H27" s="34" t="s">
        <v>621</v>
      </c>
      <c r="I27" s="34" t="s">
        <v>670</v>
      </c>
      <c r="J27" s="43" t="s">
        <v>618</v>
      </c>
      <c r="K27" s="43" t="s">
        <v>664</v>
      </c>
      <c r="L27" s="38" t="s">
        <v>14</v>
      </c>
      <c r="M27" s="38" t="s">
        <v>14</v>
      </c>
      <c r="N27" s="39" t="s">
        <v>14</v>
      </c>
      <c r="O27" s="39" t="s">
        <v>14</v>
      </c>
      <c r="P27" s="39" t="s">
        <v>14</v>
      </c>
      <c r="Q27" s="38" t="s">
        <v>14</v>
      </c>
    </row>
    <row r="28" spans="2:17" ht="64.5" thickBot="1" x14ac:dyDescent="0.3">
      <c r="B28" s="35">
        <v>23</v>
      </c>
      <c r="C28" s="34"/>
      <c r="D28" s="34"/>
      <c r="E28" s="44">
        <v>45314</v>
      </c>
      <c r="F28" s="38" t="s">
        <v>671</v>
      </c>
      <c r="G28" s="38" t="s">
        <v>672</v>
      </c>
      <c r="H28" s="34" t="s">
        <v>652</v>
      </c>
      <c r="I28" s="34" t="s">
        <v>660</v>
      </c>
      <c r="J28" s="43">
        <v>10000</v>
      </c>
      <c r="K28" s="43">
        <v>190000</v>
      </c>
      <c r="L28" s="38"/>
      <c r="M28" s="38"/>
      <c r="N28" s="39"/>
      <c r="O28" s="39"/>
      <c r="P28" s="39"/>
      <c r="Q28" s="38"/>
    </row>
    <row r="29" spans="2:17" ht="51.75" thickBot="1" x14ac:dyDescent="0.3">
      <c r="B29" s="35">
        <v>24</v>
      </c>
      <c r="C29" s="34" t="s">
        <v>657</v>
      </c>
      <c r="D29" s="34" t="s">
        <v>598</v>
      </c>
      <c r="E29" s="40">
        <v>45314</v>
      </c>
      <c r="F29" s="38" t="s">
        <v>673</v>
      </c>
      <c r="G29" s="38" t="s">
        <v>674</v>
      </c>
      <c r="H29" s="34" t="s">
        <v>652</v>
      </c>
      <c r="I29" s="34" t="s">
        <v>660</v>
      </c>
      <c r="J29" s="45">
        <v>10000</v>
      </c>
      <c r="K29" s="45">
        <v>190000</v>
      </c>
      <c r="L29" s="38" t="s">
        <v>14</v>
      </c>
      <c r="M29" s="38" t="s">
        <v>14</v>
      </c>
      <c r="N29" s="39" t="s">
        <v>14</v>
      </c>
      <c r="O29" s="39" t="s">
        <v>14</v>
      </c>
      <c r="P29" s="39" t="s">
        <v>14</v>
      </c>
      <c r="Q29" s="38" t="s">
        <v>14</v>
      </c>
    </row>
    <row r="30" spans="2:17" ht="26.25" thickBot="1" x14ac:dyDescent="0.3">
      <c r="B30" s="35">
        <v>25</v>
      </c>
      <c r="C30" s="34" t="s">
        <v>657</v>
      </c>
      <c r="D30" s="34" t="s">
        <v>598</v>
      </c>
      <c r="E30" s="40">
        <v>45314</v>
      </c>
      <c r="F30" s="38" t="s">
        <v>675</v>
      </c>
      <c r="G30" s="38" t="s">
        <v>676</v>
      </c>
      <c r="H30" s="34" t="s">
        <v>629</v>
      </c>
      <c r="I30" s="34" t="s">
        <v>677</v>
      </c>
      <c r="J30" s="41">
        <v>3000000</v>
      </c>
      <c r="K30" s="41">
        <v>10000000</v>
      </c>
      <c r="L30" s="38" t="s">
        <v>14</v>
      </c>
      <c r="M30" s="38" t="s">
        <v>14</v>
      </c>
      <c r="N30" s="39" t="s">
        <v>14</v>
      </c>
      <c r="O30" s="39" t="s">
        <v>14</v>
      </c>
      <c r="P30" s="39" t="s">
        <v>14</v>
      </c>
      <c r="Q30" s="38" t="s">
        <v>14</v>
      </c>
    </row>
    <row r="31" spans="2:17" ht="77.25" thickBot="1" x14ac:dyDescent="0.3">
      <c r="B31" s="35">
        <v>26</v>
      </c>
      <c r="C31" s="34" t="s">
        <v>657</v>
      </c>
      <c r="D31" s="34" t="s">
        <v>598</v>
      </c>
      <c r="E31" s="40">
        <v>45315</v>
      </c>
      <c r="F31" s="38" t="s">
        <v>678</v>
      </c>
      <c r="G31" s="38" t="s">
        <v>679</v>
      </c>
      <c r="H31" s="34" t="s">
        <v>652</v>
      </c>
      <c r="I31" s="34" t="s">
        <v>680</v>
      </c>
      <c r="J31" s="41">
        <v>10000</v>
      </c>
      <c r="K31" s="41">
        <v>10000</v>
      </c>
      <c r="L31" s="38" t="s">
        <v>14</v>
      </c>
      <c r="M31" s="38" t="s">
        <v>14</v>
      </c>
      <c r="N31" s="39" t="s">
        <v>14</v>
      </c>
      <c r="O31" s="39" t="s">
        <v>14</v>
      </c>
      <c r="P31" s="39" t="s">
        <v>14</v>
      </c>
      <c r="Q31" s="38" t="s">
        <v>14</v>
      </c>
    </row>
    <row r="32" spans="2:17" ht="26.25" thickBot="1" x14ac:dyDescent="0.3">
      <c r="B32" s="35">
        <v>27</v>
      </c>
      <c r="C32" s="34" t="s">
        <v>657</v>
      </c>
      <c r="D32" s="34" t="s">
        <v>598</v>
      </c>
      <c r="E32" s="40">
        <v>45315</v>
      </c>
      <c r="F32" s="38" t="s">
        <v>681</v>
      </c>
      <c r="G32" s="38" t="s">
        <v>682</v>
      </c>
      <c r="H32" s="34" t="s">
        <v>151</v>
      </c>
      <c r="I32" s="34" t="s">
        <v>151</v>
      </c>
      <c r="J32" s="45" t="s">
        <v>617</v>
      </c>
      <c r="K32" s="45" t="s">
        <v>617</v>
      </c>
      <c r="L32" s="34" t="s">
        <v>14</v>
      </c>
      <c r="M32" s="34" t="s">
        <v>14</v>
      </c>
      <c r="N32" s="33" t="s">
        <v>14</v>
      </c>
      <c r="O32" s="33" t="s">
        <v>14</v>
      </c>
      <c r="P32" s="33" t="s">
        <v>14</v>
      </c>
      <c r="Q32" s="34" t="s">
        <v>14</v>
      </c>
    </row>
    <row r="33" spans="2:17" ht="102.75" thickBot="1" x14ac:dyDescent="0.3">
      <c r="B33" s="35">
        <v>28</v>
      </c>
      <c r="C33" s="34" t="s">
        <v>657</v>
      </c>
      <c r="D33" s="34" t="s">
        <v>598</v>
      </c>
      <c r="E33" s="40">
        <v>45315</v>
      </c>
      <c r="F33" s="38" t="s">
        <v>287</v>
      </c>
      <c r="G33" s="38" t="s">
        <v>683</v>
      </c>
      <c r="H33" s="34" t="s">
        <v>684</v>
      </c>
      <c r="I33" s="36" t="s">
        <v>684</v>
      </c>
      <c r="J33" s="41" t="s">
        <v>617</v>
      </c>
      <c r="K33" s="41" t="s">
        <v>617</v>
      </c>
      <c r="L33" s="34"/>
      <c r="M33" s="34"/>
      <c r="N33" s="33"/>
      <c r="O33" s="33"/>
      <c r="P33" s="33"/>
      <c r="Q33" s="34"/>
    </row>
    <row r="34" spans="2:17" ht="39" thickBot="1" x14ac:dyDescent="0.3">
      <c r="B34" s="46">
        <v>29</v>
      </c>
      <c r="C34" s="34" t="s">
        <v>657</v>
      </c>
      <c r="D34" s="34" t="s">
        <v>598</v>
      </c>
      <c r="E34" s="40">
        <v>45316</v>
      </c>
      <c r="F34" s="38" t="s">
        <v>685</v>
      </c>
      <c r="G34" s="38" t="s">
        <v>686</v>
      </c>
      <c r="H34" s="34" t="s">
        <v>652</v>
      </c>
      <c r="I34" s="34" t="s">
        <v>629</v>
      </c>
      <c r="J34" s="41" t="s">
        <v>618</v>
      </c>
      <c r="K34" s="41" t="s">
        <v>687</v>
      </c>
      <c r="L34" s="38" t="s">
        <v>14</v>
      </c>
      <c r="M34" s="38" t="s">
        <v>14</v>
      </c>
      <c r="N34" s="39" t="s">
        <v>14</v>
      </c>
      <c r="O34" s="39" t="s">
        <v>14</v>
      </c>
      <c r="P34" s="39" t="s">
        <v>14</v>
      </c>
      <c r="Q34" s="38" t="s">
        <v>14</v>
      </c>
    </row>
    <row r="35" spans="2:17" ht="26.25" thickBot="1" x14ac:dyDescent="0.3">
      <c r="B35" s="35">
        <v>30</v>
      </c>
      <c r="C35" s="34" t="s">
        <v>657</v>
      </c>
      <c r="D35" s="34" t="s">
        <v>598</v>
      </c>
      <c r="E35" s="40">
        <v>45317</v>
      </c>
      <c r="F35" s="38" t="s">
        <v>688</v>
      </c>
      <c r="G35" s="38" t="s">
        <v>689</v>
      </c>
      <c r="H35" s="34" t="s">
        <v>621</v>
      </c>
      <c r="I35" s="34" t="s">
        <v>40</v>
      </c>
      <c r="J35" s="45"/>
      <c r="K35" s="45"/>
      <c r="L35" s="34" t="s">
        <v>14</v>
      </c>
      <c r="M35" s="34" t="s">
        <v>14</v>
      </c>
      <c r="N35" s="33" t="s">
        <v>14</v>
      </c>
      <c r="O35" s="33" t="s">
        <v>14</v>
      </c>
      <c r="P35" s="33" t="s">
        <v>14</v>
      </c>
      <c r="Q35" s="34" t="s">
        <v>14</v>
      </c>
    </row>
    <row r="36" spans="2:17" ht="51.75" thickBot="1" x14ac:dyDescent="0.3">
      <c r="B36" s="35">
        <v>31</v>
      </c>
      <c r="C36" s="34" t="s">
        <v>657</v>
      </c>
      <c r="D36" s="34" t="s">
        <v>598</v>
      </c>
      <c r="E36" s="40">
        <v>45318</v>
      </c>
      <c r="F36" s="38" t="s">
        <v>690</v>
      </c>
      <c r="G36" s="38" t="s">
        <v>691</v>
      </c>
      <c r="H36" s="34" t="s">
        <v>14</v>
      </c>
      <c r="I36" s="34" t="s">
        <v>14</v>
      </c>
      <c r="J36" s="37" t="s">
        <v>14</v>
      </c>
      <c r="K36" s="37" t="s">
        <v>14</v>
      </c>
      <c r="L36" s="34" t="s">
        <v>14</v>
      </c>
      <c r="M36" s="34" t="s">
        <v>14</v>
      </c>
      <c r="N36" s="33" t="s">
        <v>14</v>
      </c>
      <c r="O36" s="33" t="s">
        <v>14</v>
      </c>
      <c r="P36" s="33" t="s">
        <v>14</v>
      </c>
      <c r="Q36" s="34" t="s">
        <v>14</v>
      </c>
    </row>
    <row r="37" spans="2:17" ht="51.75" thickBot="1" x14ac:dyDescent="0.3">
      <c r="B37" s="35">
        <v>32</v>
      </c>
      <c r="C37" s="34" t="s">
        <v>657</v>
      </c>
      <c r="D37" s="34" t="s">
        <v>598</v>
      </c>
      <c r="E37" s="40">
        <v>45318</v>
      </c>
      <c r="F37" s="38" t="s">
        <v>692</v>
      </c>
      <c r="G37" s="38" t="s">
        <v>693</v>
      </c>
      <c r="H37" s="34" t="s">
        <v>652</v>
      </c>
      <c r="I37" s="34" t="s">
        <v>649</v>
      </c>
      <c r="J37" s="41">
        <v>500000</v>
      </c>
      <c r="K37" s="37">
        <v>2500000</v>
      </c>
      <c r="L37" s="38" t="s">
        <v>14</v>
      </c>
      <c r="M37" s="38" t="s">
        <v>14</v>
      </c>
      <c r="N37" s="39" t="s">
        <v>14</v>
      </c>
      <c r="O37" s="39" t="s">
        <v>14</v>
      </c>
      <c r="P37" s="39" t="s">
        <v>14</v>
      </c>
      <c r="Q37" s="38" t="s">
        <v>14</v>
      </c>
    </row>
    <row r="38" spans="2:17" ht="51.75" thickBot="1" x14ac:dyDescent="0.3">
      <c r="B38" s="35">
        <v>33</v>
      </c>
      <c r="C38" s="34" t="s">
        <v>657</v>
      </c>
      <c r="D38" s="34" t="s">
        <v>598</v>
      </c>
      <c r="E38" s="40">
        <v>45320</v>
      </c>
      <c r="F38" s="38" t="s">
        <v>694</v>
      </c>
      <c r="G38" s="38" t="s">
        <v>695</v>
      </c>
      <c r="H38" s="34" t="s">
        <v>652</v>
      </c>
      <c r="I38" s="34" t="s">
        <v>652</v>
      </c>
      <c r="J38" s="41" t="s">
        <v>696</v>
      </c>
      <c r="K38" s="41" t="s">
        <v>618</v>
      </c>
      <c r="L38" s="38" t="s">
        <v>14</v>
      </c>
      <c r="M38" s="38" t="s">
        <v>14</v>
      </c>
      <c r="N38" s="39" t="s">
        <v>14</v>
      </c>
      <c r="O38" s="39" t="s">
        <v>14</v>
      </c>
      <c r="P38" s="39" t="s">
        <v>14</v>
      </c>
      <c r="Q38" s="38" t="s">
        <v>14</v>
      </c>
    </row>
    <row r="39" spans="2:17" ht="39" thickBot="1" x14ac:dyDescent="0.3">
      <c r="B39" s="35">
        <v>34</v>
      </c>
      <c r="C39" s="34" t="s">
        <v>657</v>
      </c>
      <c r="D39" s="34" t="s">
        <v>657</v>
      </c>
      <c r="E39" s="40">
        <v>45321</v>
      </c>
      <c r="F39" s="38" t="s">
        <v>697</v>
      </c>
      <c r="G39" s="38" t="s">
        <v>698</v>
      </c>
      <c r="H39" s="38" t="s">
        <v>652</v>
      </c>
      <c r="I39" s="38" t="s">
        <v>699</v>
      </c>
      <c r="J39" s="47">
        <v>500000</v>
      </c>
      <c r="K39" s="47">
        <v>4500000</v>
      </c>
      <c r="L39" s="38" t="s">
        <v>14</v>
      </c>
      <c r="M39" s="38" t="s">
        <v>14</v>
      </c>
      <c r="N39" s="39" t="s">
        <v>14</v>
      </c>
      <c r="O39" s="39" t="s">
        <v>14</v>
      </c>
      <c r="P39" s="39" t="s">
        <v>14</v>
      </c>
      <c r="Q39" s="38" t="s">
        <v>14</v>
      </c>
    </row>
    <row r="40" spans="2:17" ht="15.75" thickBot="1" x14ac:dyDescent="0.3">
      <c r="B40" s="35"/>
      <c r="C40" s="34"/>
      <c r="D40" s="34"/>
      <c r="E40" s="34"/>
      <c r="F40" s="38"/>
      <c r="G40" s="38"/>
      <c r="H40" s="38"/>
      <c r="I40" s="38" t="s">
        <v>19</v>
      </c>
      <c r="J40" s="47">
        <v>11215000</v>
      </c>
      <c r="K40" s="47">
        <v>31215000</v>
      </c>
      <c r="L40" s="38"/>
      <c r="M40" s="38"/>
      <c r="N40" s="39"/>
      <c r="O40" s="39"/>
      <c r="P40" s="39"/>
      <c r="Q40" s="38"/>
    </row>
    <row r="41" spans="2:17" x14ac:dyDescent="0.25">
      <c r="B41" s="48" t="s">
        <v>700</v>
      </c>
    </row>
    <row r="42" spans="2:17" ht="15.75" thickBot="1" x14ac:dyDescent="0.3">
      <c r="B42" s="49" t="s">
        <v>701</v>
      </c>
    </row>
    <row r="43" spans="2:17" ht="117" customHeight="1" thickBot="1" x14ac:dyDescent="0.3">
      <c r="B43" s="86" t="s">
        <v>589</v>
      </c>
      <c r="C43" s="86" t="s">
        <v>0</v>
      </c>
      <c r="D43" s="86" t="s">
        <v>590</v>
      </c>
      <c r="E43" s="86" t="s">
        <v>1</v>
      </c>
      <c r="F43" s="86" t="s">
        <v>592</v>
      </c>
      <c r="G43" s="86" t="s">
        <v>702</v>
      </c>
      <c r="H43" s="86" t="s">
        <v>4</v>
      </c>
      <c r="I43" s="86" t="s">
        <v>703</v>
      </c>
      <c r="J43" s="86" t="s">
        <v>595</v>
      </c>
      <c r="K43" s="86" t="s">
        <v>596</v>
      </c>
      <c r="L43" s="97" t="s">
        <v>8</v>
      </c>
      <c r="M43" s="85"/>
      <c r="N43" s="84" t="s">
        <v>9</v>
      </c>
      <c r="O43" s="85"/>
      <c r="P43" s="84" t="s">
        <v>10</v>
      </c>
      <c r="Q43" s="93"/>
    </row>
    <row r="44" spans="2:17" ht="15.75" thickBot="1" x14ac:dyDescent="0.3">
      <c r="B44" s="58"/>
      <c r="C44" s="58"/>
      <c r="D44" s="58"/>
      <c r="E44" s="58"/>
      <c r="F44" s="58"/>
      <c r="G44" s="58"/>
      <c r="H44" s="58"/>
      <c r="I44" s="58"/>
      <c r="J44" s="58"/>
      <c r="K44" s="58"/>
      <c r="L44" s="33" t="s">
        <v>11</v>
      </c>
      <c r="M44" s="33" t="s">
        <v>597</v>
      </c>
      <c r="N44" s="33" t="s">
        <v>11</v>
      </c>
      <c r="O44" s="33" t="s">
        <v>597</v>
      </c>
      <c r="P44" s="33" t="s">
        <v>11</v>
      </c>
      <c r="Q44" s="34" t="s">
        <v>597</v>
      </c>
    </row>
    <row r="45" spans="2:17" ht="15.75" thickBot="1" x14ac:dyDescent="0.3">
      <c r="B45" s="35">
        <v>1</v>
      </c>
      <c r="C45" s="34">
        <v>2</v>
      </c>
      <c r="D45" s="34">
        <v>3</v>
      </c>
      <c r="E45" s="34">
        <v>4</v>
      </c>
      <c r="F45" s="34">
        <v>5</v>
      </c>
      <c r="G45" s="34">
        <v>6</v>
      </c>
      <c r="H45" s="34">
        <v>7</v>
      </c>
      <c r="I45" s="34">
        <v>8</v>
      </c>
      <c r="J45" s="34">
        <v>9</v>
      </c>
      <c r="K45" s="34">
        <v>10</v>
      </c>
      <c r="L45" s="34">
        <v>11</v>
      </c>
      <c r="M45" s="34">
        <v>12</v>
      </c>
      <c r="N45" s="33">
        <v>13</v>
      </c>
      <c r="O45" s="33">
        <v>14</v>
      </c>
      <c r="P45" s="33">
        <v>15</v>
      </c>
      <c r="Q45" s="34">
        <v>16</v>
      </c>
    </row>
    <row r="46" spans="2:17" ht="77.25" thickBot="1" x14ac:dyDescent="0.3">
      <c r="B46" s="35">
        <v>1</v>
      </c>
      <c r="C46" s="34" t="s">
        <v>598</v>
      </c>
      <c r="D46" s="34" t="s">
        <v>598</v>
      </c>
      <c r="E46" s="40">
        <v>45317</v>
      </c>
      <c r="F46" s="38" t="s">
        <v>147</v>
      </c>
      <c r="G46" s="34" t="s">
        <v>704</v>
      </c>
      <c r="H46" s="34" t="s">
        <v>705</v>
      </c>
      <c r="I46" s="34" t="s">
        <v>706</v>
      </c>
      <c r="J46" s="34" t="s">
        <v>14</v>
      </c>
      <c r="K46" s="34"/>
      <c r="L46" s="34" t="s">
        <v>14</v>
      </c>
      <c r="M46" s="34" t="s">
        <v>14</v>
      </c>
      <c r="N46" s="33" t="s">
        <v>14</v>
      </c>
      <c r="O46" s="33" t="s">
        <v>14</v>
      </c>
      <c r="P46" s="33" t="s">
        <v>14</v>
      </c>
      <c r="Q46" s="34" t="s">
        <v>14</v>
      </c>
    </row>
    <row r="47" spans="2:17" ht="51.75" thickBot="1" x14ac:dyDescent="0.3">
      <c r="B47" s="35">
        <v>2</v>
      </c>
      <c r="C47" s="34" t="s">
        <v>598</v>
      </c>
      <c r="D47" s="34" t="s">
        <v>598</v>
      </c>
      <c r="E47" s="40">
        <v>45322</v>
      </c>
      <c r="F47" s="38" t="s">
        <v>707</v>
      </c>
      <c r="G47" s="34" t="s">
        <v>708</v>
      </c>
      <c r="H47" s="34" t="s">
        <v>709</v>
      </c>
      <c r="I47" s="34" t="s">
        <v>710</v>
      </c>
      <c r="J47" s="34"/>
      <c r="K47" s="34"/>
      <c r="L47" s="34" t="s">
        <v>14</v>
      </c>
      <c r="M47" s="34" t="s">
        <v>14</v>
      </c>
      <c r="N47" s="33" t="s">
        <v>14</v>
      </c>
      <c r="O47" s="33" t="s">
        <v>14</v>
      </c>
      <c r="P47" s="33" t="s">
        <v>14</v>
      </c>
      <c r="Q47" s="34" t="s">
        <v>14</v>
      </c>
    </row>
    <row r="48" spans="2:17" x14ac:dyDescent="0.25">
      <c r="B48" s="49" t="s">
        <v>711</v>
      </c>
    </row>
    <row r="49" spans="2:17" x14ac:dyDescent="0.25">
      <c r="B49" s="49"/>
    </row>
    <row r="50" spans="2:17" x14ac:dyDescent="0.25">
      <c r="B50" s="49"/>
    </row>
    <row r="51" spans="2:17" x14ac:dyDescent="0.25">
      <c r="B51" s="49"/>
    </row>
    <row r="52" spans="2:17" ht="15.75" thickBot="1" x14ac:dyDescent="0.3">
      <c r="B52" s="49" t="s">
        <v>712</v>
      </c>
    </row>
    <row r="53" spans="2:17" ht="15" customHeight="1" thickBot="1" x14ac:dyDescent="0.3">
      <c r="B53" s="86" t="s">
        <v>589</v>
      </c>
      <c r="C53" s="86" t="s">
        <v>0</v>
      </c>
      <c r="D53" s="86" t="s">
        <v>713</v>
      </c>
      <c r="E53" s="94" t="s">
        <v>67</v>
      </c>
      <c r="F53" s="95"/>
      <c r="G53" s="96"/>
      <c r="H53" s="86" t="s">
        <v>714</v>
      </c>
      <c r="I53" s="97" t="s">
        <v>8</v>
      </c>
      <c r="J53" s="85"/>
      <c r="K53" s="84" t="s">
        <v>9</v>
      </c>
      <c r="L53" s="85"/>
      <c r="M53" s="84" t="s">
        <v>10</v>
      </c>
      <c r="N53" s="93"/>
    </row>
    <row r="54" spans="2:17" ht="15.75" thickBot="1" x14ac:dyDescent="0.3">
      <c r="B54" s="58"/>
      <c r="C54" s="58"/>
      <c r="D54" s="58"/>
      <c r="E54" s="34" t="s">
        <v>68</v>
      </c>
      <c r="F54" s="34" t="s">
        <v>715</v>
      </c>
      <c r="G54" s="34" t="s">
        <v>716</v>
      </c>
      <c r="H54" s="58"/>
      <c r="I54" s="33" t="s">
        <v>11</v>
      </c>
      <c r="J54" s="33" t="s">
        <v>597</v>
      </c>
      <c r="K54" s="33" t="s">
        <v>11</v>
      </c>
      <c r="L54" s="33" t="s">
        <v>597</v>
      </c>
      <c r="M54" s="33" t="s">
        <v>11</v>
      </c>
      <c r="N54" s="34" t="s">
        <v>597</v>
      </c>
    </row>
    <row r="55" spans="2:17" ht="15.75" thickBot="1" x14ac:dyDescent="0.3">
      <c r="B55" s="35">
        <v>1</v>
      </c>
      <c r="C55" s="34">
        <v>2</v>
      </c>
      <c r="D55" s="34">
        <v>3</v>
      </c>
      <c r="E55" s="34">
        <v>4</v>
      </c>
      <c r="F55" s="34">
        <v>5</v>
      </c>
      <c r="G55" s="34">
        <v>6</v>
      </c>
      <c r="H55" s="34">
        <v>7</v>
      </c>
      <c r="I55" s="34">
        <v>8</v>
      </c>
      <c r="J55" s="34">
        <v>9</v>
      </c>
      <c r="K55" s="33">
        <v>10</v>
      </c>
      <c r="L55" s="33">
        <v>11</v>
      </c>
      <c r="M55" s="33">
        <v>12</v>
      </c>
      <c r="N55" s="34">
        <v>13</v>
      </c>
    </row>
    <row r="56" spans="2:17" ht="51.75" thickBot="1" x14ac:dyDescent="0.3">
      <c r="B56" s="46">
        <v>1</v>
      </c>
      <c r="C56" s="36" t="s">
        <v>598</v>
      </c>
      <c r="D56" s="42">
        <v>45295</v>
      </c>
      <c r="E56" s="36" t="s">
        <v>14</v>
      </c>
      <c r="F56" s="36" t="s">
        <v>717</v>
      </c>
      <c r="G56" s="36" t="s">
        <v>14</v>
      </c>
      <c r="H56" s="36" t="s">
        <v>718</v>
      </c>
      <c r="I56" s="34" t="s">
        <v>14</v>
      </c>
      <c r="J56" s="34" t="s">
        <v>14</v>
      </c>
      <c r="K56" s="33" t="s">
        <v>14</v>
      </c>
      <c r="L56" s="33" t="s">
        <v>14</v>
      </c>
      <c r="M56" s="33" t="s">
        <v>14</v>
      </c>
      <c r="N56" s="50" t="s">
        <v>20</v>
      </c>
    </row>
    <row r="57" spans="2:17" ht="39" thickBot="1" x14ac:dyDescent="0.3">
      <c r="B57" s="46">
        <v>2</v>
      </c>
      <c r="C57" s="36" t="s">
        <v>598</v>
      </c>
      <c r="D57" s="42">
        <v>45300</v>
      </c>
      <c r="E57" s="36" t="s">
        <v>14</v>
      </c>
      <c r="F57" s="36" t="s">
        <v>14</v>
      </c>
      <c r="G57" s="36" t="s">
        <v>70</v>
      </c>
      <c r="H57" s="36" t="s">
        <v>719</v>
      </c>
      <c r="I57" s="38" t="s">
        <v>14</v>
      </c>
      <c r="J57" s="38" t="s">
        <v>14</v>
      </c>
      <c r="K57" s="39">
        <v>4</v>
      </c>
      <c r="L57" s="39" t="s">
        <v>14</v>
      </c>
      <c r="M57" s="39"/>
      <c r="N57" s="41"/>
    </row>
    <row r="58" spans="2:17" ht="51.75" thickBot="1" x14ac:dyDescent="0.3">
      <c r="B58" s="46">
        <v>3</v>
      </c>
      <c r="C58" s="36" t="s">
        <v>598</v>
      </c>
      <c r="D58" s="42">
        <v>45311</v>
      </c>
      <c r="E58" s="36" t="s">
        <v>14</v>
      </c>
      <c r="F58" s="36" t="s">
        <v>14</v>
      </c>
      <c r="G58" s="36" t="s">
        <v>70</v>
      </c>
      <c r="H58" s="36" t="s">
        <v>720</v>
      </c>
      <c r="I58" s="38"/>
      <c r="J58" s="38"/>
      <c r="K58" s="39"/>
      <c r="L58" s="39"/>
      <c r="M58" s="39"/>
      <c r="N58" s="41">
        <v>1</v>
      </c>
    </row>
    <row r="59" spans="2:17" ht="15.75" thickBot="1" x14ac:dyDescent="0.3">
      <c r="B59" s="46"/>
      <c r="C59" s="36"/>
      <c r="D59" s="36"/>
      <c r="E59" s="36"/>
      <c r="F59" s="36"/>
      <c r="G59" s="36"/>
      <c r="H59" s="38" t="s">
        <v>19</v>
      </c>
      <c r="I59" s="41">
        <v>0</v>
      </c>
      <c r="J59" s="38" t="s">
        <v>14</v>
      </c>
      <c r="K59" s="39">
        <v>4</v>
      </c>
      <c r="L59" s="39" t="s">
        <v>14</v>
      </c>
      <c r="M59" s="33">
        <v>0</v>
      </c>
      <c r="N59" s="36">
        <v>1</v>
      </c>
    </row>
    <row r="60" spans="2:17" x14ac:dyDescent="0.25">
      <c r="B60" s="51" t="s">
        <v>92</v>
      </c>
    </row>
    <row r="61" spans="2:17" ht="16.5" x14ac:dyDescent="0.25">
      <c r="B61" s="52"/>
    </row>
    <row r="62" spans="2:17" ht="17.25" thickBot="1" x14ac:dyDescent="0.3">
      <c r="B62" s="52" t="s">
        <v>721</v>
      </c>
    </row>
    <row r="63" spans="2:17" ht="117" customHeight="1" thickBot="1" x14ac:dyDescent="0.3">
      <c r="B63" s="86" t="s">
        <v>589</v>
      </c>
      <c r="C63" s="86" t="s">
        <v>0</v>
      </c>
      <c r="D63" s="86" t="s">
        <v>590</v>
      </c>
      <c r="E63" s="86" t="s">
        <v>1</v>
      </c>
      <c r="F63" s="86" t="s">
        <v>592</v>
      </c>
      <c r="G63" s="86" t="s">
        <v>593</v>
      </c>
      <c r="H63" s="86" t="s">
        <v>4</v>
      </c>
      <c r="I63" s="86" t="s">
        <v>594</v>
      </c>
      <c r="J63" s="86" t="s">
        <v>595</v>
      </c>
      <c r="K63" s="86" t="s">
        <v>596</v>
      </c>
      <c r="L63" s="97" t="s">
        <v>8</v>
      </c>
      <c r="M63" s="85"/>
      <c r="N63" s="84" t="s">
        <v>9</v>
      </c>
      <c r="O63" s="85"/>
      <c r="P63" s="84" t="s">
        <v>10</v>
      </c>
      <c r="Q63" s="85"/>
    </row>
    <row r="64" spans="2:17" ht="15.75" thickBot="1" x14ac:dyDescent="0.3">
      <c r="B64" s="58"/>
      <c r="C64" s="58"/>
      <c r="D64" s="58"/>
      <c r="E64" s="58"/>
      <c r="F64" s="58"/>
      <c r="G64" s="58"/>
      <c r="H64" s="58"/>
      <c r="I64" s="58"/>
      <c r="J64" s="58"/>
      <c r="K64" s="58"/>
      <c r="L64" s="33" t="s">
        <v>11</v>
      </c>
      <c r="M64" s="33" t="s">
        <v>597</v>
      </c>
      <c r="N64" s="33" t="s">
        <v>11</v>
      </c>
      <c r="O64" s="33" t="s">
        <v>597</v>
      </c>
      <c r="P64" s="33" t="s">
        <v>11</v>
      </c>
      <c r="Q64" s="34" t="s">
        <v>597</v>
      </c>
    </row>
    <row r="65" spans="2:17" ht="15.75" thickBot="1" x14ac:dyDescent="0.3">
      <c r="B65" s="35">
        <v>1</v>
      </c>
      <c r="C65" s="34">
        <v>2</v>
      </c>
      <c r="D65" s="34">
        <v>3</v>
      </c>
      <c r="E65" s="34">
        <v>4</v>
      </c>
      <c r="F65" s="34">
        <v>5</v>
      </c>
      <c r="G65" s="34">
        <v>6</v>
      </c>
      <c r="H65" s="34">
        <v>7</v>
      </c>
      <c r="I65" s="34">
        <v>8</v>
      </c>
      <c r="J65" s="34">
        <v>9</v>
      </c>
      <c r="K65" s="34">
        <v>10</v>
      </c>
      <c r="L65" s="34">
        <v>11</v>
      </c>
      <c r="M65" s="34">
        <v>12</v>
      </c>
      <c r="N65" s="33">
        <v>13</v>
      </c>
      <c r="O65" s="33">
        <v>14</v>
      </c>
      <c r="P65" s="33">
        <v>15</v>
      </c>
      <c r="Q65" s="34">
        <v>16</v>
      </c>
    </row>
    <row r="66" spans="2:17" ht="39" thickBot="1" x14ac:dyDescent="0.3">
      <c r="B66" s="35">
        <v>1</v>
      </c>
      <c r="C66" s="34" t="s">
        <v>598</v>
      </c>
      <c r="D66" s="34" t="s">
        <v>598</v>
      </c>
      <c r="E66" s="40">
        <v>45323</v>
      </c>
      <c r="F66" s="34" t="s">
        <v>722</v>
      </c>
      <c r="G66" s="36" t="s">
        <v>723</v>
      </c>
      <c r="H66" s="34" t="s">
        <v>629</v>
      </c>
      <c r="I66" s="34" t="s">
        <v>724</v>
      </c>
      <c r="J66" s="37">
        <v>10000</v>
      </c>
      <c r="K66" s="41">
        <v>40000</v>
      </c>
      <c r="L66" s="38" t="s">
        <v>14</v>
      </c>
      <c r="M66" s="38" t="s">
        <v>14</v>
      </c>
      <c r="N66" s="39" t="s">
        <v>14</v>
      </c>
      <c r="O66" s="39" t="s">
        <v>14</v>
      </c>
      <c r="P66" s="39" t="s">
        <v>14</v>
      </c>
      <c r="Q66" s="38" t="s">
        <v>14</v>
      </c>
    </row>
    <row r="67" spans="2:17" ht="39" thickBot="1" x14ac:dyDescent="0.3">
      <c r="B67" s="35">
        <v>2</v>
      </c>
      <c r="C67" s="34" t="s">
        <v>598</v>
      </c>
      <c r="D67" s="34" t="s">
        <v>598</v>
      </c>
      <c r="E67" s="40">
        <v>45323</v>
      </c>
      <c r="F67" s="34" t="s">
        <v>725</v>
      </c>
      <c r="G67" s="36" t="s">
        <v>726</v>
      </c>
      <c r="H67" s="34" t="s">
        <v>629</v>
      </c>
      <c r="I67" s="34" t="s">
        <v>727</v>
      </c>
      <c r="J67" s="37">
        <v>1000</v>
      </c>
      <c r="K67" s="37">
        <v>9000</v>
      </c>
      <c r="L67" s="38" t="s">
        <v>14</v>
      </c>
      <c r="M67" s="38" t="s">
        <v>14</v>
      </c>
      <c r="N67" s="39" t="s">
        <v>14</v>
      </c>
      <c r="O67" s="39" t="s">
        <v>14</v>
      </c>
      <c r="P67" s="39" t="s">
        <v>14</v>
      </c>
      <c r="Q67" s="38" t="s">
        <v>14</v>
      </c>
    </row>
    <row r="68" spans="2:17" ht="51.75" thickBot="1" x14ac:dyDescent="0.3">
      <c r="B68" s="35">
        <v>3</v>
      </c>
      <c r="C68" s="34" t="s">
        <v>598</v>
      </c>
      <c r="D68" s="34" t="s">
        <v>598</v>
      </c>
      <c r="E68" s="40">
        <v>45323</v>
      </c>
      <c r="F68" s="34" t="s">
        <v>728</v>
      </c>
      <c r="G68" s="34" t="s">
        <v>729</v>
      </c>
      <c r="H68" s="38" t="s">
        <v>730</v>
      </c>
      <c r="I68" s="34" t="s">
        <v>605</v>
      </c>
      <c r="J68" s="37">
        <v>5000</v>
      </c>
      <c r="K68" s="37">
        <v>95000</v>
      </c>
      <c r="L68" s="38" t="s">
        <v>14</v>
      </c>
      <c r="M68" s="38" t="s">
        <v>14</v>
      </c>
      <c r="N68" s="39" t="s">
        <v>14</v>
      </c>
      <c r="O68" s="39" t="s">
        <v>14</v>
      </c>
      <c r="P68" s="39">
        <v>2</v>
      </c>
      <c r="Q68" s="38" t="s">
        <v>14</v>
      </c>
    </row>
    <row r="69" spans="2:17" ht="64.5" thickBot="1" x14ac:dyDescent="0.3">
      <c r="B69" s="35">
        <v>4</v>
      </c>
      <c r="C69" s="34" t="s">
        <v>598</v>
      </c>
      <c r="D69" s="34" t="s">
        <v>598</v>
      </c>
      <c r="E69" s="40">
        <v>45323</v>
      </c>
      <c r="F69" s="34" t="s">
        <v>731</v>
      </c>
      <c r="G69" s="34" t="s">
        <v>732</v>
      </c>
      <c r="H69" s="38" t="s">
        <v>610</v>
      </c>
      <c r="I69" s="34" t="s">
        <v>724</v>
      </c>
      <c r="J69" s="41">
        <v>1000</v>
      </c>
      <c r="K69" s="41">
        <v>9000</v>
      </c>
      <c r="L69" s="38" t="s">
        <v>14</v>
      </c>
      <c r="M69" s="38" t="s">
        <v>14</v>
      </c>
      <c r="N69" s="39" t="s">
        <v>14</v>
      </c>
      <c r="O69" s="39" t="s">
        <v>14</v>
      </c>
      <c r="P69" s="39" t="s">
        <v>14</v>
      </c>
      <c r="Q69" s="38" t="s">
        <v>14</v>
      </c>
    </row>
    <row r="70" spans="2:17" ht="51.75" thickBot="1" x14ac:dyDescent="0.3">
      <c r="B70" s="35">
        <v>5</v>
      </c>
      <c r="C70" s="34" t="s">
        <v>598</v>
      </c>
      <c r="D70" s="34" t="s">
        <v>598</v>
      </c>
      <c r="E70" s="40">
        <v>45323</v>
      </c>
      <c r="F70" s="38" t="s">
        <v>733</v>
      </c>
      <c r="G70" s="38" t="s">
        <v>734</v>
      </c>
      <c r="H70" s="34" t="s">
        <v>610</v>
      </c>
      <c r="I70" s="34" t="s">
        <v>724</v>
      </c>
      <c r="J70" s="37">
        <v>1000</v>
      </c>
      <c r="K70" s="37">
        <v>9000</v>
      </c>
      <c r="L70" s="38" t="s">
        <v>14</v>
      </c>
      <c r="M70" s="38" t="s">
        <v>14</v>
      </c>
      <c r="N70" s="39" t="s">
        <v>14</v>
      </c>
      <c r="O70" s="39" t="s">
        <v>14</v>
      </c>
      <c r="P70" s="39" t="s">
        <v>14</v>
      </c>
      <c r="Q70" s="38" t="s">
        <v>14</v>
      </c>
    </row>
    <row r="71" spans="2:17" ht="39" thickBot="1" x14ac:dyDescent="0.3">
      <c r="B71" s="35">
        <v>6</v>
      </c>
      <c r="C71" s="34" t="s">
        <v>598</v>
      </c>
      <c r="D71" s="34" t="s">
        <v>598</v>
      </c>
      <c r="E71" s="40">
        <v>45324</v>
      </c>
      <c r="F71" s="34" t="s">
        <v>146</v>
      </c>
      <c r="G71" s="34" t="s">
        <v>735</v>
      </c>
      <c r="H71" s="34" t="s">
        <v>610</v>
      </c>
      <c r="I71" s="34" t="s">
        <v>656</v>
      </c>
      <c r="J71" s="41">
        <v>400000</v>
      </c>
      <c r="K71" s="41">
        <v>1000000</v>
      </c>
      <c r="L71" s="38" t="s">
        <v>14</v>
      </c>
      <c r="M71" s="38" t="s">
        <v>14</v>
      </c>
      <c r="N71" s="39" t="s">
        <v>14</v>
      </c>
      <c r="O71" s="39" t="s">
        <v>14</v>
      </c>
      <c r="P71" s="39" t="s">
        <v>14</v>
      </c>
      <c r="Q71" s="38" t="s">
        <v>14</v>
      </c>
    </row>
    <row r="72" spans="2:17" ht="15.75" thickBot="1" x14ac:dyDescent="0.3">
      <c r="B72" s="35">
        <v>7</v>
      </c>
      <c r="C72" s="34" t="s">
        <v>598</v>
      </c>
      <c r="D72" s="34" t="s">
        <v>598</v>
      </c>
      <c r="E72" s="34" t="s">
        <v>736</v>
      </c>
      <c r="F72" s="34" t="s">
        <v>737</v>
      </c>
      <c r="G72" s="34" t="s">
        <v>738</v>
      </c>
      <c r="H72" s="34" t="s">
        <v>14</v>
      </c>
      <c r="I72" s="34" t="s">
        <v>14</v>
      </c>
      <c r="J72" s="41"/>
      <c r="K72" s="41"/>
      <c r="L72" s="38" t="s">
        <v>14</v>
      </c>
      <c r="M72" s="38" t="s">
        <v>14</v>
      </c>
      <c r="N72" s="39" t="s">
        <v>14</v>
      </c>
      <c r="O72" s="39" t="s">
        <v>14</v>
      </c>
      <c r="P72" s="39" t="s">
        <v>14</v>
      </c>
      <c r="Q72" s="38" t="s">
        <v>14</v>
      </c>
    </row>
    <row r="73" spans="2:17" ht="39" thickBot="1" x14ac:dyDescent="0.3">
      <c r="B73" s="35">
        <v>8</v>
      </c>
      <c r="C73" s="34" t="s">
        <v>598</v>
      </c>
      <c r="D73" s="34" t="s">
        <v>598</v>
      </c>
      <c r="E73" s="40">
        <v>45327</v>
      </c>
      <c r="F73" s="34" t="s">
        <v>300</v>
      </c>
      <c r="G73" s="34" t="s">
        <v>739</v>
      </c>
      <c r="H73" s="34" t="s">
        <v>610</v>
      </c>
      <c r="I73" s="34" t="s">
        <v>724</v>
      </c>
      <c r="J73" s="41">
        <v>1000</v>
      </c>
      <c r="K73" s="41">
        <v>9000</v>
      </c>
      <c r="L73" s="38" t="s">
        <v>14</v>
      </c>
      <c r="M73" s="38" t="s">
        <v>14</v>
      </c>
      <c r="N73" s="39" t="s">
        <v>14</v>
      </c>
      <c r="O73" s="39" t="s">
        <v>14</v>
      </c>
      <c r="P73" s="39" t="s">
        <v>14</v>
      </c>
      <c r="Q73" s="38" t="s">
        <v>14</v>
      </c>
    </row>
    <row r="74" spans="2:17" ht="39" thickBot="1" x14ac:dyDescent="0.3">
      <c r="B74" s="35">
        <v>9</v>
      </c>
      <c r="C74" s="34" t="s">
        <v>598</v>
      </c>
      <c r="D74" s="34" t="s">
        <v>598</v>
      </c>
      <c r="E74" s="40">
        <v>45328</v>
      </c>
      <c r="F74" s="34" t="s">
        <v>740</v>
      </c>
      <c r="G74" s="34" t="s">
        <v>741</v>
      </c>
      <c r="H74" s="34" t="s">
        <v>629</v>
      </c>
      <c r="I74" s="34" t="s">
        <v>724</v>
      </c>
      <c r="J74" s="41"/>
      <c r="K74" s="41"/>
      <c r="L74" s="38" t="s">
        <v>14</v>
      </c>
      <c r="M74" s="38" t="s">
        <v>14</v>
      </c>
      <c r="N74" s="39" t="s">
        <v>14</v>
      </c>
      <c r="O74" s="39" t="s">
        <v>14</v>
      </c>
      <c r="P74" s="39" t="s">
        <v>14</v>
      </c>
      <c r="Q74" s="38" t="s">
        <v>14</v>
      </c>
    </row>
    <row r="75" spans="2:17" ht="51.75" thickBot="1" x14ac:dyDescent="0.3">
      <c r="B75" s="35">
        <v>10</v>
      </c>
      <c r="C75" s="34" t="s">
        <v>598</v>
      </c>
      <c r="D75" s="34" t="s">
        <v>598</v>
      </c>
      <c r="E75" s="40">
        <v>45328</v>
      </c>
      <c r="F75" s="34" t="s">
        <v>742</v>
      </c>
      <c r="G75" s="38" t="s">
        <v>743</v>
      </c>
      <c r="H75" s="34" t="s">
        <v>629</v>
      </c>
      <c r="I75" s="34" t="s">
        <v>724</v>
      </c>
      <c r="J75" s="41"/>
      <c r="K75" s="41"/>
      <c r="L75" s="38" t="s">
        <v>14</v>
      </c>
      <c r="M75" s="38" t="s">
        <v>14</v>
      </c>
      <c r="N75" s="39" t="s">
        <v>14</v>
      </c>
      <c r="O75" s="39" t="s">
        <v>14</v>
      </c>
      <c r="P75" s="39" t="s">
        <v>14</v>
      </c>
      <c r="Q75" s="38" t="s">
        <v>14</v>
      </c>
    </row>
    <row r="76" spans="2:17" ht="39" thickBot="1" x14ac:dyDescent="0.3">
      <c r="B76" s="35">
        <v>11</v>
      </c>
      <c r="C76" s="34" t="s">
        <v>598</v>
      </c>
      <c r="D76" s="34" t="s">
        <v>598</v>
      </c>
      <c r="E76" s="40">
        <v>45329</v>
      </c>
      <c r="F76" s="34" t="s">
        <v>744</v>
      </c>
      <c r="G76" s="38" t="s">
        <v>745</v>
      </c>
      <c r="H76" s="34" t="s">
        <v>629</v>
      </c>
      <c r="I76" s="34" t="s">
        <v>746</v>
      </c>
      <c r="J76" s="37">
        <v>3400000</v>
      </c>
      <c r="K76" s="37">
        <v>21600000</v>
      </c>
      <c r="L76" s="38" t="s">
        <v>14</v>
      </c>
      <c r="M76" s="38" t="s">
        <v>14</v>
      </c>
      <c r="N76" s="39" t="s">
        <v>14</v>
      </c>
      <c r="O76" s="39" t="s">
        <v>14</v>
      </c>
      <c r="P76" s="39" t="s">
        <v>14</v>
      </c>
      <c r="Q76" s="38" t="s">
        <v>14</v>
      </c>
    </row>
    <row r="77" spans="2:17" ht="64.5" thickBot="1" x14ac:dyDescent="0.3">
      <c r="B77" s="35">
        <v>12</v>
      </c>
      <c r="C77" s="34" t="s">
        <v>598</v>
      </c>
      <c r="D77" s="34" t="s">
        <v>598</v>
      </c>
      <c r="E77" s="40">
        <v>45334</v>
      </c>
      <c r="F77" s="34" t="s">
        <v>747</v>
      </c>
      <c r="G77" s="38" t="s">
        <v>748</v>
      </c>
      <c r="H77" s="34" t="s">
        <v>629</v>
      </c>
      <c r="I77" s="34" t="s">
        <v>660</v>
      </c>
      <c r="J77" s="41"/>
      <c r="K77" s="41"/>
      <c r="L77" s="38" t="s">
        <v>14</v>
      </c>
      <c r="M77" s="38" t="s">
        <v>14</v>
      </c>
      <c r="N77" s="39" t="s">
        <v>14</v>
      </c>
      <c r="O77" s="39" t="s">
        <v>14</v>
      </c>
      <c r="P77" s="39" t="s">
        <v>14</v>
      </c>
      <c r="Q77" s="38" t="s">
        <v>14</v>
      </c>
    </row>
    <row r="78" spans="2:17" ht="39" thickBot="1" x14ac:dyDescent="0.3">
      <c r="B78" s="35">
        <v>13</v>
      </c>
      <c r="C78" s="34" t="s">
        <v>598</v>
      </c>
      <c r="D78" s="34" t="s">
        <v>598</v>
      </c>
      <c r="E78" s="42">
        <v>45335</v>
      </c>
      <c r="F78" s="34" t="s">
        <v>749</v>
      </c>
      <c r="G78" s="34" t="s">
        <v>750</v>
      </c>
      <c r="H78" s="34" t="s">
        <v>751</v>
      </c>
      <c r="I78" s="36"/>
      <c r="J78" s="41"/>
      <c r="K78" s="41"/>
      <c r="L78" s="38" t="s">
        <v>14</v>
      </c>
      <c r="M78" s="38" t="s">
        <v>14</v>
      </c>
      <c r="N78" s="39" t="s">
        <v>14</v>
      </c>
      <c r="O78" s="39" t="s">
        <v>14</v>
      </c>
      <c r="P78" s="39" t="s">
        <v>14</v>
      </c>
      <c r="Q78" s="38" t="s">
        <v>14</v>
      </c>
    </row>
    <row r="79" spans="2:17" ht="51.75" thickBot="1" x14ac:dyDescent="0.3">
      <c r="B79" s="35">
        <v>14</v>
      </c>
      <c r="C79" s="34" t="s">
        <v>598</v>
      </c>
      <c r="D79" s="34" t="s">
        <v>598</v>
      </c>
      <c r="E79" s="40">
        <v>45335</v>
      </c>
      <c r="F79" s="34" t="s">
        <v>752</v>
      </c>
      <c r="G79" s="38" t="s">
        <v>753</v>
      </c>
      <c r="H79" s="34" t="s">
        <v>40</v>
      </c>
      <c r="I79" s="34"/>
      <c r="J79" s="41"/>
      <c r="K79" s="41"/>
      <c r="L79" s="38" t="s">
        <v>14</v>
      </c>
      <c r="M79" s="38" t="s">
        <v>14</v>
      </c>
      <c r="N79" s="39" t="s">
        <v>14</v>
      </c>
      <c r="O79" s="39" t="s">
        <v>14</v>
      </c>
      <c r="P79" s="39" t="s">
        <v>14</v>
      </c>
      <c r="Q79" s="38" t="s">
        <v>14</v>
      </c>
    </row>
    <row r="80" spans="2:17" ht="26.25" thickBot="1" x14ac:dyDescent="0.3">
      <c r="B80" s="35">
        <v>15</v>
      </c>
      <c r="C80" s="34" t="s">
        <v>598</v>
      </c>
      <c r="D80" s="34" t="s">
        <v>598</v>
      </c>
      <c r="E80" s="40">
        <v>45337</v>
      </c>
      <c r="F80" s="34" t="s">
        <v>754</v>
      </c>
      <c r="G80" s="34" t="s">
        <v>755</v>
      </c>
      <c r="H80" s="34" t="s">
        <v>25</v>
      </c>
      <c r="I80" s="34"/>
      <c r="J80" s="41">
        <v>200000</v>
      </c>
      <c r="K80" s="41">
        <v>20000</v>
      </c>
      <c r="L80" s="38" t="s">
        <v>14</v>
      </c>
      <c r="M80" s="38" t="s">
        <v>14</v>
      </c>
      <c r="N80" s="39" t="s">
        <v>14</v>
      </c>
      <c r="O80" s="39" t="s">
        <v>14</v>
      </c>
      <c r="P80" s="39" t="s">
        <v>14</v>
      </c>
      <c r="Q80" s="38" t="s">
        <v>14</v>
      </c>
    </row>
    <row r="81" spans="2:17" ht="26.25" thickBot="1" x14ac:dyDescent="0.3">
      <c r="B81" s="35">
        <v>16</v>
      </c>
      <c r="C81" s="34" t="s">
        <v>598</v>
      </c>
      <c r="D81" s="34" t="s">
        <v>598</v>
      </c>
      <c r="E81" s="34" t="s">
        <v>756</v>
      </c>
      <c r="F81" s="34" t="s">
        <v>757</v>
      </c>
      <c r="G81" s="34" t="s">
        <v>758</v>
      </c>
      <c r="H81" s="34" t="s">
        <v>40</v>
      </c>
      <c r="I81" s="34"/>
      <c r="J81" s="41"/>
      <c r="K81" s="41"/>
      <c r="L81" s="38" t="s">
        <v>14</v>
      </c>
      <c r="M81" s="38" t="s">
        <v>14</v>
      </c>
      <c r="N81" s="39" t="s">
        <v>14</v>
      </c>
      <c r="O81" s="39" t="s">
        <v>14</v>
      </c>
      <c r="P81" s="39" t="s">
        <v>14</v>
      </c>
      <c r="Q81" s="38" t="s">
        <v>14</v>
      </c>
    </row>
    <row r="82" spans="2:17" ht="15.75" thickBot="1" x14ac:dyDescent="0.3">
      <c r="B82" s="35">
        <v>17</v>
      </c>
      <c r="C82" s="34" t="s">
        <v>598</v>
      </c>
      <c r="D82" s="34" t="s">
        <v>598</v>
      </c>
      <c r="E82" s="34"/>
      <c r="F82" s="34"/>
      <c r="G82" s="36"/>
      <c r="H82" s="34"/>
      <c r="I82" s="34"/>
      <c r="J82" s="41"/>
      <c r="K82" s="41"/>
      <c r="L82" s="38" t="s">
        <v>14</v>
      </c>
      <c r="M82" s="38" t="s">
        <v>14</v>
      </c>
      <c r="N82" s="39" t="s">
        <v>14</v>
      </c>
      <c r="O82" s="39" t="s">
        <v>14</v>
      </c>
      <c r="P82" s="39" t="s">
        <v>14</v>
      </c>
      <c r="Q82" s="38" t="s">
        <v>14</v>
      </c>
    </row>
    <row r="83" spans="2:17" ht="51.75" thickBot="1" x14ac:dyDescent="0.3">
      <c r="B83" s="35">
        <v>18</v>
      </c>
      <c r="C83" s="34" t="s">
        <v>657</v>
      </c>
      <c r="D83" s="34" t="s">
        <v>598</v>
      </c>
      <c r="E83" s="40">
        <v>45343</v>
      </c>
      <c r="F83" s="38" t="s">
        <v>759</v>
      </c>
      <c r="G83" s="38" t="s">
        <v>760</v>
      </c>
      <c r="H83" s="38" t="s">
        <v>761</v>
      </c>
      <c r="I83" s="34"/>
      <c r="J83" s="43"/>
      <c r="K83" s="43"/>
      <c r="L83" s="34" t="s">
        <v>14</v>
      </c>
      <c r="M83" s="34" t="s">
        <v>14</v>
      </c>
      <c r="N83" s="33" t="s">
        <v>14</v>
      </c>
      <c r="O83" s="33" t="s">
        <v>14</v>
      </c>
      <c r="P83" s="33" t="s">
        <v>14</v>
      </c>
      <c r="Q83" s="34" t="s">
        <v>14</v>
      </c>
    </row>
    <row r="84" spans="2:17" ht="51.75" thickBot="1" x14ac:dyDescent="0.3">
      <c r="B84" s="35">
        <v>19</v>
      </c>
      <c r="C84" s="34" t="s">
        <v>657</v>
      </c>
      <c r="D84" s="34" t="s">
        <v>598</v>
      </c>
      <c r="E84" s="40">
        <v>45345</v>
      </c>
      <c r="F84" s="38" t="s">
        <v>762</v>
      </c>
      <c r="G84" s="38" t="s">
        <v>763</v>
      </c>
      <c r="H84" s="38" t="s">
        <v>14</v>
      </c>
      <c r="I84" s="34" t="s">
        <v>764</v>
      </c>
      <c r="J84" s="41"/>
      <c r="K84" s="41"/>
      <c r="L84" s="34" t="s">
        <v>14</v>
      </c>
      <c r="M84" s="34" t="s">
        <v>14</v>
      </c>
      <c r="N84" s="33" t="s">
        <v>14</v>
      </c>
      <c r="O84" s="33" t="s">
        <v>14</v>
      </c>
      <c r="P84" s="33" t="s">
        <v>14</v>
      </c>
      <c r="Q84" s="34" t="s">
        <v>14</v>
      </c>
    </row>
    <row r="85" spans="2:17" ht="51.75" thickBot="1" x14ac:dyDescent="0.3">
      <c r="B85" s="35">
        <v>20</v>
      </c>
      <c r="C85" s="34" t="s">
        <v>657</v>
      </c>
      <c r="D85" s="34" t="s">
        <v>598</v>
      </c>
      <c r="E85" s="40">
        <v>45346</v>
      </c>
      <c r="F85" s="38" t="s">
        <v>765</v>
      </c>
      <c r="G85" s="38" t="s">
        <v>766</v>
      </c>
      <c r="H85" s="38" t="s">
        <v>629</v>
      </c>
      <c r="I85" s="38" t="s">
        <v>767</v>
      </c>
      <c r="J85" s="37">
        <v>1000</v>
      </c>
      <c r="K85" s="37">
        <v>9000</v>
      </c>
      <c r="L85" s="34" t="s">
        <v>14</v>
      </c>
      <c r="M85" s="34" t="s">
        <v>14</v>
      </c>
      <c r="N85" s="33" t="s">
        <v>14</v>
      </c>
      <c r="O85" s="33" t="s">
        <v>14</v>
      </c>
      <c r="P85" s="33" t="s">
        <v>14</v>
      </c>
      <c r="Q85" s="34" t="s">
        <v>14</v>
      </c>
    </row>
    <row r="86" spans="2:17" ht="26.25" thickBot="1" x14ac:dyDescent="0.3">
      <c r="B86" s="35">
        <v>21</v>
      </c>
      <c r="C86" s="34" t="s">
        <v>657</v>
      </c>
      <c r="D86" s="34" t="s">
        <v>598</v>
      </c>
      <c r="E86" s="40">
        <v>45347</v>
      </c>
      <c r="F86" s="38" t="s">
        <v>768</v>
      </c>
      <c r="G86" s="38" t="s">
        <v>769</v>
      </c>
      <c r="H86" s="38" t="s">
        <v>25</v>
      </c>
      <c r="I86" s="34" t="s">
        <v>770</v>
      </c>
      <c r="J86" s="37">
        <v>100000</v>
      </c>
      <c r="K86" s="37">
        <v>400000</v>
      </c>
      <c r="L86" s="38" t="s">
        <v>14</v>
      </c>
      <c r="M86" s="38" t="s">
        <v>14</v>
      </c>
      <c r="N86" s="39" t="s">
        <v>14</v>
      </c>
      <c r="O86" s="39" t="s">
        <v>14</v>
      </c>
      <c r="P86" s="39" t="s">
        <v>14</v>
      </c>
      <c r="Q86" s="38" t="s">
        <v>14</v>
      </c>
    </row>
    <row r="87" spans="2:17" ht="26.25" thickBot="1" x14ac:dyDescent="0.3">
      <c r="B87" s="35">
        <v>22</v>
      </c>
      <c r="C87" s="34" t="s">
        <v>657</v>
      </c>
      <c r="D87" s="34" t="s">
        <v>598</v>
      </c>
      <c r="E87" s="40">
        <v>45350</v>
      </c>
      <c r="F87" s="38" t="s">
        <v>771</v>
      </c>
      <c r="G87" s="38" t="s">
        <v>772</v>
      </c>
      <c r="H87" s="34" t="s">
        <v>629</v>
      </c>
      <c r="I87" s="34" t="s">
        <v>605</v>
      </c>
      <c r="J87" s="43">
        <v>300000</v>
      </c>
      <c r="K87" s="43">
        <v>1700000</v>
      </c>
      <c r="L87" s="38" t="s">
        <v>14</v>
      </c>
      <c r="M87" s="38" t="s">
        <v>14</v>
      </c>
      <c r="N87" s="39" t="s">
        <v>14</v>
      </c>
      <c r="O87" s="39" t="s">
        <v>14</v>
      </c>
      <c r="P87" s="39" t="s">
        <v>14</v>
      </c>
      <c r="Q87" s="38" t="s">
        <v>14</v>
      </c>
    </row>
    <row r="88" spans="2:17" ht="26.25" thickBot="1" x14ac:dyDescent="0.3">
      <c r="B88" s="35">
        <v>23</v>
      </c>
      <c r="C88" s="34"/>
      <c r="D88" s="34"/>
      <c r="E88" s="42">
        <v>45350</v>
      </c>
      <c r="F88" s="38" t="s">
        <v>773</v>
      </c>
      <c r="G88" s="38" t="s">
        <v>774</v>
      </c>
      <c r="H88" s="34" t="s">
        <v>25</v>
      </c>
      <c r="I88" s="34" t="s">
        <v>124</v>
      </c>
      <c r="J88" s="43">
        <v>50000</v>
      </c>
      <c r="K88" s="43">
        <v>5000000</v>
      </c>
      <c r="L88" s="38"/>
      <c r="M88" s="38"/>
      <c r="N88" s="39"/>
      <c r="O88" s="39"/>
      <c r="P88" s="39"/>
      <c r="Q88" s="38"/>
    </row>
    <row r="89" spans="2:17" ht="16.5" thickBot="1" x14ac:dyDescent="0.3">
      <c r="B89" s="35"/>
      <c r="C89" s="34"/>
      <c r="D89" s="34"/>
      <c r="E89" s="36"/>
      <c r="F89" s="38"/>
      <c r="G89" s="38"/>
      <c r="H89" s="34"/>
      <c r="I89" s="34" t="s">
        <v>19</v>
      </c>
      <c r="J89" s="43">
        <v>4470000</v>
      </c>
      <c r="K89" s="43">
        <v>29900000</v>
      </c>
      <c r="L89" s="38"/>
      <c r="M89" s="38"/>
      <c r="N89" s="39"/>
      <c r="O89" s="39"/>
      <c r="P89" s="39"/>
      <c r="Q89" s="38"/>
    </row>
    <row r="90" spans="2:17" x14ac:dyDescent="0.25">
      <c r="B90" s="48" t="s">
        <v>700</v>
      </c>
    </row>
    <row r="91" spans="2:17" ht="15.75" thickBot="1" x14ac:dyDescent="0.3">
      <c r="B91" s="49" t="s">
        <v>701</v>
      </c>
    </row>
    <row r="92" spans="2:17" ht="117" customHeight="1" thickBot="1" x14ac:dyDescent="0.3">
      <c r="B92" s="86" t="s">
        <v>589</v>
      </c>
      <c r="C92" s="86" t="s">
        <v>0</v>
      </c>
      <c r="D92" s="86" t="s">
        <v>590</v>
      </c>
      <c r="E92" s="86" t="s">
        <v>1</v>
      </c>
      <c r="F92" s="86" t="s">
        <v>592</v>
      </c>
      <c r="G92" s="86" t="s">
        <v>702</v>
      </c>
      <c r="H92" s="86" t="s">
        <v>4</v>
      </c>
      <c r="I92" s="86" t="s">
        <v>703</v>
      </c>
      <c r="J92" s="86" t="s">
        <v>595</v>
      </c>
      <c r="K92" s="86" t="s">
        <v>596</v>
      </c>
      <c r="L92" s="97" t="s">
        <v>8</v>
      </c>
      <c r="M92" s="85"/>
      <c r="N92" s="84" t="s">
        <v>9</v>
      </c>
      <c r="O92" s="85"/>
      <c r="P92" s="84" t="s">
        <v>10</v>
      </c>
      <c r="Q92" s="93"/>
    </row>
    <row r="93" spans="2:17" ht="15.75" thickBot="1" x14ac:dyDescent="0.3">
      <c r="B93" s="58"/>
      <c r="C93" s="58"/>
      <c r="D93" s="58"/>
      <c r="E93" s="58"/>
      <c r="F93" s="58"/>
      <c r="G93" s="58"/>
      <c r="H93" s="58"/>
      <c r="I93" s="58"/>
      <c r="J93" s="58"/>
      <c r="K93" s="58"/>
      <c r="L93" s="33" t="s">
        <v>11</v>
      </c>
      <c r="M93" s="33" t="s">
        <v>597</v>
      </c>
      <c r="N93" s="33" t="s">
        <v>11</v>
      </c>
      <c r="O93" s="33" t="s">
        <v>597</v>
      </c>
      <c r="P93" s="33" t="s">
        <v>11</v>
      </c>
      <c r="Q93" s="34" t="s">
        <v>597</v>
      </c>
    </row>
    <row r="94" spans="2:17" ht="15.75" thickBot="1" x14ac:dyDescent="0.3">
      <c r="B94" s="35">
        <v>1</v>
      </c>
      <c r="C94" s="34">
        <v>2</v>
      </c>
      <c r="D94" s="34">
        <v>3</v>
      </c>
      <c r="E94" s="34">
        <v>4</v>
      </c>
      <c r="F94" s="34">
        <v>5</v>
      </c>
      <c r="G94" s="34">
        <v>6</v>
      </c>
      <c r="H94" s="34">
        <v>7</v>
      </c>
      <c r="I94" s="34">
        <v>8</v>
      </c>
      <c r="J94" s="34">
        <v>9</v>
      </c>
      <c r="K94" s="34">
        <v>10</v>
      </c>
      <c r="L94" s="34">
        <v>11</v>
      </c>
      <c r="M94" s="34">
        <v>12</v>
      </c>
      <c r="N94" s="33">
        <v>13</v>
      </c>
      <c r="O94" s="33">
        <v>14</v>
      </c>
      <c r="P94" s="33">
        <v>15</v>
      </c>
      <c r="Q94" s="34">
        <v>16</v>
      </c>
    </row>
    <row r="95" spans="2:17" ht="39" thickBot="1" x14ac:dyDescent="0.3">
      <c r="B95" s="35">
        <v>1</v>
      </c>
      <c r="C95" s="34"/>
      <c r="D95" s="34"/>
      <c r="E95" s="40">
        <v>45344</v>
      </c>
      <c r="F95" s="34" t="s">
        <v>740</v>
      </c>
      <c r="G95" s="34" t="s">
        <v>775</v>
      </c>
      <c r="H95" s="34" t="s">
        <v>776</v>
      </c>
      <c r="I95" s="34" t="s">
        <v>777</v>
      </c>
      <c r="J95" s="34"/>
      <c r="K95" s="34"/>
      <c r="L95" s="34"/>
      <c r="M95" s="34"/>
      <c r="N95" s="33"/>
      <c r="O95" s="33"/>
      <c r="P95" s="33"/>
      <c r="Q95" s="34"/>
    </row>
    <row r="96" spans="2:17" x14ac:dyDescent="0.25">
      <c r="B96" s="48"/>
    </row>
    <row r="97" spans="2:17" x14ac:dyDescent="0.25">
      <c r="B97" s="48"/>
    </row>
    <row r="98" spans="2:17" x14ac:dyDescent="0.25">
      <c r="B98" s="48"/>
    </row>
    <row r="99" spans="2:17" x14ac:dyDescent="0.25">
      <c r="B99" s="48"/>
    </row>
    <row r="100" spans="2:17" ht="15.75" thickBot="1" x14ac:dyDescent="0.3">
      <c r="B100" s="49" t="s">
        <v>712</v>
      </c>
    </row>
    <row r="101" spans="2:17" ht="15" customHeight="1" thickBot="1" x14ac:dyDescent="0.3">
      <c r="B101" s="86" t="s">
        <v>589</v>
      </c>
      <c r="C101" s="86" t="s">
        <v>0</v>
      </c>
      <c r="D101" s="86" t="s">
        <v>713</v>
      </c>
      <c r="E101" s="94" t="s">
        <v>67</v>
      </c>
      <c r="F101" s="95"/>
      <c r="G101" s="96"/>
      <c r="H101" s="86" t="s">
        <v>714</v>
      </c>
      <c r="I101" s="97" t="s">
        <v>8</v>
      </c>
      <c r="J101" s="85"/>
      <c r="K101" s="84" t="s">
        <v>9</v>
      </c>
      <c r="L101" s="85"/>
      <c r="M101" s="84" t="s">
        <v>10</v>
      </c>
      <c r="N101" s="93"/>
    </row>
    <row r="102" spans="2:17" ht="15.75" thickBot="1" x14ac:dyDescent="0.3">
      <c r="B102" s="58"/>
      <c r="C102" s="58"/>
      <c r="D102" s="58"/>
      <c r="E102" s="34" t="s">
        <v>68</v>
      </c>
      <c r="F102" s="34" t="s">
        <v>715</v>
      </c>
      <c r="G102" s="34" t="s">
        <v>716</v>
      </c>
      <c r="H102" s="58"/>
      <c r="I102" s="33" t="s">
        <v>11</v>
      </c>
      <c r="J102" s="33" t="s">
        <v>597</v>
      </c>
      <c r="K102" s="33" t="s">
        <v>11</v>
      </c>
      <c r="L102" s="33" t="s">
        <v>597</v>
      </c>
      <c r="M102" s="33" t="s">
        <v>11</v>
      </c>
      <c r="N102" s="34" t="s">
        <v>597</v>
      </c>
    </row>
    <row r="103" spans="2:17" ht="15.75" thickBot="1" x14ac:dyDescent="0.3">
      <c r="B103" s="35">
        <v>1</v>
      </c>
      <c r="C103" s="34">
        <v>2</v>
      </c>
      <c r="D103" s="34">
        <v>3</v>
      </c>
      <c r="E103" s="34">
        <v>4</v>
      </c>
      <c r="F103" s="34">
        <v>5</v>
      </c>
      <c r="G103" s="34">
        <v>6</v>
      </c>
      <c r="H103" s="34">
        <v>7</v>
      </c>
      <c r="I103" s="34">
        <v>8</v>
      </c>
      <c r="J103" s="34">
        <v>9</v>
      </c>
      <c r="K103" s="33">
        <v>10</v>
      </c>
      <c r="L103" s="33">
        <v>11</v>
      </c>
      <c r="M103" s="33">
        <v>12</v>
      </c>
      <c r="N103" s="34">
        <v>13</v>
      </c>
    </row>
    <row r="104" spans="2:17" x14ac:dyDescent="0.25">
      <c r="B104" s="51"/>
    </row>
    <row r="105" spans="2:17" x14ac:dyDescent="0.25">
      <c r="B105" s="51"/>
    </row>
    <row r="106" spans="2:17" x14ac:dyDescent="0.25">
      <c r="B106" s="51"/>
    </row>
    <row r="107" spans="2:17" ht="16.5" x14ac:dyDescent="0.25">
      <c r="B107" s="52" t="s">
        <v>778</v>
      </c>
    </row>
    <row r="108" spans="2:17" ht="17.25" thickBot="1" x14ac:dyDescent="0.3">
      <c r="C108" s="53" t="s">
        <v>779</v>
      </c>
    </row>
    <row r="109" spans="2:17" ht="117" customHeight="1" thickBot="1" x14ac:dyDescent="0.3">
      <c r="B109" s="86" t="s">
        <v>589</v>
      </c>
      <c r="C109" s="86" t="s">
        <v>0</v>
      </c>
      <c r="D109" s="86" t="s">
        <v>590</v>
      </c>
      <c r="E109" s="86" t="s">
        <v>1</v>
      </c>
      <c r="F109" s="86" t="s">
        <v>592</v>
      </c>
      <c r="G109" s="86" t="s">
        <v>593</v>
      </c>
      <c r="H109" s="86" t="s">
        <v>4</v>
      </c>
      <c r="I109" s="86" t="s">
        <v>594</v>
      </c>
      <c r="J109" s="86" t="s">
        <v>595</v>
      </c>
      <c r="K109" s="86" t="s">
        <v>596</v>
      </c>
      <c r="L109" s="97" t="s">
        <v>8</v>
      </c>
      <c r="M109" s="85"/>
      <c r="N109" s="84" t="s">
        <v>9</v>
      </c>
      <c r="O109" s="85"/>
      <c r="P109" s="84" t="s">
        <v>10</v>
      </c>
      <c r="Q109" s="85"/>
    </row>
    <row r="110" spans="2:17" ht="15.75" thickBot="1" x14ac:dyDescent="0.3">
      <c r="B110" s="58"/>
      <c r="C110" s="58"/>
      <c r="D110" s="58"/>
      <c r="E110" s="58"/>
      <c r="F110" s="58"/>
      <c r="G110" s="58"/>
      <c r="H110" s="58"/>
      <c r="I110" s="58"/>
      <c r="J110" s="58"/>
      <c r="K110" s="58"/>
      <c r="L110" s="33" t="s">
        <v>11</v>
      </c>
      <c r="M110" s="33" t="s">
        <v>597</v>
      </c>
      <c r="N110" s="33" t="s">
        <v>11</v>
      </c>
      <c r="O110" s="33" t="s">
        <v>597</v>
      </c>
      <c r="P110" s="33" t="s">
        <v>11</v>
      </c>
      <c r="Q110" s="34" t="s">
        <v>597</v>
      </c>
    </row>
    <row r="111" spans="2:17" ht="15.75" thickBot="1" x14ac:dyDescent="0.3">
      <c r="B111" s="35">
        <v>1</v>
      </c>
      <c r="C111" s="34">
        <v>2</v>
      </c>
      <c r="D111" s="34">
        <v>3</v>
      </c>
      <c r="E111" s="34">
        <v>4</v>
      </c>
      <c r="F111" s="34">
        <v>5</v>
      </c>
      <c r="G111" s="34">
        <v>6</v>
      </c>
      <c r="H111" s="34">
        <v>7</v>
      </c>
      <c r="I111" s="34">
        <v>8</v>
      </c>
      <c r="J111" s="34">
        <v>9</v>
      </c>
      <c r="K111" s="34">
        <v>10</v>
      </c>
      <c r="L111" s="34">
        <v>11</v>
      </c>
      <c r="M111" s="34">
        <v>12</v>
      </c>
      <c r="N111" s="33">
        <v>13</v>
      </c>
      <c r="O111" s="33">
        <v>14</v>
      </c>
      <c r="P111" s="33">
        <v>15</v>
      </c>
      <c r="Q111" s="34">
        <v>16</v>
      </c>
    </row>
    <row r="112" spans="2:17" ht="51.75" thickBot="1" x14ac:dyDescent="0.3">
      <c r="B112" s="35">
        <v>1</v>
      </c>
      <c r="C112" s="34" t="s">
        <v>598</v>
      </c>
      <c r="D112" s="34" t="s">
        <v>598</v>
      </c>
      <c r="E112" s="40">
        <v>45353</v>
      </c>
      <c r="F112" s="34" t="s">
        <v>780</v>
      </c>
      <c r="G112" s="36" t="s">
        <v>781</v>
      </c>
      <c r="H112" s="34" t="s">
        <v>629</v>
      </c>
      <c r="I112" s="34" t="s">
        <v>14</v>
      </c>
      <c r="J112" s="34" t="s">
        <v>14</v>
      </c>
      <c r="K112" s="34" t="s">
        <v>14</v>
      </c>
      <c r="L112" s="38" t="s">
        <v>14</v>
      </c>
      <c r="M112" s="38" t="s">
        <v>14</v>
      </c>
      <c r="N112" s="39" t="s">
        <v>14</v>
      </c>
      <c r="O112" s="39" t="s">
        <v>14</v>
      </c>
      <c r="P112" s="39" t="s">
        <v>14</v>
      </c>
      <c r="Q112" s="38" t="s">
        <v>14</v>
      </c>
    </row>
    <row r="113" spans="2:17" ht="51.75" thickBot="1" x14ac:dyDescent="0.3">
      <c r="B113" s="35">
        <v>2</v>
      </c>
      <c r="C113" s="34" t="s">
        <v>598</v>
      </c>
      <c r="D113" s="34" t="s">
        <v>598</v>
      </c>
      <c r="E113" s="40">
        <v>45356</v>
      </c>
      <c r="F113" s="34" t="s">
        <v>782</v>
      </c>
      <c r="G113" s="36" t="s">
        <v>783</v>
      </c>
      <c r="H113" s="34" t="s">
        <v>25</v>
      </c>
      <c r="I113" s="34" t="s">
        <v>14</v>
      </c>
      <c r="J113" s="34" t="s">
        <v>14</v>
      </c>
      <c r="K113" s="34" t="s">
        <v>14</v>
      </c>
      <c r="L113" s="38" t="s">
        <v>14</v>
      </c>
      <c r="M113" s="38" t="s">
        <v>14</v>
      </c>
      <c r="N113" s="39" t="s">
        <v>14</v>
      </c>
      <c r="O113" s="39" t="s">
        <v>14</v>
      </c>
      <c r="P113" s="39" t="s">
        <v>14</v>
      </c>
      <c r="Q113" s="38" t="s">
        <v>14</v>
      </c>
    </row>
    <row r="114" spans="2:17" ht="64.5" thickBot="1" x14ac:dyDescent="0.3">
      <c r="B114" s="35">
        <v>3</v>
      </c>
      <c r="C114" s="34" t="s">
        <v>598</v>
      </c>
      <c r="D114" s="34" t="s">
        <v>598</v>
      </c>
      <c r="E114" s="40">
        <v>45356</v>
      </c>
      <c r="F114" s="34" t="s">
        <v>784</v>
      </c>
      <c r="G114" s="34" t="s">
        <v>785</v>
      </c>
      <c r="H114" s="34" t="s">
        <v>629</v>
      </c>
      <c r="I114" s="34" t="s">
        <v>14</v>
      </c>
      <c r="J114" s="54">
        <v>600000</v>
      </c>
      <c r="K114" s="54">
        <v>900000</v>
      </c>
      <c r="L114" s="38" t="s">
        <v>14</v>
      </c>
      <c r="M114" s="38" t="s">
        <v>14</v>
      </c>
      <c r="N114" s="39" t="s">
        <v>14</v>
      </c>
      <c r="O114" s="39" t="s">
        <v>14</v>
      </c>
      <c r="P114" s="39" t="s">
        <v>14</v>
      </c>
      <c r="Q114" s="38" t="s">
        <v>14</v>
      </c>
    </row>
    <row r="115" spans="2:17" ht="51.75" thickBot="1" x14ac:dyDescent="0.3">
      <c r="B115" s="35">
        <v>4</v>
      </c>
      <c r="C115" s="34" t="s">
        <v>598</v>
      </c>
      <c r="D115" s="34" t="s">
        <v>598</v>
      </c>
      <c r="E115" s="34" t="s">
        <v>786</v>
      </c>
      <c r="F115" s="34" t="s">
        <v>787</v>
      </c>
      <c r="G115" s="38" t="s">
        <v>788</v>
      </c>
      <c r="H115" s="34" t="s">
        <v>25</v>
      </c>
      <c r="I115" s="34" t="s">
        <v>14</v>
      </c>
      <c r="J115" s="55" t="s">
        <v>14</v>
      </c>
      <c r="K115" s="55" t="s">
        <v>14</v>
      </c>
      <c r="L115" s="38" t="s">
        <v>14</v>
      </c>
      <c r="M115" s="38" t="s">
        <v>14</v>
      </c>
      <c r="N115" s="39" t="s">
        <v>14</v>
      </c>
      <c r="O115" s="39" t="s">
        <v>14</v>
      </c>
      <c r="P115" s="39" t="s">
        <v>14</v>
      </c>
      <c r="Q115" s="38" t="s">
        <v>14</v>
      </c>
    </row>
    <row r="116" spans="2:17" ht="51.75" thickBot="1" x14ac:dyDescent="0.3">
      <c r="B116" s="35">
        <v>5</v>
      </c>
      <c r="C116" s="34" t="s">
        <v>598</v>
      </c>
      <c r="D116" s="34" t="s">
        <v>598</v>
      </c>
      <c r="E116" s="40">
        <v>45358</v>
      </c>
      <c r="F116" s="38" t="s">
        <v>789</v>
      </c>
      <c r="G116" s="38" t="s">
        <v>790</v>
      </c>
      <c r="H116" s="34" t="s">
        <v>25</v>
      </c>
      <c r="I116" s="34" t="s">
        <v>14</v>
      </c>
      <c r="J116" s="54">
        <v>50000</v>
      </c>
      <c r="K116" s="54" t="s">
        <v>14</v>
      </c>
      <c r="L116" s="38" t="s">
        <v>14</v>
      </c>
      <c r="M116" s="38" t="s">
        <v>14</v>
      </c>
      <c r="N116" s="39" t="s">
        <v>14</v>
      </c>
      <c r="O116" s="39">
        <v>3</v>
      </c>
      <c r="P116" s="39" t="s">
        <v>14</v>
      </c>
      <c r="Q116" s="38" t="s">
        <v>14</v>
      </c>
    </row>
    <row r="117" spans="2:17" ht="39" thickBot="1" x14ac:dyDescent="0.3">
      <c r="B117" s="35">
        <v>6</v>
      </c>
      <c r="C117" s="34" t="s">
        <v>598</v>
      </c>
      <c r="D117" s="34" t="s">
        <v>598</v>
      </c>
      <c r="E117" s="40">
        <v>45358</v>
      </c>
      <c r="F117" s="34" t="s">
        <v>791</v>
      </c>
      <c r="G117" s="34" t="s">
        <v>792</v>
      </c>
      <c r="H117" s="34" t="s">
        <v>793</v>
      </c>
      <c r="I117" s="34" t="s">
        <v>14</v>
      </c>
      <c r="J117" s="41">
        <v>300000</v>
      </c>
      <c r="K117" s="41">
        <v>100000</v>
      </c>
      <c r="L117" s="38" t="s">
        <v>14</v>
      </c>
      <c r="M117" s="38" t="s">
        <v>14</v>
      </c>
      <c r="N117" s="39" t="s">
        <v>14</v>
      </c>
      <c r="O117" s="39" t="s">
        <v>14</v>
      </c>
      <c r="P117" s="39" t="s">
        <v>14</v>
      </c>
      <c r="Q117" s="38" t="s">
        <v>14</v>
      </c>
    </row>
    <row r="118" spans="2:17" ht="77.25" thickBot="1" x14ac:dyDescent="0.3">
      <c r="B118" s="35">
        <v>7</v>
      </c>
      <c r="C118" s="34" t="s">
        <v>598</v>
      </c>
      <c r="D118" s="34" t="s">
        <v>598</v>
      </c>
      <c r="E118" s="40">
        <v>45361</v>
      </c>
      <c r="F118" s="34" t="s">
        <v>794</v>
      </c>
      <c r="G118" s="34" t="s">
        <v>795</v>
      </c>
      <c r="H118" s="34" t="s">
        <v>629</v>
      </c>
      <c r="I118" s="34" t="s">
        <v>14</v>
      </c>
      <c r="J118" s="55" t="s">
        <v>14</v>
      </c>
      <c r="K118" s="55" t="s">
        <v>14</v>
      </c>
      <c r="L118" s="38" t="s">
        <v>14</v>
      </c>
      <c r="M118" s="38" t="s">
        <v>14</v>
      </c>
      <c r="N118" s="39" t="s">
        <v>14</v>
      </c>
      <c r="O118" s="39" t="s">
        <v>14</v>
      </c>
      <c r="P118" s="39" t="s">
        <v>14</v>
      </c>
      <c r="Q118" s="38" t="s">
        <v>14</v>
      </c>
    </row>
    <row r="119" spans="2:17" ht="64.5" thickBot="1" x14ac:dyDescent="0.3">
      <c r="B119" s="35">
        <v>8</v>
      </c>
      <c r="C119" s="34" t="s">
        <v>598</v>
      </c>
      <c r="D119" s="34" t="s">
        <v>598</v>
      </c>
      <c r="E119" s="40">
        <v>45362</v>
      </c>
      <c r="F119" s="34" t="s">
        <v>796</v>
      </c>
      <c r="G119" s="34" t="s">
        <v>797</v>
      </c>
      <c r="H119" s="34" t="s">
        <v>14</v>
      </c>
      <c r="I119" s="36" t="s">
        <v>798</v>
      </c>
      <c r="J119" s="34" t="s">
        <v>14</v>
      </c>
      <c r="K119" s="34" t="s">
        <v>14</v>
      </c>
      <c r="L119" s="38" t="s">
        <v>14</v>
      </c>
      <c r="M119" s="38" t="s">
        <v>14</v>
      </c>
      <c r="N119" s="39" t="s">
        <v>14</v>
      </c>
      <c r="O119" s="39" t="s">
        <v>14</v>
      </c>
      <c r="P119" s="39" t="s">
        <v>14</v>
      </c>
      <c r="Q119" s="38" t="s">
        <v>14</v>
      </c>
    </row>
    <row r="120" spans="2:17" ht="51.75" thickBot="1" x14ac:dyDescent="0.3">
      <c r="B120" s="35">
        <v>9</v>
      </c>
      <c r="C120" s="34" t="s">
        <v>598</v>
      </c>
      <c r="D120" s="34" t="s">
        <v>598</v>
      </c>
      <c r="E120" s="40">
        <v>45365</v>
      </c>
      <c r="F120" s="34" t="s">
        <v>799</v>
      </c>
      <c r="G120" s="34" t="s">
        <v>800</v>
      </c>
      <c r="H120" s="34" t="s">
        <v>621</v>
      </c>
      <c r="I120" s="34" t="s">
        <v>14</v>
      </c>
      <c r="J120" s="55" t="s">
        <v>14</v>
      </c>
      <c r="K120" s="55" t="s">
        <v>14</v>
      </c>
      <c r="L120" s="38" t="s">
        <v>14</v>
      </c>
      <c r="M120" s="38" t="s">
        <v>14</v>
      </c>
      <c r="N120" s="39" t="s">
        <v>14</v>
      </c>
      <c r="O120" s="39" t="s">
        <v>14</v>
      </c>
      <c r="P120" s="39" t="s">
        <v>14</v>
      </c>
      <c r="Q120" s="38" t="s">
        <v>14</v>
      </c>
    </row>
    <row r="121" spans="2:17" ht="39" thickBot="1" x14ac:dyDescent="0.3">
      <c r="B121" s="35">
        <v>10</v>
      </c>
      <c r="C121" s="34" t="s">
        <v>598</v>
      </c>
      <c r="D121" s="34" t="s">
        <v>598</v>
      </c>
      <c r="E121" s="40">
        <v>45367</v>
      </c>
      <c r="F121" s="34" t="s">
        <v>801</v>
      </c>
      <c r="G121" s="38" t="s">
        <v>802</v>
      </c>
      <c r="H121" s="34" t="s">
        <v>40</v>
      </c>
      <c r="I121" s="34" t="s">
        <v>14</v>
      </c>
      <c r="J121" s="55" t="s">
        <v>14</v>
      </c>
      <c r="K121" s="55" t="s">
        <v>14</v>
      </c>
      <c r="L121" s="38" t="s">
        <v>14</v>
      </c>
      <c r="M121" s="38" t="s">
        <v>14</v>
      </c>
      <c r="N121" s="39" t="s">
        <v>14</v>
      </c>
      <c r="O121" s="39" t="s">
        <v>14</v>
      </c>
      <c r="P121" s="39" t="s">
        <v>14</v>
      </c>
      <c r="Q121" s="38" t="s">
        <v>14</v>
      </c>
    </row>
    <row r="122" spans="2:17" ht="39" thickBot="1" x14ac:dyDescent="0.3">
      <c r="B122" s="35">
        <v>11</v>
      </c>
      <c r="C122" s="34" t="s">
        <v>598</v>
      </c>
      <c r="D122" s="34" t="s">
        <v>598</v>
      </c>
      <c r="E122" s="40">
        <v>45368</v>
      </c>
      <c r="F122" s="34" t="s">
        <v>803</v>
      </c>
      <c r="G122" s="38" t="s">
        <v>804</v>
      </c>
      <c r="H122" s="34" t="s">
        <v>40</v>
      </c>
      <c r="I122" s="34" t="s">
        <v>14</v>
      </c>
      <c r="J122" s="55" t="s">
        <v>14</v>
      </c>
      <c r="K122" s="55" t="s">
        <v>14</v>
      </c>
      <c r="L122" s="38" t="s">
        <v>14</v>
      </c>
      <c r="M122" s="38" t="s">
        <v>14</v>
      </c>
      <c r="N122" s="39" t="s">
        <v>14</v>
      </c>
      <c r="O122" s="39" t="s">
        <v>14</v>
      </c>
      <c r="P122" s="39" t="s">
        <v>14</v>
      </c>
      <c r="Q122" s="38" t="s">
        <v>14</v>
      </c>
    </row>
    <row r="123" spans="2:17" ht="39" thickBot="1" x14ac:dyDescent="0.3">
      <c r="B123" s="35">
        <v>12</v>
      </c>
      <c r="C123" s="34" t="s">
        <v>598</v>
      </c>
      <c r="D123" s="34" t="s">
        <v>598</v>
      </c>
      <c r="E123" s="40">
        <v>45369</v>
      </c>
      <c r="F123" s="34" t="s">
        <v>805</v>
      </c>
      <c r="G123" s="38" t="s">
        <v>806</v>
      </c>
      <c r="H123" s="34" t="s">
        <v>25</v>
      </c>
      <c r="I123" s="34" t="s">
        <v>14</v>
      </c>
      <c r="J123" s="54">
        <v>150000</v>
      </c>
      <c r="K123" s="45">
        <v>50000</v>
      </c>
      <c r="L123" s="38" t="s">
        <v>14</v>
      </c>
      <c r="M123" s="38" t="s">
        <v>14</v>
      </c>
      <c r="N123" s="39" t="s">
        <v>14</v>
      </c>
      <c r="O123" s="39" t="s">
        <v>14</v>
      </c>
      <c r="P123" s="39" t="s">
        <v>14</v>
      </c>
      <c r="Q123" s="38" t="s">
        <v>14</v>
      </c>
    </row>
    <row r="124" spans="2:17" ht="77.25" thickBot="1" x14ac:dyDescent="0.3">
      <c r="B124" s="35">
        <v>13</v>
      </c>
      <c r="C124" s="34" t="s">
        <v>598</v>
      </c>
      <c r="D124" s="34" t="s">
        <v>598</v>
      </c>
      <c r="E124" s="42">
        <v>45369</v>
      </c>
      <c r="F124" s="34" t="s">
        <v>807</v>
      </c>
      <c r="G124" s="38" t="s">
        <v>808</v>
      </c>
      <c r="H124" s="34" t="s">
        <v>629</v>
      </c>
      <c r="I124" s="36" t="s">
        <v>14</v>
      </c>
      <c r="J124" s="56" t="s">
        <v>14</v>
      </c>
      <c r="K124" s="56" t="s">
        <v>14</v>
      </c>
      <c r="L124" s="38" t="s">
        <v>14</v>
      </c>
      <c r="M124" s="38" t="s">
        <v>14</v>
      </c>
      <c r="N124" s="39" t="s">
        <v>14</v>
      </c>
      <c r="O124" s="39" t="s">
        <v>14</v>
      </c>
      <c r="P124" s="39" t="s">
        <v>14</v>
      </c>
      <c r="Q124" s="38" t="s">
        <v>14</v>
      </c>
    </row>
    <row r="125" spans="2:17" ht="64.5" thickBot="1" x14ac:dyDescent="0.3">
      <c r="B125" s="35">
        <v>14</v>
      </c>
      <c r="C125" s="34" t="s">
        <v>598</v>
      </c>
      <c r="D125" s="34" t="s">
        <v>598</v>
      </c>
      <c r="E125" s="40">
        <v>45369</v>
      </c>
      <c r="F125" s="34" t="s">
        <v>809</v>
      </c>
      <c r="G125" s="38" t="s">
        <v>810</v>
      </c>
      <c r="H125" s="34" t="s">
        <v>629</v>
      </c>
      <c r="I125" s="34" t="s">
        <v>14</v>
      </c>
      <c r="J125" s="45">
        <v>150000</v>
      </c>
      <c r="K125" s="45">
        <v>150000</v>
      </c>
      <c r="L125" s="38" t="s">
        <v>14</v>
      </c>
      <c r="M125" s="38" t="s">
        <v>14</v>
      </c>
      <c r="N125" s="39" t="s">
        <v>14</v>
      </c>
      <c r="O125" s="39" t="s">
        <v>14</v>
      </c>
      <c r="P125" s="39" t="s">
        <v>14</v>
      </c>
      <c r="Q125" s="38" t="s">
        <v>14</v>
      </c>
    </row>
    <row r="126" spans="2:17" ht="64.5" thickBot="1" x14ac:dyDescent="0.3">
      <c r="B126" s="35">
        <v>15</v>
      </c>
      <c r="C126" s="34" t="s">
        <v>598</v>
      </c>
      <c r="D126" s="34" t="s">
        <v>598</v>
      </c>
      <c r="E126" s="40">
        <v>45370</v>
      </c>
      <c r="F126" s="34" t="s">
        <v>165</v>
      </c>
      <c r="G126" s="34" t="s">
        <v>811</v>
      </c>
      <c r="H126" s="34" t="s">
        <v>40</v>
      </c>
      <c r="I126" s="34" t="s">
        <v>14</v>
      </c>
      <c r="J126" s="55" t="s">
        <v>14</v>
      </c>
      <c r="K126" s="55" t="s">
        <v>14</v>
      </c>
      <c r="L126" s="38" t="s">
        <v>14</v>
      </c>
      <c r="M126" s="38" t="s">
        <v>14</v>
      </c>
      <c r="N126" s="39" t="s">
        <v>14</v>
      </c>
      <c r="O126" s="39" t="s">
        <v>14</v>
      </c>
      <c r="P126" s="39" t="s">
        <v>14</v>
      </c>
      <c r="Q126" s="38" t="s">
        <v>14</v>
      </c>
    </row>
    <row r="127" spans="2:17" ht="77.25" thickBot="1" x14ac:dyDescent="0.3">
      <c r="B127" s="35">
        <v>16</v>
      </c>
      <c r="C127" s="34" t="s">
        <v>598</v>
      </c>
      <c r="D127" s="34" t="s">
        <v>598</v>
      </c>
      <c r="E127" s="40">
        <v>45370</v>
      </c>
      <c r="F127" s="34" t="s">
        <v>812</v>
      </c>
      <c r="G127" s="34" t="s">
        <v>813</v>
      </c>
      <c r="H127" s="34" t="s">
        <v>40</v>
      </c>
      <c r="I127" s="34" t="s">
        <v>14</v>
      </c>
      <c r="J127" s="55" t="s">
        <v>14</v>
      </c>
      <c r="K127" s="55" t="s">
        <v>14</v>
      </c>
      <c r="L127" s="38" t="s">
        <v>14</v>
      </c>
      <c r="M127" s="38" t="s">
        <v>14</v>
      </c>
      <c r="N127" s="39" t="s">
        <v>14</v>
      </c>
      <c r="O127" s="39" t="s">
        <v>14</v>
      </c>
      <c r="P127" s="39" t="s">
        <v>14</v>
      </c>
      <c r="Q127" s="38" t="s">
        <v>14</v>
      </c>
    </row>
    <row r="128" spans="2:17" ht="77.25" thickBot="1" x14ac:dyDescent="0.3">
      <c r="B128" s="35">
        <v>17</v>
      </c>
      <c r="C128" s="34" t="s">
        <v>598</v>
      </c>
      <c r="D128" s="34" t="s">
        <v>598</v>
      </c>
      <c r="E128" s="40">
        <v>45370</v>
      </c>
      <c r="F128" s="34" t="s">
        <v>814</v>
      </c>
      <c r="G128" s="36" t="s">
        <v>815</v>
      </c>
      <c r="H128" s="34" t="s">
        <v>629</v>
      </c>
      <c r="I128" s="34" t="s">
        <v>14</v>
      </c>
      <c r="J128" s="55" t="s">
        <v>14</v>
      </c>
      <c r="K128" s="55" t="s">
        <v>14</v>
      </c>
      <c r="L128" s="38" t="s">
        <v>14</v>
      </c>
      <c r="M128" s="38" t="s">
        <v>14</v>
      </c>
      <c r="N128" s="39" t="s">
        <v>14</v>
      </c>
      <c r="O128" s="39" t="s">
        <v>14</v>
      </c>
      <c r="P128" s="39" t="s">
        <v>14</v>
      </c>
      <c r="Q128" s="38" t="s">
        <v>14</v>
      </c>
    </row>
    <row r="129" spans="2:17" ht="51.75" thickBot="1" x14ac:dyDescent="0.3">
      <c r="B129" s="35">
        <v>18</v>
      </c>
      <c r="C129" s="34" t="s">
        <v>657</v>
      </c>
      <c r="D129" s="34" t="s">
        <v>598</v>
      </c>
      <c r="E129" s="40">
        <v>45370</v>
      </c>
      <c r="F129" s="38" t="s">
        <v>816</v>
      </c>
      <c r="G129" s="38" t="s">
        <v>817</v>
      </c>
      <c r="H129" s="34" t="s">
        <v>818</v>
      </c>
      <c r="I129" s="34" t="s">
        <v>14</v>
      </c>
      <c r="J129" s="54">
        <v>10000</v>
      </c>
      <c r="K129" s="54">
        <v>40000</v>
      </c>
      <c r="L129" s="34" t="s">
        <v>14</v>
      </c>
      <c r="M129" s="34" t="s">
        <v>14</v>
      </c>
      <c r="N129" s="33" t="s">
        <v>14</v>
      </c>
      <c r="O129" s="33" t="s">
        <v>14</v>
      </c>
      <c r="P129" s="33" t="s">
        <v>14</v>
      </c>
      <c r="Q129" s="34" t="s">
        <v>14</v>
      </c>
    </row>
    <row r="130" spans="2:17" ht="64.5" thickBot="1" x14ac:dyDescent="0.3">
      <c r="B130" s="35">
        <v>19</v>
      </c>
      <c r="C130" s="34" t="s">
        <v>657</v>
      </c>
      <c r="D130" s="34" t="s">
        <v>598</v>
      </c>
      <c r="E130" s="40">
        <v>45371</v>
      </c>
      <c r="F130" s="38" t="s">
        <v>819</v>
      </c>
      <c r="G130" s="38" t="s">
        <v>820</v>
      </c>
      <c r="H130" s="34" t="s">
        <v>821</v>
      </c>
      <c r="I130" s="34" t="s">
        <v>14</v>
      </c>
      <c r="J130" s="41">
        <v>50000</v>
      </c>
      <c r="K130" s="41">
        <v>4950000</v>
      </c>
      <c r="L130" s="34" t="s">
        <v>14</v>
      </c>
      <c r="M130" s="34" t="s">
        <v>14</v>
      </c>
      <c r="N130" s="33" t="s">
        <v>14</v>
      </c>
      <c r="O130" s="33" t="s">
        <v>14</v>
      </c>
      <c r="P130" s="33" t="s">
        <v>14</v>
      </c>
      <c r="Q130" s="34" t="s">
        <v>14</v>
      </c>
    </row>
    <row r="131" spans="2:17" ht="51.75" thickBot="1" x14ac:dyDescent="0.3">
      <c r="B131" s="35">
        <v>20</v>
      </c>
      <c r="C131" s="34" t="s">
        <v>657</v>
      </c>
      <c r="D131" s="34" t="s">
        <v>598</v>
      </c>
      <c r="E131" s="40">
        <v>45371</v>
      </c>
      <c r="F131" s="38" t="s">
        <v>822</v>
      </c>
      <c r="G131" s="38" t="s">
        <v>823</v>
      </c>
      <c r="H131" s="34" t="s">
        <v>629</v>
      </c>
      <c r="I131" s="38" t="s">
        <v>14</v>
      </c>
      <c r="J131" s="55" t="s">
        <v>14</v>
      </c>
      <c r="K131" s="55" t="s">
        <v>14</v>
      </c>
      <c r="L131" s="34" t="s">
        <v>14</v>
      </c>
      <c r="M131" s="34" t="s">
        <v>14</v>
      </c>
      <c r="N131" s="33" t="s">
        <v>14</v>
      </c>
      <c r="O131" s="33" t="s">
        <v>14</v>
      </c>
      <c r="P131" s="33" t="s">
        <v>14</v>
      </c>
      <c r="Q131" s="34" t="s">
        <v>14</v>
      </c>
    </row>
    <row r="132" spans="2:17" ht="39" thickBot="1" x14ac:dyDescent="0.3">
      <c r="B132" s="35">
        <v>21</v>
      </c>
      <c r="C132" s="34" t="s">
        <v>657</v>
      </c>
      <c r="D132" s="34" t="s">
        <v>598</v>
      </c>
      <c r="E132" s="40">
        <v>45372</v>
      </c>
      <c r="F132" s="38" t="s">
        <v>824</v>
      </c>
      <c r="G132" s="38" t="s">
        <v>825</v>
      </c>
      <c r="H132" s="34" t="s">
        <v>25</v>
      </c>
      <c r="I132" s="34" t="s">
        <v>14</v>
      </c>
      <c r="J132" s="55" t="s">
        <v>14</v>
      </c>
      <c r="K132" s="55" t="s">
        <v>14</v>
      </c>
      <c r="L132" s="38" t="s">
        <v>14</v>
      </c>
      <c r="M132" s="38" t="s">
        <v>14</v>
      </c>
      <c r="N132" s="39" t="s">
        <v>14</v>
      </c>
      <c r="O132" s="39" t="s">
        <v>14</v>
      </c>
      <c r="P132" s="39" t="s">
        <v>14</v>
      </c>
      <c r="Q132" s="38" t="s">
        <v>14</v>
      </c>
    </row>
    <row r="133" spans="2:17" ht="39" thickBot="1" x14ac:dyDescent="0.3">
      <c r="B133" s="35">
        <v>22</v>
      </c>
      <c r="C133" s="34" t="s">
        <v>657</v>
      </c>
      <c r="D133" s="34" t="s">
        <v>598</v>
      </c>
      <c r="E133" s="40">
        <v>45372</v>
      </c>
      <c r="F133" s="38" t="s">
        <v>826</v>
      </c>
      <c r="G133" s="38" t="s">
        <v>827</v>
      </c>
      <c r="H133" s="34" t="s">
        <v>629</v>
      </c>
      <c r="I133" s="34" t="s">
        <v>14</v>
      </c>
      <c r="J133" s="54">
        <v>200000</v>
      </c>
      <c r="K133" s="54">
        <v>1800000</v>
      </c>
      <c r="L133" s="38" t="s">
        <v>14</v>
      </c>
      <c r="M133" s="38" t="s">
        <v>14</v>
      </c>
      <c r="N133" s="39" t="s">
        <v>14</v>
      </c>
      <c r="O133" s="39" t="s">
        <v>14</v>
      </c>
      <c r="P133" s="39" t="s">
        <v>14</v>
      </c>
      <c r="Q133" s="38" t="s">
        <v>14</v>
      </c>
    </row>
    <row r="134" spans="2:17" ht="39" thickBot="1" x14ac:dyDescent="0.3">
      <c r="B134" s="35">
        <v>23</v>
      </c>
      <c r="C134" s="34" t="s">
        <v>657</v>
      </c>
      <c r="D134" s="34" t="s">
        <v>598</v>
      </c>
      <c r="E134" s="42">
        <v>45374</v>
      </c>
      <c r="F134" s="38" t="s">
        <v>828</v>
      </c>
      <c r="G134" s="38" t="s">
        <v>829</v>
      </c>
      <c r="H134" s="34" t="s">
        <v>40</v>
      </c>
      <c r="I134" s="34" t="s">
        <v>14</v>
      </c>
      <c r="J134" s="55" t="s">
        <v>14</v>
      </c>
      <c r="K134" s="55" t="s">
        <v>14</v>
      </c>
      <c r="L134" s="38" t="s">
        <v>14</v>
      </c>
      <c r="M134" s="38" t="s">
        <v>14</v>
      </c>
      <c r="N134" s="39" t="s">
        <v>14</v>
      </c>
      <c r="O134" s="39" t="s">
        <v>14</v>
      </c>
      <c r="P134" s="39" t="s">
        <v>14</v>
      </c>
      <c r="Q134" s="38" t="s">
        <v>14</v>
      </c>
    </row>
    <row r="135" spans="2:17" ht="90" thickBot="1" x14ac:dyDescent="0.3">
      <c r="B135" s="35">
        <v>24</v>
      </c>
      <c r="C135" s="34" t="s">
        <v>657</v>
      </c>
      <c r="D135" s="34" t="s">
        <v>598</v>
      </c>
      <c r="E135" s="42">
        <v>45375</v>
      </c>
      <c r="F135" s="38" t="s">
        <v>830</v>
      </c>
      <c r="G135" s="38" t="s">
        <v>831</v>
      </c>
      <c r="H135" s="34" t="s">
        <v>40</v>
      </c>
      <c r="I135" s="34" t="s">
        <v>14</v>
      </c>
      <c r="J135" s="54">
        <v>300000</v>
      </c>
      <c r="K135" s="54">
        <v>200000</v>
      </c>
      <c r="L135" s="38" t="s">
        <v>14</v>
      </c>
      <c r="M135" s="38" t="s">
        <v>14</v>
      </c>
      <c r="N135" s="39" t="s">
        <v>14</v>
      </c>
      <c r="O135" s="39" t="s">
        <v>14</v>
      </c>
      <c r="P135" s="39" t="s">
        <v>14</v>
      </c>
      <c r="Q135" s="38" t="s">
        <v>14</v>
      </c>
    </row>
    <row r="136" spans="2:17" ht="51.75" thickBot="1" x14ac:dyDescent="0.3">
      <c r="B136" s="35">
        <v>25</v>
      </c>
      <c r="C136" s="34" t="s">
        <v>657</v>
      </c>
      <c r="D136" s="34" t="s">
        <v>598</v>
      </c>
      <c r="E136" s="42">
        <v>45376</v>
      </c>
      <c r="F136" s="38" t="s">
        <v>832</v>
      </c>
      <c r="G136" s="38" t="s">
        <v>833</v>
      </c>
      <c r="H136" s="34" t="s">
        <v>40</v>
      </c>
      <c r="I136" s="34" t="s">
        <v>14</v>
      </c>
      <c r="J136" s="55" t="s">
        <v>14</v>
      </c>
      <c r="K136" s="55" t="s">
        <v>14</v>
      </c>
      <c r="L136" s="38" t="s">
        <v>14</v>
      </c>
      <c r="M136" s="38" t="s">
        <v>14</v>
      </c>
      <c r="N136" s="39" t="s">
        <v>14</v>
      </c>
      <c r="O136" s="39" t="s">
        <v>14</v>
      </c>
      <c r="P136" s="39" t="s">
        <v>14</v>
      </c>
      <c r="Q136" s="38" t="s">
        <v>14</v>
      </c>
    </row>
    <row r="137" spans="2:17" ht="64.5" thickBot="1" x14ac:dyDescent="0.3">
      <c r="B137" s="35">
        <v>26</v>
      </c>
      <c r="C137" s="34" t="s">
        <v>657</v>
      </c>
      <c r="D137" s="34" t="s">
        <v>598</v>
      </c>
      <c r="E137" s="42">
        <v>45377</v>
      </c>
      <c r="F137" s="38" t="s">
        <v>834</v>
      </c>
      <c r="G137" s="38" t="s">
        <v>835</v>
      </c>
      <c r="H137" s="34" t="s">
        <v>836</v>
      </c>
      <c r="I137" s="34" t="s">
        <v>14</v>
      </c>
      <c r="J137" s="55" t="s">
        <v>14</v>
      </c>
      <c r="K137" s="55" t="s">
        <v>14</v>
      </c>
      <c r="L137" s="38" t="s">
        <v>14</v>
      </c>
      <c r="M137" s="38" t="s">
        <v>14</v>
      </c>
      <c r="N137" s="39" t="s">
        <v>14</v>
      </c>
      <c r="O137" s="39" t="s">
        <v>14</v>
      </c>
      <c r="P137" s="39" t="s">
        <v>14</v>
      </c>
      <c r="Q137" s="38" t="s">
        <v>14</v>
      </c>
    </row>
    <row r="138" spans="2:17" ht="26.25" thickBot="1" x14ac:dyDescent="0.3">
      <c r="B138" s="35">
        <v>29</v>
      </c>
      <c r="C138" s="34" t="s">
        <v>657</v>
      </c>
      <c r="D138" s="34" t="s">
        <v>598</v>
      </c>
      <c r="E138" s="42">
        <v>45377</v>
      </c>
      <c r="F138" s="38" t="s">
        <v>837</v>
      </c>
      <c r="G138" s="38" t="s">
        <v>838</v>
      </c>
      <c r="H138" s="34" t="s">
        <v>839</v>
      </c>
      <c r="I138" s="34" t="s">
        <v>14</v>
      </c>
      <c r="J138" s="55" t="s">
        <v>14</v>
      </c>
      <c r="K138" s="55" t="s">
        <v>14</v>
      </c>
      <c r="L138" s="38" t="s">
        <v>14</v>
      </c>
      <c r="M138" s="38" t="s">
        <v>14</v>
      </c>
      <c r="N138" s="39" t="s">
        <v>14</v>
      </c>
      <c r="O138" s="39" t="s">
        <v>14</v>
      </c>
      <c r="P138" s="39" t="s">
        <v>14</v>
      </c>
      <c r="Q138" s="38" t="s">
        <v>14</v>
      </c>
    </row>
    <row r="139" spans="2:17" ht="39" thickBot="1" x14ac:dyDescent="0.3">
      <c r="B139" s="35">
        <v>30</v>
      </c>
      <c r="C139" s="34" t="s">
        <v>657</v>
      </c>
      <c r="D139" s="34" t="s">
        <v>598</v>
      </c>
      <c r="E139" s="42">
        <v>45378</v>
      </c>
      <c r="F139" s="38" t="s">
        <v>840</v>
      </c>
      <c r="G139" s="38" t="s">
        <v>841</v>
      </c>
      <c r="H139" s="34" t="s">
        <v>40</v>
      </c>
      <c r="I139" s="34" t="s">
        <v>14</v>
      </c>
      <c r="J139" s="34" t="s">
        <v>14</v>
      </c>
      <c r="K139" s="34" t="s">
        <v>14</v>
      </c>
      <c r="L139" s="38" t="s">
        <v>14</v>
      </c>
      <c r="M139" s="38" t="s">
        <v>14</v>
      </c>
      <c r="N139" s="39" t="s">
        <v>14</v>
      </c>
      <c r="O139" s="39" t="s">
        <v>14</v>
      </c>
      <c r="P139" s="39" t="s">
        <v>14</v>
      </c>
      <c r="Q139" s="38" t="s">
        <v>14</v>
      </c>
    </row>
    <row r="140" spans="2:17" ht="64.5" thickBot="1" x14ac:dyDescent="0.3">
      <c r="B140" s="35">
        <v>31</v>
      </c>
      <c r="C140" s="34" t="s">
        <v>657</v>
      </c>
      <c r="D140" s="34" t="s">
        <v>657</v>
      </c>
      <c r="E140" s="42">
        <v>45379</v>
      </c>
      <c r="F140" s="38" t="s">
        <v>842</v>
      </c>
      <c r="G140" s="38" t="s">
        <v>843</v>
      </c>
      <c r="H140" s="34" t="s">
        <v>25</v>
      </c>
      <c r="I140" s="34"/>
      <c r="J140" s="57">
        <v>800000</v>
      </c>
      <c r="K140" s="57">
        <v>100000</v>
      </c>
      <c r="L140" s="38"/>
      <c r="M140" s="38"/>
      <c r="N140" s="39"/>
      <c r="O140" s="39"/>
      <c r="P140" s="39"/>
      <c r="Q140" s="38"/>
    </row>
    <row r="141" spans="2:17" ht="90" thickBot="1" x14ac:dyDescent="0.3">
      <c r="B141" s="35">
        <v>32</v>
      </c>
      <c r="C141" s="34" t="s">
        <v>657</v>
      </c>
      <c r="D141" s="34" t="s">
        <v>657</v>
      </c>
      <c r="E141" s="42">
        <v>45380</v>
      </c>
      <c r="F141" s="38" t="s">
        <v>844</v>
      </c>
      <c r="G141" s="38" t="s">
        <v>845</v>
      </c>
      <c r="H141" s="34" t="s">
        <v>14</v>
      </c>
      <c r="I141" s="34" t="s">
        <v>14</v>
      </c>
      <c r="J141" s="34" t="s">
        <v>14</v>
      </c>
      <c r="K141" s="34" t="s">
        <v>14</v>
      </c>
      <c r="L141" s="38" t="s">
        <v>14</v>
      </c>
      <c r="M141" s="38" t="s">
        <v>14</v>
      </c>
      <c r="N141" s="39" t="s">
        <v>14</v>
      </c>
      <c r="O141" s="39" t="s">
        <v>14</v>
      </c>
      <c r="P141" s="39" t="s">
        <v>14</v>
      </c>
      <c r="Q141" s="38" t="s">
        <v>14</v>
      </c>
    </row>
    <row r="142" spans="2:17" ht="15.75" thickBot="1" x14ac:dyDescent="0.3">
      <c r="B142" s="58"/>
      <c r="C142" s="34"/>
      <c r="D142" s="34"/>
      <c r="E142" s="36"/>
      <c r="F142" s="38"/>
      <c r="G142" s="38"/>
      <c r="H142" s="34"/>
      <c r="I142" s="34" t="s">
        <v>19</v>
      </c>
      <c r="J142" s="34" t="s">
        <v>846</v>
      </c>
      <c r="K142" s="34" t="s">
        <v>847</v>
      </c>
      <c r="L142" s="38"/>
      <c r="M142" s="38"/>
      <c r="N142" s="39"/>
      <c r="O142" s="39"/>
      <c r="P142" s="39"/>
      <c r="Q142" s="38"/>
    </row>
    <row r="143" spans="2:17" x14ac:dyDescent="0.25">
      <c r="B143" s="48" t="s">
        <v>700</v>
      </c>
    </row>
    <row r="144" spans="2:17" ht="15.75" thickBot="1" x14ac:dyDescent="0.3">
      <c r="B144" s="49" t="s">
        <v>701</v>
      </c>
    </row>
    <row r="145" spans="2:17" ht="117" customHeight="1" thickBot="1" x14ac:dyDescent="0.3">
      <c r="B145" s="86" t="s">
        <v>589</v>
      </c>
      <c r="C145" s="86" t="s">
        <v>0</v>
      </c>
      <c r="D145" s="86" t="s">
        <v>590</v>
      </c>
      <c r="E145" s="86" t="s">
        <v>1</v>
      </c>
      <c r="F145" s="86" t="s">
        <v>592</v>
      </c>
      <c r="G145" s="86" t="s">
        <v>702</v>
      </c>
      <c r="H145" s="86" t="s">
        <v>4</v>
      </c>
      <c r="I145" s="86" t="s">
        <v>703</v>
      </c>
      <c r="J145" s="86" t="s">
        <v>595</v>
      </c>
      <c r="K145" s="86" t="s">
        <v>596</v>
      </c>
      <c r="L145" s="97" t="s">
        <v>8</v>
      </c>
      <c r="M145" s="85"/>
      <c r="N145" s="84" t="s">
        <v>9</v>
      </c>
      <c r="O145" s="85"/>
      <c r="P145" s="84" t="s">
        <v>10</v>
      </c>
      <c r="Q145" s="93"/>
    </row>
    <row r="146" spans="2:17" ht="15.75" thickBot="1" x14ac:dyDescent="0.3">
      <c r="B146" s="58"/>
      <c r="C146" s="58"/>
      <c r="D146" s="58"/>
      <c r="E146" s="58"/>
      <c r="F146" s="58"/>
      <c r="G146" s="58"/>
      <c r="H146" s="58"/>
      <c r="I146" s="58"/>
      <c r="J146" s="58"/>
      <c r="K146" s="58"/>
      <c r="L146" s="33" t="s">
        <v>11</v>
      </c>
      <c r="M146" s="33" t="s">
        <v>597</v>
      </c>
      <c r="N146" s="33" t="s">
        <v>11</v>
      </c>
      <c r="O146" s="33" t="s">
        <v>597</v>
      </c>
      <c r="P146" s="33" t="s">
        <v>11</v>
      </c>
      <c r="Q146" s="34" t="s">
        <v>597</v>
      </c>
    </row>
    <row r="147" spans="2:17" ht="15.75" thickBot="1" x14ac:dyDescent="0.3">
      <c r="B147" s="35">
        <v>1</v>
      </c>
      <c r="C147" s="34">
        <v>2</v>
      </c>
      <c r="D147" s="34">
        <v>3</v>
      </c>
      <c r="E147" s="34">
        <v>4</v>
      </c>
      <c r="F147" s="34">
        <v>5</v>
      </c>
      <c r="G147" s="34">
        <v>6</v>
      </c>
      <c r="H147" s="34">
        <v>7</v>
      </c>
      <c r="I147" s="34">
        <v>8</v>
      </c>
      <c r="J147" s="34">
        <v>9</v>
      </c>
      <c r="K147" s="34">
        <v>10</v>
      </c>
      <c r="L147" s="34">
        <v>11</v>
      </c>
      <c r="M147" s="34">
        <v>12</v>
      </c>
      <c r="N147" s="33">
        <v>13</v>
      </c>
      <c r="O147" s="33">
        <v>14</v>
      </c>
      <c r="P147" s="33">
        <v>15</v>
      </c>
      <c r="Q147" s="34">
        <v>16</v>
      </c>
    </row>
    <row r="148" spans="2:17" ht="39" thickBot="1" x14ac:dyDescent="0.3">
      <c r="B148" s="35">
        <v>1</v>
      </c>
      <c r="C148" s="34" t="s">
        <v>598</v>
      </c>
      <c r="D148" s="34" t="s">
        <v>598</v>
      </c>
      <c r="E148" s="40">
        <v>45364</v>
      </c>
      <c r="F148" s="34" t="s">
        <v>305</v>
      </c>
      <c r="G148" s="34" t="s">
        <v>848</v>
      </c>
      <c r="H148" s="34" t="s">
        <v>40</v>
      </c>
      <c r="I148" s="34" t="s">
        <v>849</v>
      </c>
      <c r="J148" s="34" t="s">
        <v>14</v>
      </c>
      <c r="K148" s="34" t="s">
        <v>14</v>
      </c>
      <c r="L148" s="34" t="s">
        <v>14</v>
      </c>
      <c r="M148" s="34" t="s">
        <v>14</v>
      </c>
      <c r="N148" s="33" t="s">
        <v>14</v>
      </c>
      <c r="O148" s="33" t="s">
        <v>14</v>
      </c>
      <c r="P148" s="33" t="s">
        <v>14</v>
      </c>
      <c r="Q148" s="34" t="s">
        <v>14</v>
      </c>
    </row>
    <row r="149" spans="2:17" ht="26.25" thickBot="1" x14ac:dyDescent="0.3">
      <c r="B149" s="35">
        <v>2</v>
      </c>
      <c r="C149" s="34" t="s">
        <v>598</v>
      </c>
      <c r="D149" s="34" t="s">
        <v>598</v>
      </c>
      <c r="E149" s="40">
        <v>45370</v>
      </c>
      <c r="F149" s="34" t="s">
        <v>850</v>
      </c>
      <c r="G149" s="34" t="s">
        <v>851</v>
      </c>
      <c r="H149" s="34" t="s">
        <v>852</v>
      </c>
      <c r="I149" s="34" t="s">
        <v>849</v>
      </c>
      <c r="J149" s="34" t="s">
        <v>14</v>
      </c>
      <c r="K149" s="34" t="s">
        <v>14</v>
      </c>
      <c r="L149" s="34" t="s">
        <v>14</v>
      </c>
      <c r="M149" s="34" t="s">
        <v>14</v>
      </c>
      <c r="N149" s="33" t="s">
        <v>14</v>
      </c>
      <c r="O149" s="33" t="s">
        <v>14</v>
      </c>
      <c r="P149" s="33" t="s">
        <v>14</v>
      </c>
      <c r="Q149" s="34" t="s">
        <v>14</v>
      </c>
    </row>
    <row r="150" spans="2:17" x14ac:dyDescent="0.25">
      <c r="B150" s="48"/>
    </row>
    <row r="151" spans="2:17" ht="17.25" thickBot="1" x14ac:dyDescent="0.3">
      <c r="B151" s="52" t="s">
        <v>853</v>
      </c>
      <c r="C151" s="53" t="s">
        <v>779</v>
      </c>
    </row>
    <row r="152" spans="2:17" ht="117" customHeight="1" thickBot="1" x14ac:dyDescent="0.3">
      <c r="B152" s="86" t="s">
        <v>589</v>
      </c>
      <c r="C152" s="86" t="s">
        <v>0</v>
      </c>
      <c r="D152" s="86" t="s">
        <v>590</v>
      </c>
      <c r="E152" s="86" t="s">
        <v>1</v>
      </c>
      <c r="F152" s="86" t="s">
        <v>592</v>
      </c>
      <c r="G152" s="86" t="s">
        <v>593</v>
      </c>
      <c r="H152" s="86" t="s">
        <v>4</v>
      </c>
      <c r="I152" s="86" t="s">
        <v>594</v>
      </c>
      <c r="J152" s="86" t="s">
        <v>595</v>
      </c>
      <c r="K152" s="86" t="s">
        <v>596</v>
      </c>
      <c r="L152" s="97" t="s">
        <v>8</v>
      </c>
      <c r="M152" s="85"/>
      <c r="N152" s="84" t="s">
        <v>9</v>
      </c>
      <c r="O152" s="85"/>
      <c r="P152" s="84" t="s">
        <v>10</v>
      </c>
      <c r="Q152" s="85"/>
    </row>
    <row r="153" spans="2:17" ht="15.75" thickBot="1" x14ac:dyDescent="0.3">
      <c r="B153" s="58"/>
      <c r="C153" s="58"/>
      <c r="D153" s="58"/>
      <c r="E153" s="58"/>
      <c r="F153" s="58"/>
      <c r="G153" s="58"/>
      <c r="H153" s="58"/>
      <c r="I153" s="58"/>
      <c r="J153" s="58"/>
      <c r="K153" s="58"/>
      <c r="L153" s="33" t="s">
        <v>11</v>
      </c>
      <c r="M153" s="33" t="s">
        <v>597</v>
      </c>
      <c r="N153" s="33" t="s">
        <v>11</v>
      </c>
      <c r="O153" s="33" t="s">
        <v>597</v>
      </c>
      <c r="P153" s="33" t="s">
        <v>11</v>
      </c>
      <c r="Q153" s="34" t="s">
        <v>597</v>
      </c>
    </row>
    <row r="154" spans="2:17" ht="15.75" thickBot="1" x14ac:dyDescent="0.3">
      <c r="B154" s="35">
        <v>1</v>
      </c>
      <c r="C154" s="34">
        <v>2</v>
      </c>
      <c r="D154" s="34">
        <v>3</v>
      </c>
      <c r="E154" s="34">
        <v>4</v>
      </c>
      <c r="F154" s="34">
        <v>5</v>
      </c>
      <c r="G154" s="34">
        <v>6</v>
      </c>
      <c r="H154" s="34">
        <v>7</v>
      </c>
      <c r="I154" s="34">
        <v>8</v>
      </c>
      <c r="J154" s="34">
        <v>9</v>
      </c>
      <c r="K154" s="34">
        <v>10</v>
      </c>
      <c r="L154" s="34">
        <v>11</v>
      </c>
      <c r="M154" s="34">
        <v>12</v>
      </c>
      <c r="N154" s="33">
        <v>13</v>
      </c>
      <c r="O154" s="33">
        <v>14</v>
      </c>
      <c r="P154" s="33">
        <v>15</v>
      </c>
      <c r="Q154" s="34">
        <v>16</v>
      </c>
    </row>
    <row r="155" spans="2:17" ht="15.75" thickBot="1" x14ac:dyDescent="0.3">
      <c r="B155" s="35">
        <v>1</v>
      </c>
      <c r="C155" s="34" t="s">
        <v>598</v>
      </c>
      <c r="D155" s="34" t="s">
        <v>598</v>
      </c>
      <c r="E155" s="40">
        <v>45384</v>
      </c>
      <c r="F155" s="34" t="s">
        <v>854</v>
      </c>
      <c r="G155" s="36" t="s">
        <v>855</v>
      </c>
      <c r="H155" s="34" t="s">
        <v>25</v>
      </c>
      <c r="I155" s="34" t="s">
        <v>14</v>
      </c>
      <c r="J155" s="34">
        <v>100000</v>
      </c>
      <c r="K155" s="34">
        <v>280002</v>
      </c>
      <c r="L155" s="38" t="s">
        <v>14</v>
      </c>
      <c r="M155" s="38" t="s">
        <v>14</v>
      </c>
      <c r="N155" s="39" t="s">
        <v>14</v>
      </c>
      <c r="O155" s="39" t="s">
        <v>14</v>
      </c>
      <c r="P155" s="39" t="s">
        <v>14</v>
      </c>
      <c r="Q155" s="38" t="s">
        <v>14</v>
      </c>
    </row>
    <row r="156" spans="2:17" ht="26.25" thickBot="1" x14ac:dyDescent="0.3">
      <c r="B156" s="35">
        <v>2</v>
      </c>
      <c r="C156" s="34" t="s">
        <v>598</v>
      </c>
      <c r="D156" s="34" t="s">
        <v>598</v>
      </c>
      <c r="E156" s="42">
        <v>45385</v>
      </c>
      <c r="F156" s="34" t="s">
        <v>856</v>
      </c>
      <c r="G156" s="36" t="s">
        <v>857</v>
      </c>
      <c r="H156" s="36" t="s">
        <v>858</v>
      </c>
      <c r="I156" s="36" t="s">
        <v>859</v>
      </c>
      <c r="J156" s="59">
        <v>5000</v>
      </c>
      <c r="K156" s="36">
        <v>5000000</v>
      </c>
      <c r="L156" s="38" t="s">
        <v>14</v>
      </c>
      <c r="M156" s="38" t="s">
        <v>14</v>
      </c>
      <c r="N156" s="39" t="s">
        <v>14</v>
      </c>
      <c r="O156" s="39" t="s">
        <v>14</v>
      </c>
      <c r="P156" s="39" t="s">
        <v>14</v>
      </c>
      <c r="Q156" s="38" t="s">
        <v>14</v>
      </c>
    </row>
    <row r="157" spans="2:17" ht="26.25" thickBot="1" x14ac:dyDescent="0.3">
      <c r="B157" s="35">
        <v>3</v>
      </c>
      <c r="C157" s="34" t="s">
        <v>598</v>
      </c>
      <c r="D157" s="34" t="s">
        <v>598</v>
      </c>
      <c r="E157" s="42">
        <v>45387</v>
      </c>
      <c r="F157" s="34" t="s">
        <v>860</v>
      </c>
      <c r="G157" s="36" t="s">
        <v>861</v>
      </c>
      <c r="H157" s="36" t="s">
        <v>629</v>
      </c>
      <c r="I157" s="36" t="s">
        <v>862</v>
      </c>
      <c r="J157" s="60">
        <v>200000</v>
      </c>
      <c r="K157" s="60">
        <v>800000</v>
      </c>
      <c r="L157" s="38" t="s">
        <v>14</v>
      </c>
      <c r="M157" s="38" t="s">
        <v>14</v>
      </c>
      <c r="N157" s="39" t="s">
        <v>14</v>
      </c>
      <c r="O157" s="39" t="s">
        <v>14</v>
      </c>
      <c r="P157" s="39" t="s">
        <v>14</v>
      </c>
      <c r="Q157" s="38" t="s">
        <v>14</v>
      </c>
    </row>
    <row r="158" spans="2:17" ht="26.25" thickBot="1" x14ac:dyDescent="0.3">
      <c r="B158" s="35">
        <v>4</v>
      </c>
      <c r="C158" s="34" t="s">
        <v>598</v>
      </c>
      <c r="D158" s="34" t="s">
        <v>598</v>
      </c>
      <c r="E158" s="42">
        <v>45388</v>
      </c>
      <c r="F158" s="34" t="s">
        <v>863</v>
      </c>
      <c r="G158" s="36" t="s">
        <v>864</v>
      </c>
      <c r="H158" s="36" t="s">
        <v>621</v>
      </c>
      <c r="I158" s="36" t="s">
        <v>459</v>
      </c>
      <c r="J158" s="36" t="s">
        <v>14</v>
      </c>
      <c r="K158" s="36" t="s">
        <v>14</v>
      </c>
      <c r="L158" s="38" t="s">
        <v>14</v>
      </c>
      <c r="M158" s="38" t="s">
        <v>14</v>
      </c>
      <c r="N158" s="39" t="s">
        <v>14</v>
      </c>
      <c r="O158" s="39" t="s">
        <v>14</v>
      </c>
      <c r="P158" s="39" t="s">
        <v>14</v>
      </c>
      <c r="Q158" s="38" t="s">
        <v>14</v>
      </c>
    </row>
    <row r="159" spans="2:17" ht="39" thickBot="1" x14ac:dyDescent="0.3">
      <c r="B159" s="35">
        <v>5</v>
      </c>
      <c r="C159" s="34" t="s">
        <v>598</v>
      </c>
      <c r="D159" s="34" t="s">
        <v>598</v>
      </c>
      <c r="E159" s="42">
        <v>45388</v>
      </c>
      <c r="F159" s="38" t="s">
        <v>681</v>
      </c>
      <c r="G159" s="36" t="s">
        <v>865</v>
      </c>
      <c r="H159" s="36" t="s">
        <v>629</v>
      </c>
      <c r="I159" s="36" t="s">
        <v>862</v>
      </c>
      <c r="J159" s="60">
        <v>10000</v>
      </c>
      <c r="K159" s="60">
        <v>1990000</v>
      </c>
      <c r="L159" s="38" t="s">
        <v>14</v>
      </c>
      <c r="M159" s="38" t="s">
        <v>14</v>
      </c>
      <c r="N159" s="39" t="s">
        <v>14</v>
      </c>
      <c r="O159" s="61" t="s">
        <v>20</v>
      </c>
      <c r="P159" s="39" t="s">
        <v>14</v>
      </c>
      <c r="Q159" s="38" t="s">
        <v>14</v>
      </c>
    </row>
    <row r="160" spans="2:17" ht="39" thickBot="1" x14ac:dyDescent="0.3">
      <c r="B160" s="35">
        <v>6</v>
      </c>
      <c r="C160" s="34" t="s">
        <v>598</v>
      </c>
      <c r="D160" s="34" t="s">
        <v>598</v>
      </c>
      <c r="E160" s="42">
        <v>45389</v>
      </c>
      <c r="F160" s="34" t="s">
        <v>296</v>
      </c>
      <c r="G160" s="36" t="s">
        <v>866</v>
      </c>
      <c r="H160" s="36" t="s">
        <v>629</v>
      </c>
      <c r="I160" s="36" t="s">
        <v>867</v>
      </c>
      <c r="J160" s="62">
        <v>2000</v>
      </c>
      <c r="K160" s="62">
        <v>18000</v>
      </c>
      <c r="L160" s="38" t="s">
        <v>14</v>
      </c>
      <c r="M160" s="38" t="s">
        <v>14</v>
      </c>
      <c r="N160" s="39" t="s">
        <v>14</v>
      </c>
      <c r="O160" s="39" t="s">
        <v>14</v>
      </c>
      <c r="P160" s="39" t="s">
        <v>14</v>
      </c>
      <c r="Q160" s="38" t="s">
        <v>14</v>
      </c>
    </row>
    <row r="161" spans="2:17" ht="15.75" thickBot="1" x14ac:dyDescent="0.3">
      <c r="B161" s="35">
        <v>7</v>
      </c>
      <c r="C161" s="34" t="s">
        <v>598</v>
      </c>
      <c r="D161" s="34" t="s">
        <v>598</v>
      </c>
      <c r="E161" s="42">
        <v>45389</v>
      </c>
      <c r="F161" s="34" t="s">
        <v>816</v>
      </c>
      <c r="G161" s="36" t="s">
        <v>868</v>
      </c>
      <c r="H161" s="36" t="s">
        <v>629</v>
      </c>
      <c r="I161" s="36" t="s">
        <v>869</v>
      </c>
      <c r="J161" s="62">
        <v>500000</v>
      </c>
      <c r="K161" s="62">
        <v>1500000</v>
      </c>
      <c r="L161" s="38" t="s">
        <v>14</v>
      </c>
      <c r="M161" s="38" t="s">
        <v>14</v>
      </c>
      <c r="N161" s="39" t="s">
        <v>14</v>
      </c>
      <c r="O161" s="39" t="s">
        <v>14</v>
      </c>
      <c r="P161" s="39" t="s">
        <v>14</v>
      </c>
      <c r="Q161" s="38" t="s">
        <v>14</v>
      </c>
    </row>
    <row r="162" spans="2:17" ht="26.25" thickBot="1" x14ac:dyDescent="0.3">
      <c r="B162" s="35">
        <v>8</v>
      </c>
      <c r="C162" s="34" t="s">
        <v>598</v>
      </c>
      <c r="D162" s="34" t="s">
        <v>598</v>
      </c>
      <c r="E162" s="42">
        <v>45390</v>
      </c>
      <c r="F162" s="34" t="s">
        <v>870</v>
      </c>
      <c r="G162" s="36" t="s">
        <v>871</v>
      </c>
      <c r="H162" s="36" t="s">
        <v>40</v>
      </c>
      <c r="I162" s="36" t="s">
        <v>191</v>
      </c>
      <c r="J162" s="36" t="s">
        <v>14</v>
      </c>
      <c r="K162" s="36" t="s">
        <v>14</v>
      </c>
      <c r="L162" s="38" t="s">
        <v>14</v>
      </c>
      <c r="M162" s="38" t="s">
        <v>14</v>
      </c>
      <c r="N162" s="39" t="s">
        <v>14</v>
      </c>
      <c r="O162" s="39" t="s">
        <v>14</v>
      </c>
      <c r="P162" s="39" t="s">
        <v>14</v>
      </c>
      <c r="Q162" s="38" t="s">
        <v>14</v>
      </c>
    </row>
    <row r="163" spans="2:17" ht="19.5" thickBot="1" x14ac:dyDescent="0.3">
      <c r="B163" s="35">
        <v>9</v>
      </c>
      <c r="C163" s="34" t="s">
        <v>598</v>
      </c>
      <c r="D163" s="34" t="s">
        <v>598</v>
      </c>
      <c r="E163" s="42">
        <v>45391</v>
      </c>
      <c r="F163" s="34" t="s">
        <v>872</v>
      </c>
      <c r="G163" s="36" t="s">
        <v>873</v>
      </c>
      <c r="H163" s="36" t="s">
        <v>629</v>
      </c>
      <c r="I163" s="36" t="s">
        <v>874</v>
      </c>
      <c r="J163" s="63">
        <v>800000</v>
      </c>
      <c r="K163" s="63">
        <v>1200000</v>
      </c>
      <c r="L163" s="38" t="s">
        <v>14</v>
      </c>
      <c r="M163" s="38" t="s">
        <v>14</v>
      </c>
      <c r="N163" s="39" t="s">
        <v>14</v>
      </c>
      <c r="O163" s="39" t="s">
        <v>14</v>
      </c>
      <c r="P163" s="39" t="s">
        <v>14</v>
      </c>
      <c r="Q163" s="38" t="s">
        <v>14</v>
      </c>
    </row>
    <row r="164" spans="2:17" ht="26.25" thickBot="1" x14ac:dyDescent="0.3">
      <c r="B164" s="35">
        <v>10</v>
      </c>
      <c r="C164" s="34" t="s">
        <v>598</v>
      </c>
      <c r="D164" s="34" t="s">
        <v>598</v>
      </c>
      <c r="E164" s="42">
        <v>45391</v>
      </c>
      <c r="F164" s="34" t="s">
        <v>875</v>
      </c>
      <c r="G164" s="36" t="s">
        <v>876</v>
      </c>
      <c r="H164" s="36" t="s">
        <v>40</v>
      </c>
      <c r="I164" s="36" t="s">
        <v>877</v>
      </c>
      <c r="J164" s="63">
        <v>0</v>
      </c>
      <c r="K164" s="63">
        <v>100000</v>
      </c>
      <c r="L164" s="38" t="s">
        <v>14</v>
      </c>
      <c r="M164" s="38" t="s">
        <v>14</v>
      </c>
      <c r="N164" s="39" t="s">
        <v>14</v>
      </c>
      <c r="O164" s="39" t="s">
        <v>14</v>
      </c>
      <c r="P164" s="39" t="s">
        <v>14</v>
      </c>
      <c r="Q164" s="38" t="s">
        <v>14</v>
      </c>
    </row>
    <row r="165" spans="2:17" ht="26.25" thickBot="1" x14ac:dyDescent="0.3">
      <c r="B165" s="35">
        <v>11</v>
      </c>
      <c r="C165" s="34" t="s">
        <v>598</v>
      </c>
      <c r="D165" s="34" t="s">
        <v>598</v>
      </c>
      <c r="E165" s="42">
        <v>45392</v>
      </c>
      <c r="F165" s="34" t="s">
        <v>878</v>
      </c>
      <c r="G165" s="36" t="s">
        <v>879</v>
      </c>
      <c r="H165" s="36" t="s">
        <v>629</v>
      </c>
      <c r="I165" s="36" t="s">
        <v>862</v>
      </c>
      <c r="J165" s="63">
        <v>200000</v>
      </c>
      <c r="K165" s="63">
        <v>4800000</v>
      </c>
      <c r="L165" s="38"/>
      <c r="M165" s="38"/>
      <c r="N165" s="39"/>
      <c r="O165" s="39"/>
      <c r="P165" s="39"/>
      <c r="Q165" s="38"/>
    </row>
    <row r="166" spans="2:17" ht="39" thickBot="1" x14ac:dyDescent="0.3">
      <c r="B166" s="35">
        <v>12</v>
      </c>
      <c r="C166" s="34" t="s">
        <v>598</v>
      </c>
      <c r="D166" s="34" t="s">
        <v>598</v>
      </c>
      <c r="E166" s="42">
        <v>45393</v>
      </c>
      <c r="F166" s="34" t="s">
        <v>880</v>
      </c>
      <c r="G166" s="36" t="s">
        <v>881</v>
      </c>
      <c r="H166" s="36" t="s">
        <v>14</v>
      </c>
      <c r="I166" s="36" t="s">
        <v>882</v>
      </c>
      <c r="J166" s="63" t="s">
        <v>14</v>
      </c>
      <c r="K166" s="63" t="s">
        <v>14</v>
      </c>
      <c r="L166" s="38" t="s">
        <v>14</v>
      </c>
      <c r="M166" s="38" t="s">
        <v>14</v>
      </c>
      <c r="N166" s="39" t="s">
        <v>14</v>
      </c>
      <c r="O166" s="39" t="s">
        <v>14</v>
      </c>
      <c r="P166" s="39" t="s">
        <v>14</v>
      </c>
      <c r="Q166" s="38" t="s">
        <v>14</v>
      </c>
    </row>
    <row r="167" spans="2:17" ht="39" thickBot="1" x14ac:dyDescent="0.3">
      <c r="B167" s="35">
        <v>13</v>
      </c>
      <c r="C167" s="34" t="s">
        <v>598</v>
      </c>
      <c r="D167" s="34" t="s">
        <v>598</v>
      </c>
      <c r="E167" s="42">
        <v>45393</v>
      </c>
      <c r="F167" s="34" t="s">
        <v>181</v>
      </c>
      <c r="G167" s="36" t="s">
        <v>883</v>
      </c>
      <c r="H167" s="36" t="s">
        <v>14</v>
      </c>
      <c r="I167" s="36" t="s">
        <v>882</v>
      </c>
      <c r="J167" s="63" t="s">
        <v>14</v>
      </c>
      <c r="K167" s="63" t="s">
        <v>14</v>
      </c>
      <c r="L167" s="38" t="s">
        <v>14</v>
      </c>
      <c r="M167" s="38" t="s">
        <v>14</v>
      </c>
      <c r="N167" s="39" t="s">
        <v>14</v>
      </c>
      <c r="O167" s="39" t="s">
        <v>14</v>
      </c>
      <c r="P167" s="39" t="s">
        <v>14</v>
      </c>
      <c r="Q167" s="38" t="s">
        <v>14</v>
      </c>
    </row>
    <row r="168" spans="2:17" ht="26.25" thickBot="1" x14ac:dyDescent="0.3">
      <c r="B168" s="35">
        <v>14</v>
      </c>
      <c r="C168" s="34" t="s">
        <v>598</v>
      </c>
      <c r="D168" s="34" t="s">
        <v>598</v>
      </c>
      <c r="E168" s="42">
        <v>45394</v>
      </c>
      <c r="F168" s="34" t="s">
        <v>884</v>
      </c>
      <c r="G168" s="36" t="s">
        <v>885</v>
      </c>
      <c r="H168" s="36" t="s">
        <v>886</v>
      </c>
      <c r="I168" s="36" t="s">
        <v>887</v>
      </c>
      <c r="J168" s="64">
        <v>600000</v>
      </c>
      <c r="K168" s="64">
        <v>100000</v>
      </c>
      <c r="L168" s="38" t="s">
        <v>14</v>
      </c>
      <c r="M168" s="38" t="s">
        <v>14</v>
      </c>
      <c r="N168" s="39" t="s">
        <v>14</v>
      </c>
      <c r="O168" s="39" t="s">
        <v>14</v>
      </c>
      <c r="P168" s="39" t="s">
        <v>14</v>
      </c>
      <c r="Q168" s="38" t="s">
        <v>14</v>
      </c>
    </row>
    <row r="169" spans="2:17" ht="26.25" thickBot="1" x14ac:dyDescent="0.3">
      <c r="B169" s="35">
        <v>15</v>
      </c>
      <c r="C169" s="34" t="s">
        <v>598</v>
      </c>
      <c r="D169" s="34" t="s">
        <v>598</v>
      </c>
      <c r="E169" s="36" t="s">
        <v>888</v>
      </c>
      <c r="F169" s="34" t="s">
        <v>889</v>
      </c>
      <c r="G169" s="36" t="s">
        <v>890</v>
      </c>
      <c r="H169" s="36" t="s">
        <v>40</v>
      </c>
      <c r="I169" s="36" t="s">
        <v>891</v>
      </c>
      <c r="J169" s="64">
        <v>6000</v>
      </c>
      <c r="K169" s="64">
        <v>64000</v>
      </c>
      <c r="L169" s="38" t="s">
        <v>14</v>
      </c>
      <c r="M169" s="38" t="s">
        <v>14</v>
      </c>
      <c r="N169" s="39" t="s">
        <v>14</v>
      </c>
      <c r="O169" s="39" t="s">
        <v>14</v>
      </c>
      <c r="P169" s="39" t="s">
        <v>14</v>
      </c>
      <c r="Q169" s="38" t="s">
        <v>14</v>
      </c>
    </row>
    <row r="170" spans="2:17" ht="26.25" thickBot="1" x14ac:dyDescent="0.3">
      <c r="B170" s="35">
        <v>16</v>
      </c>
      <c r="C170" s="34" t="s">
        <v>598</v>
      </c>
      <c r="D170" s="34" t="s">
        <v>598</v>
      </c>
      <c r="E170" s="65">
        <v>45394</v>
      </c>
      <c r="F170" s="34" t="s">
        <v>277</v>
      </c>
      <c r="G170" s="34" t="s">
        <v>892</v>
      </c>
      <c r="H170" s="34" t="s">
        <v>14</v>
      </c>
      <c r="I170" s="34" t="s">
        <v>882</v>
      </c>
      <c r="J170" s="55" t="s">
        <v>14</v>
      </c>
      <c r="K170" s="55" t="s">
        <v>14</v>
      </c>
      <c r="L170" s="38" t="s">
        <v>14</v>
      </c>
      <c r="M170" s="38" t="s">
        <v>14</v>
      </c>
      <c r="N170" s="39" t="s">
        <v>14</v>
      </c>
      <c r="O170" s="39" t="s">
        <v>14</v>
      </c>
      <c r="P170" s="39" t="s">
        <v>14</v>
      </c>
      <c r="Q170" s="38" t="s">
        <v>14</v>
      </c>
    </row>
    <row r="171" spans="2:17" ht="39" thickBot="1" x14ac:dyDescent="0.3">
      <c r="B171" s="35">
        <v>17</v>
      </c>
      <c r="C171" s="34" t="s">
        <v>598</v>
      </c>
      <c r="D171" s="34" t="s">
        <v>598</v>
      </c>
      <c r="E171" s="40">
        <v>45395</v>
      </c>
      <c r="F171" s="34" t="s">
        <v>893</v>
      </c>
      <c r="G171" s="34" t="s">
        <v>894</v>
      </c>
      <c r="H171" s="34" t="s">
        <v>629</v>
      </c>
      <c r="I171" s="34" t="s">
        <v>821</v>
      </c>
      <c r="J171" s="66">
        <v>500000</v>
      </c>
      <c r="K171" s="66">
        <v>4500000</v>
      </c>
      <c r="L171" s="38" t="s">
        <v>14</v>
      </c>
      <c r="M171" s="38" t="s">
        <v>14</v>
      </c>
      <c r="N171" s="39" t="s">
        <v>14</v>
      </c>
      <c r="O171" s="39" t="s">
        <v>14</v>
      </c>
      <c r="P171" s="39" t="s">
        <v>14</v>
      </c>
      <c r="Q171" s="38" t="s">
        <v>14</v>
      </c>
    </row>
    <row r="172" spans="2:17" ht="26.25" thickBot="1" x14ac:dyDescent="0.3">
      <c r="B172" s="35">
        <v>18</v>
      </c>
      <c r="C172" s="34" t="s">
        <v>598</v>
      </c>
      <c r="D172" s="34" t="s">
        <v>598</v>
      </c>
      <c r="E172" s="40">
        <v>45395</v>
      </c>
      <c r="F172" s="34" t="s">
        <v>186</v>
      </c>
      <c r="G172" s="36" t="s">
        <v>895</v>
      </c>
      <c r="H172" s="34" t="s">
        <v>40</v>
      </c>
      <c r="I172" s="34" t="s">
        <v>896</v>
      </c>
      <c r="J172" s="55" t="s">
        <v>14</v>
      </c>
      <c r="K172" s="55" t="s">
        <v>14</v>
      </c>
      <c r="L172" s="38" t="s">
        <v>14</v>
      </c>
      <c r="M172" s="38" t="s">
        <v>14</v>
      </c>
      <c r="N172" s="39" t="s">
        <v>14</v>
      </c>
      <c r="O172" s="39" t="s">
        <v>14</v>
      </c>
      <c r="P172" s="39" t="s">
        <v>14</v>
      </c>
      <c r="Q172" s="38" t="s">
        <v>14</v>
      </c>
    </row>
    <row r="173" spans="2:17" ht="26.25" thickBot="1" x14ac:dyDescent="0.3">
      <c r="B173" s="35">
        <v>19</v>
      </c>
      <c r="C173" s="34" t="s">
        <v>657</v>
      </c>
      <c r="D173" s="34" t="s">
        <v>598</v>
      </c>
      <c r="E173" s="40">
        <v>45397</v>
      </c>
      <c r="F173" s="38" t="s">
        <v>897</v>
      </c>
      <c r="G173" s="38" t="s">
        <v>895</v>
      </c>
      <c r="H173" s="34" t="s">
        <v>40</v>
      </c>
      <c r="I173" s="34" t="s">
        <v>896</v>
      </c>
      <c r="J173" s="55" t="s">
        <v>14</v>
      </c>
      <c r="K173" s="55" t="s">
        <v>14</v>
      </c>
      <c r="L173" s="34" t="s">
        <v>14</v>
      </c>
      <c r="M173" s="34" t="s">
        <v>14</v>
      </c>
      <c r="N173" s="33" t="s">
        <v>14</v>
      </c>
      <c r="O173" s="33" t="s">
        <v>14</v>
      </c>
      <c r="P173" s="33" t="s">
        <v>14</v>
      </c>
      <c r="Q173" s="34" t="s">
        <v>14</v>
      </c>
    </row>
    <row r="174" spans="2:17" ht="26.25" thickBot="1" x14ac:dyDescent="0.3">
      <c r="B174" s="35">
        <v>20</v>
      </c>
      <c r="C174" s="34" t="s">
        <v>657</v>
      </c>
      <c r="D174" s="34" t="s">
        <v>598</v>
      </c>
      <c r="E174" s="40">
        <v>45398</v>
      </c>
      <c r="F174" s="38" t="s">
        <v>898</v>
      </c>
      <c r="G174" s="38" t="s">
        <v>899</v>
      </c>
      <c r="H174" s="34" t="s">
        <v>40</v>
      </c>
      <c r="I174" s="34" t="s">
        <v>280</v>
      </c>
      <c r="J174" s="55" t="s">
        <v>14</v>
      </c>
      <c r="K174" s="55" t="s">
        <v>14</v>
      </c>
      <c r="L174" s="34" t="s">
        <v>14</v>
      </c>
      <c r="M174" s="34" t="s">
        <v>14</v>
      </c>
      <c r="N174" s="33" t="s">
        <v>14</v>
      </c>
      <c r="O174" s="33" t="s">
        <v>14</v>
      </c>
      <c r="P174" s="33" t="s">
        <v>14</v>
      </c>
      <c r="Q174" s="34" t="s">
        <v>14</v>
      </c>
    </row>
    <row r="175" spans="2:17" ht="39" thickBot="1" x14ac:dyDescent="0.3">
      <c r="B175" s="35">
        <v>21</v>
      </c>
      <c r="C175" s="34" t="s">
        <v>657</v>
      </c>
      <c r="D175" s="34" t="s">
        <v>598</v>
      </c>
      <c r="E175" s="40">
        <v>45398</v>
      </c>
      <c r="F175" s="38" t="s">
        <v>900</v>
      </c>
      <c r="G175" s="38" t="s">
        <v>901</v>
      </c>
      <c r="H175" s="34" t="s">
        <v>629</v>
      </c>
      <c r="I175" s="38" t="s">
        <v>862</v>
      </c>
      <c r="J175" s="67">
        <v>500000</v>
      </c>
      <c r="K175" s="67">
        <v>4500000</v>
      </c>
      <c r="L175" s="34" t="s">
        <v>14</v>
      </c>
      <c r="M175" s="34" t="s">
        <v>14</v>
      </c>
      <c r="N175" s="33" t="s">
        <v>14</v>
      </c>
      <c r="O175" s="33" t="s">
        <v>14</v>
      </c>
      <c r="P175" s="33" t="s">
        <v>14</v>
      </c>
      <c r="Q175" s="34" t="s">
        <v>14</v>
      </c>
    </row>
    <row r="176" spans="2:17" ht="39" thickBot="1" x14ac:dyDescent="0.3">
      <c r="B176" s="35">
        <v>22</v>
      </c>
      <c r="C176" s="34" t="s">
        <v>657</v>
      </c>
      <c r="D176" s="34" t="s">
        <v>598</v>
      </c>
      <c r="E176" s="34" t="s">
        <v>902</v>
      </c>
      <c r="F176" s="38" t="s">
        <v>903</v>
      </c>
      <c r="G176" s="38" t="s">
        <v>904</v>
      </c>
      <c r="H176" s="34" t="s">
        <v>40</v>
      </c>
      <c r="I176" s="34" t="s">
        <v>896</v>
      </c>
      <c r="J176" s="34" t="s">
        <v>14</v>
      </c>
      <c r="K176" s="34" t="s">
        <v>14</v>
      </c>
      <c r="L176" s="38" t="s">
        <v>14</v>
      </c>
      <c r="M176" s="38" t="s">
        <v>14</v>
      </c>
      <c r="N176" s="39" t="s">
        <v>14</v>
      </c>
      <c r="O176" s="39" t="s">
        <v>14</v>
      </c>
      <c r="P176" s="39" t="s">
        <v>14</v>
      </c>
      <c r="Q176" s="38" t="s">
        <v>14</v>
      </c>
    </row>
    <row r="177" spans="2:17" ht="39" thickBot="1" x14ac:dyDescent="0.3">
      <c r="B177" s="35">
        <v>23</v>
      </c>
      <c r="C177" s="34" t="s">
        <v>657</v>
      </c>
      <c r="D177" s="34" t="s">
        <v>598</v>
      </c>
      <c r="E177" s="40">
        <v>45398</v>
      </c>
      <c r="F177" s="38" t="s">
        <v>905</v>
      </c>
      <c r="G177" s="38" t="s">
        <v>906</v>
      </c>
      <c r="H177" s="34" t="s">
        <v>40</v>
      </c>
      <c r="I177" s="34" t="s">
        <v>907</v>
      </c>
      <c r="J177" s="34" t="s">
        <v>14</v>
      </c>
      <c r="K177" s="34" t="s">
        <v>14</v>
      </c>
      <c r="L177" s="38" t="s">
        <v>14</v>
      </c>
      <c r="M177" s="38" t="s">
        <v>14</v>
      </c>
      <c r="N177" s="39" t="s">
        <v>14</v>
      </c>
      <c r="O177" s="39" t="s">
        <v>14</v>
      </c>
      <c r="P177" s="39" t="s">
        <v>14</v>
      </c>
      <c r="Q177" s="38" t="s">
        <v>14</v>
      </c>
    </row>
    <row r="178" spans="2:17" ht="51.75" thickBot="1" x14ac:dyDescent="0.3">
      <c r="B178" s="35">
        <v>24</v>
      </c>
      <c r="C178" s="34" t="s">
        <v>657</v>
      </c>
      <c r="D178" s="34" t="s">
        <v>598</v>
      </c>
      <c r="E178" s="42">
        <v>45398</v>
      </c>
      <c r="F178" s="38" t="s">
        <v>908</v>
      </c>
      <c r="G178" s="38" t="s">
        <v>909</v>
      </c>
      <c r="H178" s="34" t="s">
        <v>14</v>
      </c>
      <c r="I178" s="34" t="s">
        <v>882</v>
      </c>
      <c r="J178" s="67"/>
      <c r="K178" s="67"/>
      <c r="L178" s="38" t="s">
        <v>14</v>
      </c>
      <c r="M178" s="38" t="s">
        <v>14</v>
      </c>
      <c r="N178" s="39" t="s">
        <v>14</v>
      </c>
      <c r="O178" s="39" t="s">
        <v>14</v>
      </c>
      <c r="P178" s="39" t="s">
        <v>14</v>
      </c>
      <c r="Q178" s="38" t="s">
        <v>14</v>
      </c>
    </row>
    <row r="179" spans="2:17" ht="26.25" thickBot="1" x14ac:dyDescent="0.3">
      <c r="B179" s="35">
        <v>25</v>
      </c>
      <c r="C179" s="34" t="s">
        <v>657</v>
      </c>
      <c r="D179" s="34" t="s">
        <v>598</v>
      </c>
      <c r="E179" s="42">
        <v>45398</v>
      </c>
      <c r="F179" s="38" t="s">
        <v>910</v>
      </c>
      <c r="G179" s="38" t="s">
        <v>911</v>
      </c>
      <c r="H179" s="34" t="s">
        <v>25</v>
      </c>
      <c r="I179" s="34" t="s">
        <v>912</v>
      </c>
      <c r="J179" s="54">
        <v>20000</v>
      </c>
      <c r="K179" s="54">
        <v>70000</v>
      </c>
      <c r="L179" s="38" t="s">
        <v>14</v>
      </c>
      <c r="M179" s="38" t="s">
        <v>14</v>
      </c>
      <c r="N179" s="39" t="s">
        <v>14</v>
      </c>
      <c r="O179" s="39" t="s">
        <v>14</v>
      </c>
      <c r="P179" s="39" t="s">
        <v>14</v>
      </c>
      <c r="Q179" s="38" t="s">
        <v>14</v>
      </c>
    </row>
    <row r="180" spans="2:17" ht="51.75" thickBot="1" x14ac:dyDescent="0.3">
      <c r="B180" s="35">
        <v>26</v>
      </c>
      <c r="C180" s="34" t="s">
        <v>657</v>
      </c>
      <c r="D180" s="34" t="s">
        <v>598</v>
      </c>
      <c r="E180" s="42">
        <v>45399</v>
      </c>
      <c r="F180" s="38" t="s">
        <v>913</v>
      </c>
      <c r="G180" s="38" t="s">
        <v>914</v>
      </c>
      <c r="H180" s="34" t="s">
        <v>40</v>
      </c>
      <c r="I180" s="34" t="s">
        <v>915</v>
      </c>
      <c r="J180" s="67">
        <v>10000</v>
      </c>
      <c r="K180" s="67">
        <v>90000</v>
      </c>
      <c r="L180" s="38" t="s">
        <v>14</v>
      </c>
      <c r="M180" s="38" t="s">
        <v>14</v>
      </c>
      <c r="N180" s="39" t="s">
        <v>14</v>
      </c>
      <c r="O180" s="39" t="s">
        <v>14</v>
      </c>
      <c r="P180" s="39" t="s">
        <v>14</v>
      </c>
      <c r="Q180" s="38" t="s">
        <v>14</v>
      </c>
    </row>
    <row r="181" spans="2:17" ht="51.75" thickBot="1" x14ac:dyDescent="0.3">
      <c r="B181" s="35">
        <v>27</v>
      </c>
      <c r="C181" s="34" t="s">
        <v>657</v>
      </c>
      <c r="D181" s="34" t="s">
        <v>598</v>
      </c>
      <c r="E181" s="42">
        <v>45399</v>
      </c>
      <c r="F181" s="38" t="s">
        <v>916</v>
      </c>
      <c r="G181" s="38" t="s">
        <v>917</v>
      </c>
      <c r="H181" s="34" t="s">
        <v>629</v>
      </c>
      <c r="I181" s="34" t="s">
        <v>918</v>
      </c>
      <c r="J181" s="67">
        <v>500000</v>
      </c>
      <c r="K181" s="67">
        <v>4500000</v>
      </c>
      <c r="L181" s="38" t="s">
        <v>14</v>
      </c>
      <c r="M181" s="38" t="s">
        <v>14</v>
      </c>
      <c r="N181" s="39" t="s">
        <v>14</v>
      </c>
      <c r="O181" s="39" t="s">
        <v>14</v>
      </c>
      <c r="P181" s="39" t="s">
        <v>14</v>
      </c>
      <c r="Q181" s="38" t="s">
        <v>14</v>
      </c>
    </row>
    <row r="182" spans="2:17" ht="39" thickBot="1" x14ac:dyDescent="0.3">
      <c r="B182" s="35">
        <v>28</v>
      </c>
      <c r="C182" s="34" t="s">
        <v>657</v>
      </c>
      <c r="D182" s="34" t="s">
        <v>598</v>
      </c>
      <c r="E182" s="42">
        <v>45399</v>
      </c>
      <c r="F182" s="38" t="s">
        <v>919</v>
      </c>
      <c r="G182" s="38" t="s">
        <v>920</v>
      </c>
      <c r="H182" s="34" t="s">
        <v>40</v>
      </c>
      <c r="I182" s="34" t="s">
        <v>921</v>
      </c>
      <c r="J182" s="34" t="s">
        <v>14</v>
      </c>
      <c r="K182" s="34" t="s">
        <v>14</v>
      </c>
      <c r="L182" s="38" t="s">
        <v>14</v>
      </c>
      <c r="M182" s="38" t="s">
        <v>14</v>
      </c>
      <c r="N182" s="39" t="s">
        <v>14</v>
      </c>
      <c r="O182" s="39" t="s">
        <v>14</v>
      </c>
      <c r="P182" s="39" t="s">
        <v>14</v>
      </c>
      <c r="Q182" s="38" t="s">
        <v>14</v>
      </c>
    </row>
    <row r="183" spans="2:17" ht="26.25" thickBot="1" x14ac:dyDescent="0.3">
      <c r="B183" s="58">
        <v>29</v>
      </c>
      <c r="C183" s="34" t="s">
        <v>657</v>
      </c>
      <c r="D183" s="34" t="s">
        <v>598</v>
      </c>
      <c r="E183" s="42">
        <v>45399</v>
      </c>
      <c r="F183" s="38" t="s">
        <v>195</v>
      </c>
      <c r="G183" s="38" t="s">
        <v>922</v>
      </c>
      <c r="H183" s="34" t="s">
        <v>882</v>
      </c>
      <c r="I183" s="34" t="s">
        <v>869</v>
      </c>
      <c r="J183" s="34" t="s">
        <v>14</v>
      </c>
      <c r="K183" s="34" t="s">
        <v>14</v>
      </c>
      <c r="L183" s="38" t="s">
        <v>14</v>
      </c>
      <c r="M183" s="38" t="s">
        <v>14</v>
      </c>
      <c r="N183" s="39" t="s">
        <v>14</v>
      </c>
      <c r="O183" s="39" t="s">
        <v>14</v>
      </c>
      <c r="P183" s="39" t="s">
        <v>14</v>
      </c>
      <c r="Q183" s="38" t="s">
        <v>14</v>
      </c>
    </row>
    <row r="184" spans="2:17" ht="51.75" thickBot="1" x14ac:dyDescent="0.3">
      <c r="B184" s="35">
        <v>30</v>
      </c>
      <c r="C184" s="34" t="s">
        <v>657</v>
      </c>
      <c r="D184" s="34" t="s">
        <v>657</v>
      </c>
      <c r="E184" s="42">
        <v>45400</v>
      </c>
      <c r="F184" s="38" t="s">
        <v>923</v>
      </c>
      <c r="G184" s="38" t="s">
        <v>924</v>
      </c>
      <c r="H184" s="34" t="s">
        <v>40</v>
      </c>
      <c r="I184" s="34" t="s">
        <v>268</v>
      </c>
      <c r="J184" s="34" t="s">
        <v>14</v>
      </c>
      <c r="K184" s="34" t="s">
        <v>14</v>
      </c>
      <c r="L184" s="38" t="s">
        <v>14</v>
      </c>
      <c r="M184" s="38" t="s">
        <v>14</v>
      </c>
      <c r="N184" s="39" t="s">
        <v>14</v>
      </c>
      <c r="O184" s="39" t="s">
        <v>14</v>
      </c>
      <c r="P184" s="39" t="s">
        <v>14</v>
      </c>
      <c r="Q184" s="38" t="s">
        <v>14</v>
      </c>
    </row>
    <row r="185" spans="2:17" ht="26.25" thickBot="1" x14ac:dyDescent="0.3">
      <c r="B185" s="35">
        <v>31</v>
      </c>
      <c r="C185" s="34" t="s">
        <v>657</v>
      </c>
      <c r="D185" s="34" t="s">
        <v>657</v>
      </c>
      <c r="E185" s="42">
        <v>45400</v>
      </c>
      <c r="F185" s="38" t="s">
        <v>925</v>
      </c>
      <c r="G185" s="38" t="s">
        <v>926</v>
      </c>
      <c r="H185" s="34" t="s">
        <v>882</v>
      </c>
      <c r="I185" s="34"/>
      <c r="J185" s="34"/>
      <c r="K185" s="34"/>
      <c r="L185" s="38"/>
      <c r="M185" s="38"/>
      <c r="N185" s="39"/>
      <c r="O185" s="39"/>
      <c r="P185" s="39"/>
      <c r="Q185" s="38"/>
    </row>
    <row r="186" spans="2:17" ht="39" thickBot="1" x14ac:dyDescent="0.3">
      <c r="B186" s="35">
        <v>32</v>
      </c>
      <c r="C186" s="34" t="s">
        <v>657</v>
      </c>
      <c r="D186" s="34" t="s">
        <v>657</v>
      </c>
      <c r="E186" s="42">
        <v>45400</v>
      </c>
      <c r="F186" s="38" t="s">
        <v>927</v>
      </c>
      <c r="G186" s="38" t="s">
        <v>928</v>
      </c>
      <c r="H186" s="34" t="s">
        <v>40</v>
      </c>
      <c r="I186" s="34" t="s">
        <v>710</v>
      </c>
      <c r="J186" s="34" t="s">
        <v>14</v>
      </c>
      <c r="K186" s="34" t="s">
        <v>14</v>
      </c>
      <c r="L186" s="38" t="s">
        <v>14</v>
      </c>
      <c r="M186" s="38" t="s">
        <v>14</v>
      </c>
      <c r="N186" s="39" t="s">
        <v>14</v>
      </c>
      <c r="O186" s="39" t="s">
        <v>14</v>
      </c>
      <c r="P186" s="39" t="s">
        <v>14</v>
      </c>
      <c r="Q186" s="38" t="s">
        <v>14</v>
      </c>
    </row>
    <row r="187" spans="2:17" ht="26.25" thickBot="1" x14ac:dyDescent="0.3">
      <c r="B187" s="35">
        <v>33</v>
      </c>
      <c r="C187" s="34" t="s">
        <v>657</v>
      </c>
      <c r="D187" s="34" t="s">
        <v>657</v>
      </c>
      <c r="E187" s="42">
        <v>45401</v>
      </c>
      <c r="F187" s="38" t="s">
        <v>929</v>
      </c>
      <c r="G187" s="38" t="s">
        <v>930</v>
      </c>
      <c r="H187" s="34" t="s">
        <v>40</v>
      </c>
      <c r="I187" s="34" t="s">
        <v>931</v>
      </c>
      <c r="J187" s="34" t="s">
        <v>14</v>
      </c>
      <c r="K187" s="34" t="s">
        <v>14</v>
      </c>
      <c r="L187" s="38" t="s">
        <v>14</v>
      </c>
      <c r="M187" s="38" t="s">
        <v>14</v>
      </c>
      <c r="N187" s="39" t="s">
        <v>14</v>
      </c>
      <c r="O187" s="39" t="s">
        <v>14</v>
      </c>
      <c r="P187" s="39" t="s">
        <v>14</v>
      </c>
      <c r="Q187" s="38" t="s">
        <v>14</v>
      </c>
    </row>
    <row r="188" spans="2:17" ht="26.25" thickBot="1" x14ac:dyDescent="0.3">
      <c r="B188" s="35">
        <v>34</v>
      </c>
      <c r="C188" s="34" t="s">
        <v>657</v>
      </c>
      <c r="D188" s="34" t="s">
        <v>657</v>
      </c>
      <c r="E188" s="42">
        <v>45401</v>
      </c>
      <c r="F188" s="38" t="s">
        <v>932</v>
      </c>
      <c r="G188" s="38" t="s">
        <v>933</v>
      </c>
      <c r="H188" s="34" t="s">
        <v>882</v>
      </c>
      <c r="I188" s="34" t="s">
        <v>934</v>
      </c>
      <c r="J188" s="34" t="s">
        <v>14</v>
      </c>
      <c r="K188" s="34" t="s">
        <v>14</v>
      </c>
      <c r="L188" s="38" t="s">
        <v>14</v>
      </c>
      <c r="M188" s="38" t="s">
        <v>14</v>
      </c>
      <c r="N188" s="39" t="s">
        <v>14</v>
      </c>
      <c r="O188" s="39" t="s">
        <v>14</v>
      </c>
      <c r="P188" s="39" t="s">
        <v>14</v>
      </c>
      <c r="Q188" s="38" t="s">
        <v>14</v>
      </c>
    </row>
    <row r="189" spans="2:17" ht="26.25" thickBot="1" x14ac:dyDescent="0.3">
      <c r="B189" s="35">
        <v>35</v>
      </c>
      <c r="C189" s="34" t="s">
        <v>657</v>
      </c>
      <c r="D189" s="34" t="s">
        <v>657</v>
      </c>
      <c r="E189" s="42">
        <v>45403</v>
      </c>
      <c r="F189" s="38" t="s">
        <v>935</v>
      </c>
      <c r="G189" s="38" t="s">
        <v>936</v>
      </c>
      <c r="H189" s="34" t="s">
        <v>629</v>
      </c>
      <c r="I189" s="34" t="s">
        <v>937</v>
      </c>
      <c r="J189" s="34">
        <v>5000</v>
      </c>
      <c r="K189" s="34">
        <v>15000</v>
      </c>
      <c r="L189" s="38" t="s">
        <v>14</v>
      </c>
      <c r="M189" s="38" t="s">
        <v>14</v>
      </c>
      <c r="N189" s="39" t="s">
        <v>14</v>
      </c>
      <c r="O189" s="39" t="s">
        <v>14</v>
      </c>
      <c r="P189" s="39" t="s">
        <v>14</v>
      </c>
      <c r="Q189" s="38" t="s">
        <v>14</v>
      </c>
    </row>
    <row r="190" spans="2:17" ht="26.25" thickBot="1" x14ac:dyDescent="0.3">
      <c r="B190" s="35">
        <v>36</v>
      </c>
      <c r="C190" s="34" t="s">
        <v>657</v>
      </c>
      <c r="D190" s="34" t="s">
        <v>657</v>
      </c>
      <c r="E190" s="36" t="s">
        <v>938</v>
      </c>
      <c r="F190" s="38" t="s">
        <v>939</v>
      </c>
      <c r="G190" s="38" t="s">
        <v>940</v>
      </c>
      <c r="H190" s="34" t="s">
        <v>629</v>
      </c>
      <c r="I190" s="34" t="s">
        <v>941</v>
      </c>
      <c r="J190" s="34">
        <v>5000</v>
      </c>
      <c r="K190" s="34">
        <v>15000</v>
      </c>
      <c r="L190" s="38" t="s">
        <v>14</v>
      </c>
      <c r="M190" s="38" t="s">
        <v>14</v>
      </c>
      <c r="N190" s="39" t="s">
        <v>14</v>
      </c>
      <c r="O190" s="39" t="s">
        <v>14</v>
      </c>
      <c r="P190" s="39" t="s">
        <v>14</v>
      </c>
      <c r="Q190" s="38" t="s">
        <v>14</v>
      </c>
    </row>
    <row r="191" spans="2:17" ht="39" thickBot="1" x14ac:dyDescent="0.3">
      <c r="B191" s="35">
        <v>37</v>
      </c>
      <c r="C191" s="34" t="s">
        <v>657</v>
      </c>
      <c r="D191" s="34" t="s">
        <v>657</v>
      </c>
      <c r="E191" s="36" t="s">
        <v>938</v>
      </c>
      <c r="F191" s="38" t="s">
        <v>193</v>
      </c>
      <c r="G191" s="38" t="s">
        <v>942</v>
      </c>
      <c r="H191" s="34" t="s">
        <v>25</v>
      </c>
      <c r="I191" s="34" t="s">
        <v>267</v>
      </c>
      <c r="J191" s="34">
        <v>600000</v>
      </c>
      <c r="K191" s="34">
        <v>58400</v>
      </c>
      <c r="L191" s="38" t="s">
        <v>14</v>
      </c>
      <c r="M191" s="38" t="s">
        <v>14</v>
      </c>
      <c r="N191" s="39" t="s">
        <v>14</v>
      </c>
      <c r="O191" s="39" t="s">
        <v>14</v>
      </c>
      <c r="P191" s="39" t="s">
        <v>14</v>
      </c>
      <c r="Q191" s="38" t="s">
        <v>14</v>
      </c>
    </row>
    <row r="192" spans="2:17" ht="26.25" thickBot="1" x14ac:dyDescent="0.3">
      <c r="B192" s="35">
        <v>38</v>
      </c>
      <c r="C192" s="34" t="s">
        <v>657</v>
      </c>
      <c r="D192" s="34" t="s">
        <v>657</v>
      </c>
      <c r="E192" s="36" t="s">
        <v>943</v>
      </c>
      <c r="F192" s="38" t="s">
        <v>944</v>
      </c>
      <c r="G192" s="38" t="s">
        <v>945</v>
      </c>
      <c r="H192" s="34" t="s">
        <v>629</v>
      </c>
      <c r="I192" s="34" t="s">
        <v>869</v>
      </c>
      <c r="J192" s="34">
        <v>20000</v>
      </c>
      <c r="K192" s="34">
        <v>9980000</v>
      </c>
      <c r="L192" s="38" t="s">
        <v>14</v>
      </c>
      <c r="M192" s="38" t="s">
        <v>14</v>
      </c>
      <c r="N192" s="39" t="s">
        <v>14</v>
      </c>
      <c r="O192" s="39" t="s">
        <v>14</v>
      </c>
      <c r="P192" s="39" t="s">
        <v>14</v>
      </c>
      <c r="Q192" s="38" t="s">
        <v>14</v>
      </c>
    </row>
    <row r="193" spans="2:17" ht="39" thickBot="1" x14ac:dyDescent="0.3">
      <c r="B193" s="35">
        <v>39</v>
      </c>
      <c r="C193" s="34" t="s">
        <v>657</v>
      </c>
      <c r="D193" s="34" t="s">
        <v>657</v>
      </c>
      <c r="E193" s="42">
        <v>45403</v>
      </c>
      <c r="F193" s="38" t="s">
        <v>288</v>
      </c>
      <c r="G193" s="38" t="s">
        <v>946</v>
      </c>
      <c r="H193" s="34" t="s">
        <v>629</v>
      </c>
      <c r="I193" s="34" t="s">
        <v>862</v>
      </c>
      <c r="J193" s="34">
        <v>10000</v>
      </c>
      <c r="K193" s="34">
        <v>5990000</v>
      </c>
      <c r="L193" s="38" t="s">
        <v>14</v>
      </c>
      <c r="M193" s="38" t="s">
        <v>14</v>
      </c>
      <c r="N193" s="39" t="s">
        <v>14</v>
      </c>
      <c r="O193" s="39" t="s">
        <v>14</v>
      </c>
      <c r="P193" s="39" t="s">
        <v>14</v>
      </c>
      <c r="Q193" s="38" t="s">
        <v>14</v>
      </c>
    </row>
    <row r="194" spans="2:17" ht="26.25" thickBot="1" x14ac:dyDescent="0.3">
      <c r="B194" s="35">
        <v>40</v>
      </c>
      <c r="C194" s="34" t="s">
        <v>657</v>
      </c>
      <c r="D194" s="34" t="s">
        <v>657</v>
      </c>
      <c r="E194" s="42">
        <v>45404</v>
      </c>
      <c r="F194" s="38" t="s">
        <v>947</v>
      </c>
      <c r="G194" s="38" t="s">
        <v>948</v>
      </c>
      <c r="H194" s="34" t="s">
        <v>40</v>
      </c>
      <c r="I194" s="34" t="s">
        <v>896</v>
      </c>
      <c r="J194" s="34" t="s">
        <v>14</v>
      </c>
      <c r="K194" s="34" t="s">
        <v>14</v>
      </c>
      <c r="L194" s="38" t="s">
        <v>14</v>
      </c>
      <c r="M194" s="38" t="s">
        <v>14</v>
      </c>
      <c r="N194" s="39" t="s">
        <v>14</v>
      </c>
      <c r="O194" s="39" t="s">
        <v>14</v>
      </c>
      <c r="P194" s="39" t="s">
        <v>14</v>
      </c>
      <c r="Q194" s="38" t="s">
        <v>14</v>
      </c>
    </row>
    <row r="195" spans="2:17" ht="26.25" thickBot="1" x14ac:dyDescent="0.3">
      <c r="B195" s="35">
        <v>41</v>
      </c>
      <c r="C195" s="34" t="s">
        <v>657</v>
      </c>
      <c r="D195" s="34" t="s">
        <v>657</v>
      </c>
      <c r="E195" s="42">
        <v>45404</v>
      </c>
      <c r="F195" s="38" t="s">
        <v>949</v>
      </c>
      <c r="G195" s="38" t="s">
        <v>950</v>
      </c>
      <c r="H195" s="34" t="s">
        <v>40</v>
      </c>
      <c r="I195" s="34" t="s">
        <v>896</v>
      </c>
      <c r="J195" s="34" t="s">
        <v>14</v>
      </c>
      <c r="K195" s="34" t="s">
        <v>14</v>
      </c>
      <c r="L195" s="38" t="s">
        <v>14</v>
      </c>
      <c r="M195" s="38" t="s">
        <v>14</v>
      </c>
      <c r="N195" s="39" t="s">
        <v>14</v>
      </c>
      <c r="O195" s="39" t="s">
        <v>14</v>
      </c>
      <c r="P195" s="39" t="s">
        <v>14</v>
      </c>
      <c r="Q195" s="38" t="s">
        <v>14</v>
      </c>
    </row>
    <row r="196" spans="2:17" ht="39" thickBot="1" x14ac:dyDescent="0.3">
      <c r="B196" s="35">
        <v>42</v>
      </c>
      <c r="C196" s="34" t="s">
        <v>657</v>
      </c>
      <c r="D196" s="34" t="s">
        <v>657</v>
      </c>
      <c r="E196" s="42">
        <v>45404</v>
      </c>
      <c r="F196" s="38" t="s">
        <v>283</v>
      </c>
      <c r="G196" s="38" t="s">
        <v>951</v>
      </c>
      <c r="H196" s="34" t="s">
        <v>952</v>
      </c>
      <c r="I196" s="34" t="s">
        <v>14</v>
      </c>
      <c r="J196" s="34" t="s">
        <v>14</v>
      </c>
      <c r="K196" s="34" t="s">
        <v>14</v>
      </c>
      <c r="L196" s="38" t="s">
        <v>14</v>
      </c>
      <c r="M196" s="38" t="s">
        <v>14</v>
      </c>
      <c r="N196" s="39" t="s">
        <v>14</v>
      </c>
      <c r="O196" s="39" t="s">
        <v>14</v>
      </c>
      <c r="P196" s="39" t="s">
        <v>14</v>
      </c>
      <c r="Q196" s="38" t="s">
        <v>14</v>
      </c>
    </row>
    <row r="197" spans="2:17" ht="39" thickBot="1" x14ac:dyDescent="0.3">
      <c r="B197" s="35">
        <v>43</v>
      </c>
      <c r="C197" s="34" t="s">
        <v>657</v>
      </c>
      <c r="D197" s="34" t="s">
        <v>657</v>
      </c>
      <c r="E197" s="36" t="s">
        <v>953</v>
      </c>
      <c r="F197" s="38" t="s">
        <v>954</v>
      </c>
      <c r="G197" s="38" t="s">
        <v>951</v>
      </c>
      <c r="H197" s="34" t="s">
        <v>952</v>
      </c>
      <c r="I197" s="34" t="s">
        <v>14</v>
      </c>
      <c r="J197" s="34" t="s">
        <v>14</v>
      </c>
      <c r="K197" s="34" t="s">
        <v>14</v>
      </c>
      <c r="L197" s="38" t="s">
        <v>14</v>
      </c>
      <c r="M197" s="38" t="s">
        <v>14</v>
      </c>
      <c r="N197" s="39" t="s">
        <v>14</v>
      </c>
      <c r="O197" s="39" t="s">
        <v>14</v>
      </c>
      <c r="P197" s="39" t="s">
        <v>14</v>
      </c>
      <c r="Q197" s="38" t="s">
        <v>14</v>
      </c>
    </row>
    <row r="198" spans="2:17" ht="51.75" thickBot="1" x14ac:dyDescent="0.3">
      <c r="B198" s="35">
        <v>44</v>
      </c>
      <c r="C198" s="34" t="s">
        <v>657</v>
      </c>
      <c r="D198" s="34" t="s">
        <v>657</v>
      </c>
      <c r="E198" s="42">
        <v>45405</v>
      </c>
      <c r="F198" s="38" t="s">
        <v>955</v>
      </c>
      <c r="G198" s="38" t="s">
        <v>956</v>
      </c>
      <c r="H198" s="34" t="s">
        <v>957</v>
      </c>
      <c r="I198" s="34" t="s">
        <v>958</v>
      </c>
      <c r="J198" s="34">
        <v>70000</v>
      </c>
      <c r="K198" s="34">
        <v>1930000</v>
      </c>
      <c r="L198" s="38" t="s">
        <v>14</v>
      </c>
      <c r="M198" s="38" t="s">
        <v>14</v>
      </c>
      <c r="N198" s="39" t="s">
        <v>14</v>
      </c>
      <c r="O198" s="39" t="s">
        <v>14</v>
      </c>
      <c r="P198" s="39" t="s">
        <v>14</v>
      </c>
      <c r="Q198" s="38" t="s">
        <v>14</v>
      </c>
    </row>
    <row r="199" spans="2:17" ht="39" thickBot="1" x14ac:dyDescent="0.3">
      <c r="B199" s="35">
        <v>45</v>
      </c>
      <c r="C199" s="34" t="s">
        <v>657</v>
      </c>
      <c r="D199" s="34" t="s">
        <v>657</v>
      </c>
      <c r="E199" s="42">
        <v>45405</v>
      </c>
      <c r="F199" s="38" t="s">
        <v>959</v>
      </c>
      <c r="G199" s="38" t="s">
        <v>960</v>
      </c>
      <c r="H199" s="34" t="s">
        <v>40</v>
      </c>
      <c r="I199" s="34" t="s">
        <v>961</v>
      </c>
      <c r="J199" s="34" t="s">
        <v>14</v>
      </c>
      <c r="K199" s="34" t="s">
        <v>14</v>
      </c>
      <c r="L199" s="38" t="s">
        <v>14</v>
      </c>
      <c r="M199" s="38" t="s">
        <v>14</v>
      </c>
      <c r="N199" s="39" t="s">
        <v>14</v>
      </c>
      <c r="O199" s="39" t="s">
        <v>14</v>
      </c>
      <c r="P199" s="39" t="s">
        <v>14</v>
      </c>
      <c r="Q199" s="38" t="s">
        <v>14</v>
      </c>
    </row>
    <row r="200" spans="2:17" ht="39" thickBot="1" x14ac:dyDescent="0.3">
      <c r="B200" s="35">
        <v>46</v>
      </c>
      <c r="C200" s="34" t="s">
        <v>657</v>
      </c>
      <c r="D200" s="34" t="s">
        <v>657</v>
      </c>
      <c r="E200" s="42">
        <v>45405</v>
      </c>
      <c r="F200" s="38" t="s">
        <v>962</v>
      </c>
      <c r="G200" s="38" t="s">
        <v>963</v>
      </c>
      <c r="H200" s="34" t="s">
        <v>40</v>
      </c>
      <c r="I200" s="34" t="s">
        <v>268</v>
      </c>
      <c r="J200" s="34" t="s">
        <v>14</v>
      </c>
      <c r="K200" s="34" t="s">
        <v>14</v>
      </c>
      <c r="L200" s="38" t="s">
        <v>14</v>
      </c>
      <c r="M200" s="38" t="s">
        <v>14</v>
      </c>
      <c r="N200" s="39" t="s">
        <v>14</v>
      </c>
      <c r="O200" s="39" t="s">
        <v>14</v>
      </c>
      <c r="P200" s="39" t="s">
        <v>14</v>
      </c>
      <c r="Q200" s="38" t="s">
        <v>14</v>
      </c>
    </row>
    <row r="201" spans="2:17" ht="39" thickBot="1" x14ac:dyDescent="0.3">
      <c r="B201" s="35">
        <v>47</v>
      </c>
      <c r="C201" s="34" t="s">
        <v>657</v>
      </c>
      <c r="D201" s="34" t="s">
        <v>657</v>
      </c>
      <c r="E201" s="42">
        <v>45406</v>
      </c>
      <c r="F201" s="38" t="s">
        <v>964</v>
      </c>
      <c r="G201" s="38" t="s">
        <v>965</v>
      </c>
      <c r="H201" s="34" t="s">
        <v>40</v>
      </c>
      <c r="I201" s="34" t="s">
        <v>966</v>
      </c>
      <c r="J201" s="34">
        <v>500</v>
      </c>
      <c r="K201" s="34">
        <v>999500</v>
      </c>
      <c r="L201" s="38" t="s">
        <v>14</v>
      </c>
      <c r="M201" s="38" t="s">
        <v>14</v>
      </c>
      <c r="N201" s="39" t="s">
        <v>14</v>
      </c>
      <c r="O201" s="39" t="s">
        <v>14</v>
      </c>
      <c r="P201" s="39" t="s">
        <v>14</v>
      </c>
      <c r="Q201" s="38" t="s">
        <v>14</v>
      </c>
    </row>
    <row r="202" spans="2:17" ht="26.25" thickBot="1" x14ac:dyDescent="0.3">
      <c r="B202" s="35">
        <v>48</v>
      </c>
      <c r="C202" s="34" t="s">
        <v>657</v>
      </c>
      <c r="D202" s="34" t="s">
        <v>657</v>
      </c>
      <c r="E202" s="42">
        <v>45406</v>
      </c>
      <c r="F202" s="38" t="s">
        <v>967</v>
      </c>
      <c r="G202" s="38" t="s">
        <v>968</v>
      </c>
      <c r="H202" s="34" t="s">
        <v>40</v>
      </c>
      <c r="I202" s="34" t="s">
        <v>896</v>
      </c>
      <c r="J202" s="34" t="s">
        <v>14</v>
      </c>
      <c r="K202" s="34" t="s">
        <v>14</v>
      </c>
      <c r="L202" s="38" t="s">
        <v>14</v>
      </c>
      <c r="M202" s="38" t="s">
        <v>14</v>
      </c>
      <c r="N202" s="39" t="s">
        <v>14</v>
      </c>
      <c r="O202" s="39" t="s">
        <v>14</v>
      </c>
      <c r="P202" s="39" t="s">
        <v>14</v>
      </c>
      <c r="Q202" s="38" t="s">
        <v>14</v>
      </c>
    </row>
    <row r="203" spans="2:17" ht="26.25" thickBot="1" x14ac:dyDescent="0.3">
      <c r="B203" s="35">
        <v>49</v>
      </c>
      <c r="C203" s="34" t="s">
        <v>657</v>
      </c>
      <c r="D203" s="34" t="s">
        <v>657</v>
      </c>
      <c r="E203" s="42">
        <v>45406</v>
      </c>
      <c r="F203" s="38" t="s">
        <v>969</v>
      </c>
      <c r="G203" s="38" t="s">
        <v>970</v>
      </c>
      <c r="H203" s="34" t="s">
        <v>40</v>
      </c>
      <c r="I203" s="34" t="s">
        <v>896</v>
      </c>
      <c r="J203" s="34" t="s">
        <v>14</v>
      </c>
      <c r="K203" s="34" t="s">
        <v>14</v>
      </c>
      <c r="L203" s="38" t="s">
        <v>14</v>
      </c>
      <c r="M203" s="38" t="s">
        <v>14</v>
      </c>
      <c r="N203" s="39" t="s">
        <v>14</v>
      </c>
      <c r="O203" s="39" t="s">
        <v>14</v>
      </c>
      <c r="P203" s="39" t="s">
        <v>14</v>
      </c>
      <c r="Q203" s="38" t="s">
        <v>14</v>
      </c>
    </row>
    <row r="204" spans="2:17" ht="51.75" thickBot="1" x14ac:dyDescent="0.3">
      <c r="B204" s="35">
        <v>50</v>
      </c>
      <c r="C204" s="34"/>
      <c r="D204" s="34"/>
      <c r="E204" s="36"/>
      <c r="F204" s="38" t="s">
        <v>971</v>
      </c>
      <c r="G204" s="38" t="s">
        <v>972</v>
      </c>
      <c r="H204" s="34" t="s">
        <v>629</v>
      </c>
      <c r="I204" s="34" t="s">
        <v>973</v>
      </c>
      <c r="J204" s="34"/>
      <c r="K204" s="34"/>
      <c r="L204" s="38"/>
      <c r="M204" s="38"/>
      <c r="N204" s="39"/>
      <c r="O204" s="39"/>
      <c r="P204" s="39"/>
      <c r="Q204" s="38"/>
    </row>
    <row r="205" spans="2:17" ht="51.75" thickBot="1" x14ac:dyDescent="0.3">
      <c r="B205" s="35">
        <v>51</v>
      </c>
      <c r="C205" s="34" t="s">
        <v>657</v>
      </c>
      <c r="D205" s="34" t="s">
        <v>657</v>
      </c>
      <c r="E205" s="42">
        <v>45407</v>
      </c>
      <c r="F205" s="38" t="s">
        <v>974</v>
      </c>
      <c r="G205" s="38" t="s">
        <v>975</v>
      </c>
      <c r="H205" s="34" t="s">
        <v>952</v>
      </c>
      <c r="I205" s="34" t="s">
        <v>869</v>
      </c>
      <c r="J205" s="34" t="s">
        <v>14</v>
      </c>
      <c r="K205" s="34" t="s">
        <v>14</v>
      </c>
      <c r="L205" s="38" t="s">
        <v>14</v>
      </c>
      <c r="M205" s="38" t="s">
        <v>14</v>
      </c>
      <c r="N205" s="39" t="s">
        <v>14</v>
      </c>
      <c r="O205" s="39" t="s">
        <v>14</v>
      </c>
      <c r="P205" s="39" t="s">
        <v>14</v>
      </c>
      <c r="Q205" s="38" t="s">
        <v>14</v>
      </c>
    </row>
    <row r="206" spans="2:17" ht="26.25" thickBot="1" x14ac:dyDescent="0.3">
      <c r="B206" s="35">
        <v>52</v>
      </c>
      <c r="C206" s="34" t="s">
        <v>657</v>
      </c>
      <c r="D206" s="34" t="s">
        <v>657</v>
      </c>
      <c r="E206" s="42">
        <v>45407</v>
      </c>
      <c r="F206" s="38" t="s">
        <v>976</v>
      </c>
      <c r="G206" s="38" t="s">
        <v>977</v>
      </c>
      <c r="H206" s="34" t="s">
        <v>40</v>
      </c>
      <c r="I206" s="34" t="s">
        <v>896</v>
      </c>
      <c r="J206" s="34" t="s">
        <v>14</v>
      </c>
      <c r="K206" s="34" t="s">
        <v>14</v>
      </c>
      <c r="L206" s="38" t="s">
        <v>14</v>
      </c>
      <c r="M206" s="38" t="s">
        <v>14</v>
      </c>
      <c r="N206" s="39" t="s">
        <v>14</v>
      </c>
      <c r="O206" s="39" t="s">
        <v>14</v>
      </c>
      <c r="P206" s="39" t="s">
        <v>14</v>
      </c>
      <c r="Q206" s="38" t="s">
        <v>14</v>
      </c>
    </row>
    <row r="207" spans="2:17" ht="26.25" thickBot="1" x14ac:dyDescent="0.3">
      <c r="B207" s="35">
        <v>53</v>
      </c>
      <c r="C207" s="34" t="s">
        <v>657</v>
      </c>
      <c r="D207" s="34" t="s">
        <v>657</v>
      </c>
      <c r="E207" s="42">
        <v>45407</v>
      </c>
      <c r="F207" s="38" t="s">
        <v>916</v>
      </c>
      <c r="G207" s="38" t="s">
        <v>978</v>
      </c>
      <c r="H207" s="34" t="s">
        <v>40</v>
      </c>
      <c r="I207" s="34" t="s">
        <v>191</v>
      </c>
      <c r="J207" s="34" t="s">
        <v>14</v>
      </c>
      <c r="K207" s="34" t="s">
        <v>14</v>
      </c>
      <c r="L207" s="38" t="s">
        <v>14</v>
      </c>
      <c r="M207" s="38" t="s">
        <v>14</v>
      </c>
      <c r="N207" s="39" t="s">
        <v>14</v>
      </c>
      <c r="O207" s="39" t="s">
        <v>14</v>
      </c>
      <c r="P207" s="39" t="s">
        <v>14</v>
      </c>
      <c r="Q207" s="38" t="s">
        <v>14</v>
      </c>
    </row>
    <row r="208" spans="2:17" ht="39" thickBot="1" x14ac:dyDescent="0.3">
      <c r="B208" s="35">
        <v>54</v>
      </c>
      <c r="C208" s="34" t="s">
        <v>657</v>
      </c>
      <c r="D208" s="34" t="s">
        <v>657</v>
      </c>
      <c r="E208" s="42">
        <v>45407</v>
      </c>
      <c r="F208" s="38" t="s">
        <v>979</v>
      </c>
      <c r="G208" s="38" t="s">
        <v>980</v>
      </c>
      <c r="H208" s="34" t="s">
        <v>629</v>
      </c>
      <c r="I208" s="34" t="s">
        <v>981</v>
      </c>
      <c r="J208" s="34">
        <v>5000</v>
      </c>
      <c r="K208" s="34">
        <v>15000</v>
      </c>
      <c r="L208" s="38" t="s">
        <v>14</v>
      </c>
      <c r="M208" s="38" t="s">
        <v>14</v>
      </c>
      <c r="N208" s="39" t="s">
        <v>14</v>
      </c>
      <c r="O208" s="39" t="s">
        <v>14</v>
      </c>
      <c r="P208" s="39" t="s">
        <v>14</v>
      </c>
      <c r="Q208" s="38" t="s">
        <v>14</v>
      </c>
    </row>
    <row r="209" spans="2:17" ht="39" thickBot="1" x14ac:dyDescent="0.3">
      <c r="B209" s="35">
        <v>55</v>
      </c>
      <c r="C209" s="34" t="s">
        <v>657</v>
      </c>
      <c r="D209" s="34" t="s">
        <v>657</v>
      </c>
      <c r="E209" s="42">
        <v>45408</v>
      </c>
      <c r="F209" s="38" t="s">
        <v>182</v>
      </c>
      <c r="G209" s="38" t="s">
        <v>982</v>
      </c>
      <c r="H209" s="34" t="s">
        <v>983</v>
      </c>
      <c r="I209" s="34" t="s">
        <v>982</v>
      </c>
      <c r="J209" s="38">
        <v>100000</v>
      </c>
      <c r="K209" s="34">
        <v>20000</v>
      </c>
      <c r="L209" s="38" t="s">
        <v>14</v>
      </c>
      <c r="M209" s="38" t="s">
        <v>14</v>
      </c>
      <c r="N209" s="39" t="s">
        <v>14</v>
      </c>
      <c r="O209" s="39" t="s">
        <v>14</v>
      </c>
      <c r="P209" s="39" t="s">
        <v>14</v>
      </c>
      <c r="Q209" s="38" t="s">
        <v>14</v>
      </c>
    </row>
    <row r="210" spans="2:17" ht="64.5" thickBot="1" x14ac:dyDescent="0.3">
      <c r="B210" s="35">
        <v>56</v>
      </c>
      <c r="C210" s="34" t="s">
        <v>657</v>
      </c>
      <c r="D210" s="34" t="s">
        <v>657</v>
      </c>
      <c r="E210" s="42">
        <v>45410</v>
      </c>
      <c r="F210" s="38" t="s">
        <v>984</v>
      </c>
      <c r="G210" s="38" t="s">
        <v>985</v>
      </c>
      <c r="H210" s="34" t="s">
        <v>986</v>
      </c>
      <c r="I210" s="34" t="s">
        <v>14</v>
      </c>
      <c r="J210" s="34" t="s">
        <v>14</v>
      </c>
      <c r="K210" s="34" t="s">
        <v>14</v>
      </c>
      <c r="L210" s="38" t="s">
        <v>14</v>
      </c>
      <c r="M210" s="38" t="s">
        <v>14</v>
      </c>
      <c r="N210" s="39" t="s">
        <v>14</v>
      </c>
      <c r="O210" s="39" t="s">
        <v>14</v>
      </c>
      <c r="P210" s="39" t="s">
        <v>14</v>
      </c>
      <c r="Q210" s="38" t="s">
        <v>14</v>
      </c>
    </row>
    <row r="211" spans="2:17" ht="39" thickBot="1" x14ac:dyDescent="0.3">
      <c r="B211" s="35">
        <v>57</v>
      </c>
      <c r="C211" s="34" t="s">
        <v>657</v>
      </c>
      <c r="D211" s="34" t="s">
        <v>657</v>
      </c>
      <c r="E211" s="42">
        <v>45410</v>
      </c>
      <c r="F211" s="38" t="s">
        <v>987</v>
      </c>
      <c r="G211" s="38" t="s">
        <v>988</v>
      </c>
      <c r="H211" s="34" t="s">
        <v>25</v>
      </c>
      <c r="I211" s="34" t="s">
        <v>989</v>
      </c>
      <c r="J211" s="34">
        <v>200000</v>
      </c>
      <c r="K211" s="34">
        <v>1800000</v>
      </c>
      <c r="L211" s="38" t="s">
        <v>14</v>
      </c>
      <c r="M211" s="38" t="s">
        <v>14</v>
      </c>
      <c r="N211" s="39" t="s">
        <v>14</v>
      </c>
      <c r="O211" s="39" t="s">
        <v>14</v>
      </c>
      <c r="P211" s="39" t="s">
        <v>14</v>
      </c>
      <c r="Q211" s="38" t="s">
        <v>14</v>
      </c>
    </row>
    <row r="212" spans="2:17" ht="64.5" thickBot="1" x14ac:dyDescent="0.3">
      <c r="B212" s="35">
        <v>58</v>
      </c>
      <c r="C212" s="34" t="s">
        <v>657</v>
      </c>
      <c r="D212" s="34" t="s">
        <v>657</v>
      </c>
      <c r="E212" s="42">
        <v>45411</v>
      </c>
      <c r="F212" s="38" t="s">
        <v>990</v>
      </c>
      <c r="G212" s="38" t="s">
        <v>991</v>
      </c>
      <c r="H212" s="34" t="s">
        <v>992</v>
      </c>
      <c r="I212" s="34"/>
      <c r="J212" s="34" t="s">
        <v>14</v>
      </c>
      <c r="K212" s="34" t="s">
        <v>14</v>
      </c>
      <c r="L212" s="38" t="s">
        <v>14</v>
      </c>
      <c r="M212" s="38" t="s">
        <v>14</v>
      </c>
      <c r="N212" s="39" t="s">
        <v>14</v>
      </c>
      <c r="O212" s="39" t="s">
        <v>14</v>
      </c>
      <c r="P212" s="39" t="s">
        <v>14</v>
      </c>
      <c r="Q212" s="38" t="s">
        <v>14</v>
      </c>
    </row>
    <row r="213" spans="2:17" ht="39" thickBot="1" x14ac:dyDescent="0.3">
      <c r="B213" s="35">
        <v>59</v>
      </c>
      <c r="C213" s="34" t="s">
        <v>657</v>
      </c>
      <c r="D213" s="34" t="s">
        <v>657</v>
      </c>
      <c r="E213" s="42">
        <v>45412</v>
      </c>
      <c r="F213" s="38" t="s">
        <v>993</v>
      </c>
      <c r="G213" s="38" t="s">
        <v>994</v>
      </c>
      <c r="H213" s="34" t="s">
        <v>40</v>
      </c>
      <c r="I213" s="34" t="s">
        <v>667</v>
      </c>
      <c r="J213" s="34" t="s">
        <v>14</v>
      </c>
      <c r="K213" s="34" t="s">
        <v>14</v>
      </c>
      <c r="L213" s="38" t="s">
        <v>14</v>
      </c>
      <c r="M213" s="38" t="s">
        <v>14</v>
      </c>
      <c r="N213" s="39" t="s">
        <v>14</v>
      </c>
      <c r="O213" s="39" t="s">
        <v>14</v>
      </c>
      <c r="P213" s="39" t="s">
        <v>14</v>
      </c>
      <c r="Q213" s="38" t="s">
        <v>14</v>
      </c>
    </row>
    <row r="214" spans="2:17" ht="26.25" thickBot="1" x14ac:dyDescent="0.3">
      <c r="B214" s="35">
        <v>60</v>
      </c>
      <c r="C214" s="34" t="s">
        <v>657</v>
      </c>
      <c r="D214" s="34" t="s">
        <v>657</v>
      </c>
      <c r="E214" s="42">
        <v>45412</v>
      </c>
      <c r="F214" s="38" t="s">
        <v>995</v>
      </c>
      <c r="G214" s="38" t="s">
        <v>996</v>
      </c>
      <c r="H214" s="34" t="s">
        <v>621</v>
      </c>
      <c r="I214" s="34" t="s">
        <v>997</v>
      </c>
      <c r="J214" s="34" t="s">
        <v>14</v>
      </c>
      <c r="K214" s="34" t="s">
        <v>14</v>
      </c>
      <c r="L214" s="38"/>
      <c r="M214" s="38"/>
      <c r="N214" s="39"/>
      <c r="O214" s="39"/>
      <c r="P214" s="39"/>
      <c r="Q214" s="38"/>
    </row>
    <row r="215" spans="2:17" ht="15.75" thickBot="1" x14ac:dyDescent="0.3">
      <c r="B215" s="58"/>
      <c r="C215" s="34"/>
      <c r="D215" s="34"/>
      <c r="E215" s="36"/>
      <c r="F215" s="38"/>
      <c r="G215" s="38"/>
      <c r="H215" s="34"/>
      <c r="I215" s="34"/>
      <c r="J215" s="68">
        <v>4868500</v>
      </c>
      <c r="K215" s="68">
        <v>50334902</v>
      </c>
      <c r="L215" s="38"/>
      <c r="M215" s="38"/>
      <c r="N215" s="39"/>
      <c r="O215" s="39"/>
      <c r="P215" s="39"/>
      <c r="Q215" s="38"/>
    </row>
    <row r="216" spans="2:17" x14ac:dyDescent="0.25">
      <c r="B216" s="48" t="s">
        <v>700</v>
      </c>
    </row>
    <row r="217" spans="2:17" ht="15.75" thickBot="1" x14ac:dyDescent="0.3">
      <c r="B217" s="49" t="s">
        <v>998</v>
      </c>
    </row>
    <row r="218" spans="2:17" ht="117" customHeight="1" thickBot="1" x14ac:dyDescent="0.3">
      <c r="B218" s="86" t="s">
        <v>589</v>
      </c>
      <c r="C218" s="86" t="s">
        <v>0</v>
      </c>
      <c r="D218" s="86" t="s">
        <v>590</v>
      </c>
      <c r="E218" s="86" t="s">
        <v>1</v>
      </c>
      <c r="F218" s="86" t="s">
        <v>592</v>
      </c>
      <c r="G218" s="86" t="s">
        <v>702</v>
      </c>
      <c r="H218" s="86" t="s">
        <v>4</v>
      </c>
      <c r="I218" s="86" t="s">
        <v>703</v>
      </c>
      <c r="J218" s="86" t="s">
        <v>595</v>
      </c>
      <c r="K218" s="86" t="s">
        <v>596</v>
      </c>
      <c r="L218" s="97" t="s">
        <v>8</v>
      </c>
      <c r="M218" s="85"/>
      <c r="N218" s="84" t="s">
        <v>9</v>
      </c>
      <c r="O218" s="85"/>
      <c r="P218" s="84" t="s">
        <v>10</v>
      </c>
      <c r="Q218" s="93"/>
    </row>
    <row r="219" spans="2:17" ht="15.75" thickBot="1" x14ac:dyDescent="0.3">
      <c r="B219" s="58"/>
      <c r="C219" s="58"/>
      <c r="D219" s="58"/>
      <c r="E219" s="58"/>
      <c r="F219" s="58"/>
      <c r="G219" s="58"/>
      <c r="H219" s="58"/>
      <c r="I219" s="58"/>
      <c r="J219" s="58"/>
      <c r="K219" s="58"/>
      <c r="L219" s="33" t="s">
        <v>11</v>
      </c>
      <c r="M219" s="33" t="s">
        <v>597</v>
      </c>
      <c r="N219" s="33" t="s">
        <v>11</v>
      </c>
      <c r="O219" s="33" t="s">
        <v>597</v>
      </c>
      <c r="P219" s="33" t="s">
        <v>11</v>
      </c>
      <c r="Q219" s="34" t="s">
        <v>597</v>
      </c>
    </row>
    <row r="220" spans="2:17" ht="15.75" thickBot="1" x14ac:dyDescent="0.3">
      <c r="B220" s="35">
        <v>1</v>
      </c>
      <c r="C220" s="34">
        <v>2</v>
      </c>
      <c r="D220" s="34">
        <v>3</v>
      </c>
      <c r="E220" s="34">
        <v>4</v>
      </c>
      <c r="F220" s="34">
        <v>5</v>
      </c>
      <c r="G220" s="34">
        <v>6</v>
      </c>
      <c r="H220" s="34">
        <v>7</v>
      </c>
      <c r="I220" s="34">
        <v>8</v>
      </c>
      <c r="J220" s="34">
        <v>9</v>
      </c>
      <c r="K220" s="34">
        <v>10</v>
      </c>
      <c r="L220" s="34">
        <v>11</v>
      </c>
      <c r="M220" s="34">
        <v>12</v>
      </c>
      <c r="N220" s="33">
        <v>13</v>
      </c>
      <c r="O220" s="33">
        <v>14</v>
      </c>
      <c r="P220" s="33">
        <v>15</v>
      </c>
      <c r="Q220" s="34">
        <v>16</v>
      </c>
    </row>
    <row r="221" spans="2:17" ht="26.25" thickBot="1" x14ac:dyDescent="0.3">
      <c r="B221" s="35">
        <v>1</v>
      </c>
      <c r="C221" s="34" t="s">
        <v>598</v>
      </c>
      <c r="D221" s="34" t="s">
        <v>598</v>
      </c>
      <c r="E221" s="40">
        <v>45385</v>
      </c>
      <c r="F221" s="34" t="s">
        <v>828</v>
      </c>
      <c r="G221" s="34" t="s">
        <v>999</v>
      </c>
      <c r="H221" s="34" t="s">
        <v>40</v>
      </c>
      <c r="I221" s="34" t="s">
        <v>1000</v>
      </c>
      <c r="J221" s="34" t="s">
        <v>14</v>
      </c>
      <c r="K221" s="34" t="s">
        <v>14</v>
      </c>
      <c r="L221" s="34" t="s">
        <v>14</v>
      </c>
      <c r="M221" s="34" t="s">
        <v>14</v>
      </c>
      <c r="N221" s="33" t="s">
        <v>14</v>
      </c>
      <c r="O221" s="33" t="s">
        <v>14</v>
      </c>
      <c r="P221" s="33" t="s">
        <v>14</v>
      </c>
      <c r="Q221" s="34" t="s">
        <v>14</v>
      </c>
    </row>
    <row r="222" spans="2:17" ht="39" thickBot="1" x14ac:dyDescent="0.3">
      <c r="B222" s="35">
        <v>2</v>
      </c>
      <c r="C222" s="34" t="s">
        <v>598</v>
      </c>
      <c r="D222" s="34" t="s">
        <v>598</v>
      </c>
      <c r="E222" s="40">
        <v>45386</v>
      </c>
      <c r="F222" s="34" t="s">
        <v>1001</v>
      </c>
      <c r="G222" s="34" t="s">
        <v>1002</v>
      </c>
      <c r="H222" s="34" t="s">
        <v>40</v>
      </c>
      <c r="I222" s="34" t="s">
        <v>1000</v>
      </c>
      <c r="J222" s="34" t="s">
        <v>14</v>
      </c>
      <c r="K222" s="34" t="s">
        <v>14</v>
      </c>
      <c r="L222" s="34" t="s">
        <v>14</v>
      </c>
      <c r="M222" s="34" t="s">
        <v>14</v>
      </c>
      <c r="N222" s="33" t="s">
        <v>14</v>
      </c>
      <c r="O222" s="33" t="s">
        <v>14</v>
      </c>
      <c r="P222" s="33" t="s">
        <v>14</v>
      </c>
      <c r="Q222" s="34" t="s">
        <v>14</v>
      </c>
    </row>
    <row r="223" spans="2:17" ht="39" thickBot="1" x14ac:dyDescent="0.3">
      <c r="B223" s="35">
        <v>3</v>
      </c>
      <c r="C223" s="34" t="s">
        <v>598</v>
      </c>
      <c r="D223" s="34" t="s">
        <v>598</v>
      </c>
      <c r="E223" s="40">
        <v>45388</v>
      </c>
      <c r="F223" s="34" t="s">
        <v>1003</v>
      </c>
      <c r="G223" s="34" t="s">
        <v>1004</v>
      </c>
      <c r="H223" s="34" t="s">
        <v>40</v>
      </c>
      <c r="I223" s="34" t="s">
        <v>1000</v>
      </c>
      <c r="J223" s="34" t="s">
        <v>14</v>
      </c>
      <c r="K223" s="34" t="s">
        <v>14</v>
      </c>
      <c r="L223" s="34" t="s">
        <v>14</v>
      </c>
      <c r="M223" s="34" t="s">
        <v>14</v>
      </c>
      <c r="N223" s="33" t="s">
        <v>14</v>
      </c>
      <c r="O223" s="33" t="s">
        <v>14</v>
      </c>
      <c r="P223" s="33" t="s">
        <v>14</v>
      </c>
      <c r="Q223" s="34" t="s">
        <v>14</v>
      </c>
    </row>
    <row r="224" spans="2:17" ht="15.75" thickBot="1" x14ac:dyDescent="0.3">
      <c r="B224" s="35">
        <v>4</v>
      </c>
      <c r="C224" s="34" t="s">
        <v>598</v>
      </c>
      <c r="D224" s="34" t="s">
        <v>598</v>
      </c>
      <c r="E224" s="40">
        <v>45389</v>
      </c>
      <c r="F224" s="34" t="s">
        <v>170</v>
      </c>
      <c r="G224" s="34" t="s">
        <v>1005</v>
      </c>
      <c r="H224" s="34" t="s">
        <v>40</v>
      </c>
      <c r="I224" s="34" t="s">
        <v>1000</v>
      </c>
      <c r="J224" s="34"/>
      <c r="K224" s="34"/>
      <c r="L224" s="34"/>
      <c r="M224" s="34"/>
      <c r="N224" s="33"/>
      <c r="O224" s="33"/>
      <c r="P224" s="33"/>
      <c r="Q224" s="34"/>
    </row>
    <row r="225" spans="2:17" ht="15.75" thickBot="1" x14ac:dyDescent="0.3">
      <c r="B225" s="35">
        <v>5</v>
      </c>
      <c r="C225" s="34" t="s">
        <v>598</v>
      </c>
      <c r="D225" s="34" t="s">
        <v>598</v>
      </c>
      <c r="E225" s="40">
        <v>45389</v>
      </c>
      <c r="F225" s="34" t="s">
        <v>1006</v>
      </c>
      <c r="G225" s="34" t="s">
        <v>1007</v>
      </c>
      <c r="H225" s="34" t="s">
        <v>40</v>
      </c>
      <c r="I225" s="34" t="s">
        <v>1000</v>
      </c>
      <c r="J225" s="34"/>
      <c r="K225" s="34"/>
      <c r="L225" s="34"/>
      <c r="M225" s="34"/>
      <c r="N225" s="33"/>
      <c r="O225" s="33"/>
      <c r="P225" s="33"/>
      <c r="Q225" s="34"/>
    </row>
    <row r="226" spans="2:17" ht="39" thickBot="1" x14ac:dyDescent="0.3">
      <c r="B226" s="35">
        <v>6</v>
      </c>
      <c r="C226" s="34" t="s">
        <v>598</v>
      </c>
      <c r="D226" s="34" t="s">
        <v>598</v>
      </c>
      <c r="E226" s="40">
        <v>45390</v>
      </c>
      <c r="F226" s="34" t="s">
        <v>1008</v>
      </c>
      <c r="G226" s="34" t="s">
        <v>1009</v>
      </c>
      <c r="H226" s="34" t="s">
        <v>40</v>
      </c>
      <c r="I226" s="34" t="s">
        <v>1000</v>
      </c>
      <c r="J226" s="34"/>
      <c r="K226" s="34"/>
      <c r="L226" s="34"/>
      <c r="M226" s="34"/>
      <c r="N226" s="33"/>
      <c r="O226" s="33"/>
      <c r="P226" s="33"/>
      <c r="Q226" s="34"/>
    </row>
    <row r="227" spans="2:17" ht="26.25" thickBot="1" x14ac:dyDescent="0.3">
      <c r="B227" s="35">
        <v>7</v>
      </c>
      <c r="C227" s="34" t="s">
        <v>598</v>
      </c>
      <c r="D227" s="34" t="s">
        <v>598</v>
      </c>
      <c r="E227" s="40">
        <v>45390</v>
      </c>
      <c r="F227" s="34" t="s">
        <v>304</v>
      </c>
      <c r="G227" s="34" t="s">
        <v>1010</v>
      </c>
      <c r="H227" s="34" t="s">
        <v>40</v>
      </c>
      <c r="I227" s="34" t="s">
        <v>1000</v>
      </c>
      <c r="J227" s="34"/>
      <c r="K227" s="34"/>
      <c r="L227" s="34"/>
      <c r="M227" s="34"/>
      <c r="N227" s="33"/>
      <c r="O227" s="33"/>
      <c r="P227" s="33"/>
      <c r="Q227" s="34"/>
    </row>
    <row r="228" spans="2:17" ht="15.75" thickBot="1" x14ac:dyDescent="0.3">
      <c r="B228" s="35">
        <v>8</v>
      </c>
      <c r="C228" s="34" t="s">
        <v>598</v>
      </c>
      <c r="D228" s="34" t="s">
        <v>598</v>
      </c>
      <c r="E228" s="40">
        <v>45390</v>
      </c>
      <c r="F228" s="34" t="s">
        <v>1011</v>
      </c>
      <c r="G228" s="34" t="s">
        <v>1012</v>
      </c>
      <c r="H228" s="34" t="s">
        <v>40</v>
      </c>
      <c r="I228" s="34" t="s">
        <v>1000</v>
      </c>
      <c r="J228" s="34"/>
      <c r="K228" s="34"/>
      <c r="L228" s="34"/>
      <c r="M228" s="34"/>
      <c r="N228" s="33"/>
      <c r="O228" s="33"/>
      <c r="P228" s="33"/>
      <c r="Q228" s="34"/>
    </row>
    <row r="229" spans="2:17" ht="26.25" thickBot="1" x14ac:dyDescent="0.3">
      <c r="B229" s="35">
        <v>9</v>
      </c>
      <c r="C229" s="34"/>
      <c r="D229" s="34"/>
      <c r="E229" s="40">
        <v>45390</v>
      </c>
      <c r="F229" s="34" t="s">
        <v>1001</v>
      </c>
      <c r="G229" s="34" t="s">
        <v>1013</v>
      </c>
      <c r="H229" s="34"/>
      <c r="I229" s="34"/>
      <c r="J229" s="34"/>
      <c r="K229" s="34"/>
      <c r="L229" s="34"/>
      <c r="M229" s="34"/>
      <c r="N229" s="33"/>
      <c r="O229" s="33"/>
      <c r="P229" s="33"/>
      <c r="Q229" s="34"/>
    </row>
    <row r="230" spans="2:17" ht="15.75" thickBot="1" x14ac:dyDescent="0.3">
      <c r="B230" s="35">
        <v>10</v>
      </c>
      <c r="C230" s="34" t="s">
        <v>598</v>
      </c>
      <c r="D230" s="34" t="s">
        <v>598</v>
      </c>
      <c r="E230" s="40">
        <v>45391</v>
      </c>
      <c r="F230" s="34" t="s">
        <v>1014</v>
      </c>
      <c r="G230" s="34" t="s">
        <v>1015</v>
      </c>
      <c r="H230" s="34" t="s">
        <v>40</v>
      </c>
      <c r="I230" s="34" t="s">
        <v>1000</v>
      </c>
      <c r="J230" s="34"/>
      <c r="K230" s="34"/>
      <c r="L230" s="34"/>
      <c r="M230" s="34"/>
      <c r="N230" s="33"/>
      <c r="O230" s="33"/>
      <c r="P230" s="33"/>
      <c r="Q230" s="34"/>
    </row>
    <row r="231" spans="2:17" ht="15.75" thickBot="1" x14ac:dyDescent="0.3">
      <c r="B231" s="35">
        <v>11</v>
      </c>
      <c r="C231" s="34" t="s">
        <v>598</v>
      </c>
      <c r="D231" s="34" t="s">
        <v>598</v>
      </c>
      <c r="E231" s="40">
        <v>45391</v>
      </c>
      <c r="F231" s="34" t="s">
        <v>1016</v>
      </c>
      <c r="G231" s="34" t="s">
        <v>1017</v>
      </c>
      <c r="H231" s="34" t="s">
        <v>40</v>
      </c>
      <c r="I231" s="34" t="s">
        <v>1000</v>
      </c>
      <c r="J231" s="34"/>
      <c r="K231" s="34"/>
      <c r="L231" s="34"/>
      <c r="M231" s="34"/>
      <c r="N231" s="33"/>
      <c r="O231" s="33"/>
      <c r="P231" s="33"/>
      <c r="Q231" s="34"/>
    </row>
    <row r="232" spans="2:17" ht="26.25" thickBot="1" x14ac:dyDescent="0.3">
      <c r="B232" s="35">
        <v>12</v>
      </c>
      <c r="C232" s="34" t="s">
        <v>598</v>
      </c>
      <c r="D232" s="34" t="s">
        <v>598</v>
      </c>
      <c r="E232" s="40">
        <v>45391</v>
      </c>
      <c r="F232" s="34" t="s">
        <v>185</v>
      </c>
      <c r="G232" s="34" t="s">
        <v>1018</v>
      </c>
      <c r="H232" s="34" t="s">
        <v>40</v>
      </c>
      <c r="I232" s="34" t="s">
        <v>1000</v>
      </c>
      <c r="J232" s="34"/>
      <c r="K232" s="34"/>
      <c r="L232" s="34"/>
      <c r="M232" s="34"/>
      <c r="N232" s="33"/>
      <c r="O232" s="33"/>
      <c r="P232" s="33"/>
      <c r="Q232" s="34"/>
    </row>
    <row r="233" spans="2:17" ht="51.75" thickBot="1" x14ac:dyDescent="0.3">
      <c r="B233" s="35">
        <v>13</v>
      </c>
      <c r="C233" s="34" t="s">
        <v>598</v>
      </c>
      <c r="D233" s="34" t="s">
        <v>598</v>
      </c>
      <c r="E233" s="40">
        <v>45392</v>
      </c>
      <c r="F233" s="34" t="s">
        <v>1019</v>
      </c>
      <c r="G233" s="34" t="s">
        <v>1020</v>
      </c>
      <c r="H233" s="34" t="s">
        <v>40</v>
      </c>
      <c r="I233" s="34" t="s">
        <v>1000</v>
      </c>
      <c r="J233" s="34"/>
      <c r="K233" s="34"/>
      <c r="L233" s="34"/>
      <c r="M233" s="34"/>
      <c r="N233" s="33"/>
      <c r="O233" s="33"/>
      <c r="P233" s="33"/>
      <c r="Q233" s="34"/>
    </row>
    <row r="234" spans="2:17" ht="26.25" thickBot="1" x14ac:dyDescent="0.3">
      <c r="B234" s="35">
        <v>14</v>
      </c>
      <c r="C234" s="34" t="s">
        <v>598</v>
      </c>
      <c r="D234" s="34" t="s">
        <v>598</v>
      </c>
      <c r="E234" s="40">
        <v>45392</v>
      </c>
      <c r="F234" s="34" t="s">
        <v>1021</v>
      </c>
      <c r="G234" s="34" t="s">
        <v>1022</v>
      </c>
      <c r="H234" s="34" t="s">
        <v>40</v>
      </c>
      <c r="I234" s="34" t="s">
        <v>1000</v>
      </c>
      <c r="J234" s="34"/>
      <c r="K234" s="34"/>
      <c r="L234" s="34"/>
      <c r="M234" s="34"/>
      <c r="N234" s="33"/>
      <c r="O234" s="33"/>
      <c r="P234" s="33"/>
      <c r="Q234" s="34"/>
    </row>
    <row r="235" spans="2:17" ht="39" thickBot="1" x14ac:dyDescent="0.3">
      <c r="B235" s="35">
        <v>15</v>
      </c>
      <c r="C235" s="34" t="s">
        <v>598</v>
      </c>
      <c r="D235" s="34" t="s">
        <v>598</v>
      </c>
      <c r="E235" s="40">
        <v>45392</v>
      </c>
      <c r="F235" s="34" t="s">
        <v>1023</v>
      </c>
      <c r="G235" s="34" t="s">
        <v>1024</v>
      </c>
      <c r="H235" s="34" t="s">
        <v>40</v>
      </c>
      <c r="I235" s="34" t="s">
        <v>1000</v>
      </c>
      <c r="J235" s="34"/>
      <c r="K235" s="34"/>
      <c r="L235" s="34"/>
      <c r="M235" s="34"/>
      <c r="N235" s="33"/>
      <c r="O235" s="33"/>
      <c r="P235" s="33"/>
      <c r="Q235" s="34"/>
    </row>
    <row r="236" spans="2:17" ht="26.25" thickBot="1" x14ac:dyDescent="0.3">
      <c r="B236" s="35">
        <v>16</v>
      </c>
      <c r="C236" s="34" t="s">
        <v>598</v>
      </c>
      <c r="D236" s="34" t="s">
        <v>598</v>
      </c>
      <c r="E236" s="40">
        <v>45392</v>
      </c>
      <c r="F236" s="34" t="s">
        <v>1025</v>
      </c>
      <c r="G236" s="34" t="s">
        <v>1026</v>
      </c>
      <c r="H236" s="34" t="s">
        <v>40</v>
      </c>
      <c r="I236" s="34" t="s">
        <v>1000</v>
      </c>
      <c r="J236" s="34"/>
      <c r="K236" s="34"/>
      <c r="L236" s="34"/>
      <c r="M236" s="34"/>
      <c r="N236" s="33"/>
      <c r="O236" s="33"/>
      <c r="P236" s="33"/>
      <c r="Q236" s="34"/>
    </row>
    <row r="237" spans="2:17" ht="51.75" thickBot="1" x14ac:dyDescent="0.3">
      <c r="B237" s="35">
        <v>17</v>
      </c>
      <c r="C237" s="34" t="s">
        <v>598</v>
      </c>
      <c r="D237" s="34" t="s">
        <v>598</v>
      </c>
      <c r="E237" s="40">
        <v>45392</v>
      </c>
      <c r="F237" s="34" t="s">
        <v>301</v>
      </c>
      <c r="G237" s="34" t="s">
        <v>1020</v>
      </c>
      <c r="H237" s="34" t="s">
        <v>40</v>
      </c>
      <c r="I237" s="34" t="s">
        <v>1000</v>
      </c>
      <c r="J237" s="34"/>
      <c r="K237" s="34"/>
      <c r="L237" s="34"/>
      <c r="M237" s="34"/>
      <c r="N237" s="33"/>
      <c r="O237" s="33"/>
      <c r="P237" s="33"/>
      <c r="Q237" s="34"/>
    </row>
    <row r="238" spans="2:17" ht="15.75" thickBot="1" x14ac:dyDescent="0.3">
      <c r="B238" s="35">
        <v>18</v>
      </c>
      <c r="C238" s="34" t="s">
        <v>598</v>
      </c>
      <c r="D238" s="34" t="s">
        <v>598</v>
      </c>
      <c r="E238" s="40">
        <v>45392</v>
      </c>
      <c r="F238" s="34" t="s">
        <v>246</v>
      </c>
      <c r="G238" s="34" t="s">
        <v>1027</v>
      </c>
      <c r="H238" s="34" t="s">
        <v>40</v>
      </c>
      <c r="I238" s="34" t="s">
        <v>1000</v>
      </c>
      <c r="J238" s="34"/>
      <c r="K238" s="34"/>
      <c r="L238" s="34"/>
      <c r="M238" s="34"/>
      <c r="N238" s="33"/>
      <c r="O238" s="33"/>
      <c r="P238" s="33"/>
      <c r="Q238" s="34"/>
    </row>
    <row r="239" spans="2:17" ht="26.25" thickBot="1" x14ac:dyDescent="0.3">
      <c r="B239" s="35">
        <v>19</v>
      </c>
      <c r="C239" s="34" t="s">
        <v>598</v>
      </c>
      <c r="D239" s="34" t="s">
        <v>598</v>
      </c>
      <c r="E239" s="40">
        <v>45393</v>
      </c>
      <c r="F239" s="34" t="s">
        <v>1028</v>
      </c>
      <c r="G239" s="34" t="s">
        <v>1029</v>
      </c>
      <c r="H239" s="34" t="s">
        <v>40</v>
      </c>
      <c r="I239" s="34" t="s">
        <v>1000</v>
      </c>
      <c r="J239" s="34"/>
      <c r="K239" s="34"/>
      <c r="L239" s="34"/>
      <c r="M239" s="34"/>
      <c r="N239" s="33"/>
      <c r="O239" s="33"/>
      <c r="P239" s="33"/>
      <c r="Q239" s="34"/>
    </row>
    <row r="240" spans="2:17" ht="39" thickBot="1" x14ac:dyDescent="0.3">
      <c r="B240" s="35">
        <v>20</v>
      </c>
      <c r="C240" s="34" t="s">
        <v>598</v>
      </c>
      <c r="D240" s="34" t="s">
        <v>598</v>
      </c>
      <c r="E240" s="40">
        <v>45393</v>
      </c>
      <c r="F240" s="34" t="s">
        <v>1030</v>
      </c>
      <c r="G240" s="34" t="s">
        <v>1031</v>
      </c>
      <c r="H240" s="34" t="s">
        <v>40</v>
      </c>
      <c r="I240" s="34" t="s">
        <v>1000</v>
      </c>
      <c r="J240" s="34"/>
      <c r="K240" s="34"/>
      <c r="L240" s="34"/>
      <c r="M240" s="34"/>
      <c r="N240" s="33"/>
      <c r="O240" s="33"/>
      <c r="P240" s="33"/>
      <c r="Q240" s="34"/>
    </row>
    <row r="241" spans="2:17" ht="39" thickBot="1" x14ac:dyDescent="0.3">
      <c r="B241" s="35">
        <v>21</v>
      </c>
      <c r="C241" s="34" t="s">
        <v>598</v>
      </c>
      <c r="D241" s="34" t="s">
        <v>598</v>
      </c>
      <c r="E241" s="40">
        <v>45393</v>
      </c>
      <c r="F241" s="34" t="s">
        <v>908</v>
      </c>
      <c r="G241" s="34" t="s">
        <v>1032</v>
      </c>
      <c r="H241" s="34" t="s">
        <v>40</v>
      </c>
      <c r="I241" s="34" t="s">
        <v>1000</v>
      </c>
      <c r="J241" s="34"/>
      <c r="K241" s="34"/>
      <c r="L241" s="34"/>
      <c r="M241" s="34"/>
      <c r="N241" s="33"/>
      <c r="O241" s="33"/>
      <c r="P241" s="33"/>
      <c r="Q241" s="34"/>
    </row>
    <row r="242" spans="2:17" ht="39" thickBot="1" x14ac:dyDescent="0.3">
      <c r="B242" s="35">
        <v>22</v>
      </c>
      <c r="C242" s="34" t="s">
        <v>598</v>
      </c>
      <c r="D242" s="34" t="s">
        <v>598</v>
      </c>
      <c r="E242" s="40">
        <v>45393</v>
      </c>
      <c r="F242" s="34" t="s">
        <v>1033</v>
      </c>
      <c r="G242" s="34" t="s">
        <v>1024</v>
      </c>
      <c r="H242" s="34" t="s">
        <v>40</v>
      </c>
      <c r="I242" s="34" t="s">
        <v>1000</v>
      </c>
      <c r="J242" s="34"/>
      <c r="K242" s="34"/>
      <c r="L242" s="34"/>
      <c r="M242" s="34"/>
      <c r="N242" s="33"/>
      <c r="O242" s="33"/>
      <c r="P242" s="33"/>
      <c r="Q242" s="34"/>
    </row>
    <row r="243" spans="2:17" ht="26.25" thickBot="1" x14ac:dyDescent="0.3">
      <c r="B243" s="35">
        <v>23</v>
      </c>
      <c r="C243" s="34" t="s">
        <v>598</v>
      </c>
      <c r="D243" s="34" t="s">
        <v>598</v>
      </c>
      <c r="E243" s="40">
        <v>45393</v>
      </c>
      <c r="F243" s="34" t="s">
        <v>256</v>
      </c>
      <c r="G243" s="34" t="s">
        <v>1034</v>
      </c>
      <c r="H243" s="34" t="s">
        <v>40</v>
      </c>
      <c r="I243" s="34" t="s">
        <v>1000</v>
      </c>
      <c r="J243" s="34"/>
      <c r="K243" s="34"/>
      <c r="L243" s="34"/>
      <c r="M243" s="34"/>
      <c r="N243" s="33"/>
      <c r="O243" s="33"/>
      <c r="P243" s="33"/>
      <c r="Q243" s="34"/>
    </row>
    <row r="244" spans="2:17" ht="15.75" thickBot="1" x14ac:dyDescent="0.3">
      <c r="B244" s="35">
        <v>24</v>
      </c>
      <c r="C244" s="34" t="s">
        <v>598</v>
      </c>
      <c r="D244" s="34" t="s">
        <v>598</v>
      </c>
      <c r="E244" s="34" t="s">
        <v>1035</v>
      </c>
      <c r="F244" s="34" t="s">
        <v>1036</v>
      </c>
      <c r="G244" s="34" t="s">
        <v>1037</v>
      </c>
      <c r="H244" s="34" t="s">
        <v>40</v>
      </c>
      <c r="I244" s="34" t="s">
        <v>1000</v>
      </c>
      <c r="J244" s="34"/>
      <c r="K244" s="34"/>
      <c r="L244" s="34"/>
      <c r="M244" s="34"/>
      <c r="N244" s="33"/>
      <c r="O244" s="33"/>
      <c r="P244" s="33"/>
      <c r="Q244" s="34"/>
    </row>
    <row r="245" spans="2:17" ht="15.75" thickBot="1" x14ac:dyDescent="0.3">
      <c r="B245" s="35">
        <v>25</v>
      </c>
      <c r="C245" s="34" t="s">
        <v>598</v>
      </c>
      <c r="D245" s="34" t="s">
        <v>598</v>
      </c>
      <c r="E245" s="34" t="s">
        <v>1035</v>
      </c>
      <c r="F245" s="34" t="s">
        <v>1038</v>
      </c>
      <c r="G245" s="34" t="s">
        <v>1039</v>
      </c>
      <c r="H245" s="34" t="s">
        <v>40</v>
      </c>
      <c r="I245" s="34" t="s">
        <v>1000</v>
      </c>
      <c r="J245" s="34"/>
      <c r="K245" s="34"/>
      <c r="L245" s="34"/>
      <c r="M245" s="34"/>
      <c r="N245" s="33"/>
      <c r="O245" s="33"/>
      <c r="P245" s="33"/>
      <c r="Q245" s="34"/>
    </row>
    <row r="246" spans="2:17" ht="26.25" thickBot="1" x14ac:dyDescent="0.3">
      <c r="B246" s="35">
        <v>26</v>
      </c>
      <c r="C246" s="34" t="s">
        <v>598</v>
      </c>
      <c r="D246" s="34" t="s">
        <v>598</v>
      </c>
      <c r="E246" s="34" t="s">
        <v>1035</v>
      </c>
      <c r="F246" s="34" t="s">
        <v>1040</v>
      </c>
      <c r="G246" s="34" t="s">
        <v>1041</v>
      </c>
      <c r="H246" s="34" t="s">
        <v>40</v>
      </c>
      <c r="I246" s="34" t="s">
        <v>1000</v>
      </c>
      <c r="J246" s="34"/>
      <c r="K246" s="34"/>
      <c r="L246" s="34"/>
      <c r="M246" s="34"/>
      <c r="N246" s="33"/>
      <c r="O246" s="33"/>
      <c r="P246" s="33"/>
      <c r="Q246" s="34"/>
    </row>
    <row r="247" spans="2:17" ht="26.25" thickBot="1" x14ac:dyDescent="0.3">
      <c r="B247" s="35">
        <v>27</v>
      </c>
      <c r="C247" s="34" t="s">
        <v>598</v>
      </c>
      <c r="D247" s="34" t="s">
        <v>598</v>
      </c>
      <c r="E247" s="40">
        <v>45394</v>
      </c>
      <c r="F247" s="34" t="s">
        <v>1042</v>
      </c>
      <c r="G247" s="34" t="s">
        <v>1043</v>
      </c>
      <c r="H247" s="34" t="s">
        <v>40</v>
      </c>
      <c r="I247" s="34" t="s">
        <v>1000</v>
      </c>
      <c r="J247" s="34"/>
      <c r="K247" s="34"/>
      <c r="L247" s="34"/>
      <c r="M247" s="34"/>
      <c r="N247" s="33"/>
      <c r="O247" s="33"/>
      <c r="P247" s="33"/>
      <c r="Q247" s="34"/>
    </row>
    <row r="248" spans="2:17" ht="26.25" thickBot="1" x14ac:dyDescent="0.3">
      <c r="B248" s="35">
        <v>28</v>
      </c>
      <c r="C248" s="34" t="s">
        <v>598</v>
      </c>
      <c r="D248" s="34" t="s">
        <v>598</v>
      </c>
      <c r="E248" s="40">
        <v>45395</v>
      </c>
      <c r="F248" s="34" t="s">
        <v>1044</v>
      </c>
      <c r="G248" s="34" t="s">
        <v>1045</v>
      </c>
      <c r="H248" s="34" t="s">
        <v>40</v>
      </c>
      <c r="I248" s="34" t="s">
        <v>1000</v>
      </c>
      <c r="J248" s="34"/>
      <c r="K248" s="34"/>
      <c r="L248" s="34"/>
      <c r="M248" s="34"/>
      <c r="N248" s="33"/>
      <c r="O248" s="33"/>
      <c r="P248" s="33"/>
      <c r="Q248" s="34"/>
    </row>
    <row r="249" spans="2:17" ht="26.25" thickBot="1" x14ac:dyDescent="0.3">
      <c r="B249" s="35">
        <v>29</v>
      </c>
      <c r="C249" s="34" t="s">
        <v>598</v>
      </c>
      <c r="D249" s="34" t="s">
        <v>598</v>
      </c>
      <c r="E249" s="40">
        <v>45395</v>
      </c>
      <c r="F249" s="34" t="s">
        <v>830</v>
      </c>
      <c r="G249" s="34" t="s">
        <v>1046</v>
      </c>
      <c r="H249" s="34" t="s">
        <v>40</v>
      </c>
      <c r="I249" s="34" t="s">
        <v>1000</v>
      </c>
      <c r="J249" s="34"/>
      <c r="K249" s="34"/>
      <c r="L249" s="34"/>
      <c r="M249" s="34"/>
      <c r="N249" s="33"/>
      <c r="O249" s="33"/>
      <c r="P249" s="33"/>
      <c r="Q249" s="34"/>
    </row>
    <row r="250" spans="2:17" ht="15.75" thickBot="1" x14ac:dyDescent="0.3">
      <c r="B250" s="35">
        <v>30</v>
      </c>
      <c r="C250" s="34" t="s">
        <v>598</v>
      </c>
      <c r="D250" s="34" t="s">
        <v>598</v>
      </c>
      <c r="E250" s="40">
        <v>45396</v>
      </c>
      <c r="F250" s="34" t="s">
        <v>1047</v>
      </c>
      <c r="G250" s="34" t="s">
        <v>1048</v>
      </c>
      <c r="H250" s="34" t="s">
        <v>40</v>
      </c>
      <c r="I250" s="34" t="s">
        <v>1000</v>
      </c>
      <c r="J250" s="34"/>
      <c r="K250" s="34"/>
      <c r="L250" s="34"/>
      <c r="M250" s="34"/>
      <c r="N250" s="33"/>
      <c r="O250" s="33"/>
      <c r="P250" s="33"/>
      <c r="Q250" s="34"/>
    </row>
    <row r="251" spans="2:17" ht="39" thickBot="1" x14ac:dyDescent="0.3">
      <c r="B251" s="35">
        <v>31</v>
      </c>
      <c r="C251" s="34" t="s">
        <v>598</v>
      </c>
      <c r="D251" s="34" t="s">
        <v>598</v>
      </c>
      <c r="E251" s="40">
        <v>45400</v>
      </c>
      <c r="F251" s="34" t="s">
        <v>962</v>
      </c>
      <c r="G251" s="34" t="s">
        <v>1049</v>
      </c>
      <c r="H251" s="34" t="s">
        <v>40</v>
      </c>
      <c r="I251" s="34" t="s">
        <v>1000</v>
      </c>
      <c r="J251" s="34"/>
      <c r="K251" s="34"/>
      <c r="L251" s="34"/>
      <c r="M251" s="34"/>
      <c r="N251" s="33"/>
      <c r="O251" s="33"/>
      <c r="P251" s="33"/>
      <c r="Q251" s="34"/>
    </row>
    <row r="252" spans="2:17" ht="39" thickBot="1" x14ac:dyDescent="0.3">
      <c r="B252" s="35">
        <v>32</v>
      </c>
      <c r="C252" s="34" t="s">
        <v>598</v>
      </c>
      <c r="D252" s="34" t="s">
        <v>598</v>
      </c>
      <c r="E252" s="40">
        <v>45400</v>
      </c>
      <c r="F252" s="34" t="s">
        <v>1050</v>
      </c>
      <c r="G252" s="34" t="s">
        <v>1051</v>
      </c>
      <c r="H252" s="34" t="s">
        <v>40</v>
      </c>
      <c r="I252" s="34" t="s">
        <v>1000</v>
      </c>
      <c r="J252" s="34"/>
      <c r="K252" s="34"/>
      <c r="L252" s="34"/>
      <c r="M252" s="34"/>
      <c r="N252" s="33"/>
      <c r="O252" s="33"/>
      <c r="P252" s="33"/>
      <c r="Q252" s="34"/>
    </row>
    <row r="253" spans="2:17" ht="39" thickBot="1" x14ac:dyDescent="0.3">
      <c r="B253" s="35">
        <v>33</v>
      </c>
      <c r="C253" s="34" t="s">
        <v>598</v>
      </c>
      <c r="D253" s="34" t="s">
        <v>598</v>
      </c>
      <c r="E253" s="40">
        <v>45400</v>
      </c>
      <c r="F253" s="34" t="s">
        <v>979</v>
      </c>
      <c r="G253" s="34" t="s">
        <v>1052</v>
      </c>
      <c r="H253" s="34" t="s">
        <v>40</v>
      </c>
      <c r="I253" s="34" t="s">
        <v>1000</v>
      </c>
      <c r="J253" s="34"/>
      <c r="K253" s="34"/>
      <c r="L253" s="34"/>
      <c r="M253" s="34"/>
      <c r="N253" s="33"/>
      <c r="O253" s="33"/>
      <c r="P253" s="33"/>
      <c r="Q253" s="34"/>
    </row>
    <row r="254" spans="2:17" ht="26.25" thickBot="1" x14ac:dyDescent="0.3">
      <c r="B254" s="35">
        <v>34</v>
      </c>
      <c r="C254" s="34" t="s">
        <v>598</v>
      </c>
      <c r="D254" s="34" t="s">
        <v>598</v>
      </c>
      <c r="E254" s="40">
        <v>45401</v>
      </c>
      <c r="F254" s="34" t="s">
        <v>794</v>
      </c>
      <c r="G254" s="34" t="s">
        <v>1053</v>
      </c>
      <c r="H254" s="34" t="s">
        <v>40</v>
      </c>
      <c r="I254" s="34" t="s">
        <v>1000</v>
      </c>
      <c r="J254" s="34"/>
      <c r="K254" s="34"/>
      <c r="L254" s="34"/>
      <c r="M254" s="34"/>
      <c r="N254" s="33"/>
      <c r="O254" s="33"/>
      <c r="P254" s="33"/>
      <c r="Q254" s="34"/>
    </row>
    <row r="255" spans="2:17" ht="39" thickBot="1" x14ac:dyDescent="0.3">
      <c r="B255" s="35">
        <v>35</v>
      </c>
      <c r="C255" s="34" t="s">
        <v>598</v>
      </c>
      <c r="D255" s="34" t="s">
        <v>598</v>
      </c>
      <c r="E255" s="40">
        <v>45401</v>
      </c>
      <c r="F255" s="34" t="s">
        <v>130</v>
      </c>
      <c r="G255" s="34" t="s">
        <v>1054</v>
      </c>
      <c r="H255" s="34" t="s">
        <v>40</v>
      </c>
      <c r="I255" s="34" t="s">
        <v>1000</v>
      </c>
      <c r="J255" s="34"/>
      <c r="K255" s="34"/>
      <c r="L255" s="34"/>
      <c r="M255" s="34"/>
      <c r="N255" s="33"/>
      <c r="O255" s="33"/>
      <c r="P255" s="33"/>
      <c r="Q255" s="34"/>
    </row>
    <row r="256" spans="2:17" ht="15.75" thickBot="1" x14ac:dyDescent="0.3">
      <c r="B256" s="35">
        <v>36</v>
      </c>
      <c r="C256" s="34" t="s">
        <v>598</v>
      </c>
      <c r="D256" s="34" t="s">
        <v>598</v>
      </c>
      <c r="E256" s="40">
        <v>45401</v>
      </c>
      <c r="F256" s="34" t="s">
        <v>1055</v>
      </c>
      <c r="G256" s="34" t="s">
        <v>1056</v>
      </c>
      <c r="H256" s="34" t="s">
        <v>40</v>
      </c>
      <c r="I256" s="34" t="s">
        <v>1000</v>
      </c>
      <c r="J256" s="34"/>
      <c r="K256" s="34"/>
      <c r="L256" s="34"/>
      <c r="M256" s="34"/>
      <c r="N256" s="33"/>
      <c r="O256" s="33"/>
      <c r="P256" s="33"/>
      <c r="Q256" s="34"/>
    </row>
    <row r="257" spans="2:17" ht="26.25" thickBot="1" x14ac:dyDescent="0.3">
      <c r="B257" s="35">
        <v>37</v>
      </c>
      <c r="C257" s="34" t="s">
        <v>598</v>
      </c>
      <c r="D257" s="34" t="s">
        <v>598</v>
      </c>
      <c r="E257" s="40">
        <v>45403</v>
      </c>
      <c r="F257" s="34" t="s">
        <v>1057</v>
      </c>
      <c r="G257" s="34" t="s">
        <v>1058</v>
      </c>
      <c r="H257" s="34" t="s">
        <v>40</v>
      </c>
      <c r="I257" s="34" t="s">
        <v>1000</v>
      </c>
      <c r="J257" s="34"/>
      <c r="K257" s="34"/>
      <c r="L257" s="34"/>
      <c r="M257" s="34"/>
      <c r="N257" s="33"/>
      <c r="O257" s="33"/>
      <c r="P257" s="33"/>
      <c r="Q257" s="34"/>
    </row>
    <row r="258" spans="2:17" ht="26.25" thickBot="1" x14ac:dyDescent="0.3">
      <c r="B258" s="35">
        <v>38</v>
      </c>
      <c r="C258" s="34" t="s">
        <v>598</v>
      </c>
      <c r="D258" s="34" t="s">
        <v>598</v>
      </c>
      <c r="E258" s="40">
        <v>45403</v>
      </c>
      <c r="F258" s="34" t="s">
        <v>1059</v>
      </c>
      <c r="G258" s="34" t="s">
        <v>1060</v>
      </c>
      <c r="H258" s="34" t="s">
        <v>40</v>
      </c>
      <c r="I258" s="34" t="s">
        <v>1000</v>
      </c>
      <c r="J258" s="34"/>
      <c r="K258" s="34"/>
      <c r="L258" s="34"/>
      <c r="M258" s="34"/>
      <c r="N258" s="33"/>
      <c r="O258" s="33"/>
      <c r="P258" s="33"/>
      <c r="Q258" s="34"/>
    </row>
    <row r="259" spans="2:17" ht="26.25" thickBot="1" x14ac:dyDescent="0.3">
      <c r="B259" s="35">
        <v>39</v>
      </c>
      <c r="C259" s="34" t="s">
        <v>598</v>
      </c>
      <c r="D259" s="34" t="s">
        <v>598</v>
      </c>
      <c r="E259" s="40">
        <v>45405</v>
      </c>
      <c r="F259" s="34" t="s">
        <v>1061</v>
      </c>
      <c r="G259" s="34" t="s">
        <v>1062</v>
      </c>
      <c r="H259" s="34" t="s">
        <v>40</v>
      </c>
      <c r="I259" s="34" t="s">
        <v>1000</v>
      </c>
      <c r="J259" s="34"/>
      <c r="K259" s="34"/>
      <c r="L259" s="34"/>
      <c r="M259" s="34"/>
      <c r="N259" s="33"/>
      <c r="O259" s="33"/>
      <c r="P259" s="33"/>
      <c r="Q259" s="34"/>
    </row>
    <row r="260" spans="2:17" ht="39" thickBot="1" x14ac:dyDescent="0.3">
      <c r="B260" s="35">
        <v>40</v>
      </c>
      <c r="C260" s="34" t="s">
        <v>598</v>
      </c>
      <c r="D260" s="34" t="s">
        <v>598</v>
      </c>
      <c r="E260" s="40">
        <v>45406</v>
      </c>
      <c r="F260" s="34" t="s">
        <v>1063</v>
      </c>
      <c r="G260" s="34" t="s">
        <v>1064</v>
      </c>
      <c r="H260" s="34" t="s">
        <v>40</v>
      </c>
      <c r="I260" s="34" t="s">
        <v>1000</v>
      </c>
      <c r="J260" s="34"/>
      <c r="K260" s="34"/>
      <c r="L260" s="34"/>
      <c r="M260" s="34"/>
      <c r="N260" s="33"/>
      <c r="O260" s="33"/>
      <c r="P260" s="33"/>
      <c r="Q260" s="34"/>
    </row>
    <row r="261" spans="2:17" ht="26.25" thickBot="1" x14ac:dyDescent="0.3">
      <c r="B261" s="35">
        <v>41</v>
      </c>
      <c r="C261" s="34" t="s">
        <v>598</v>
      </c>
      <c r="D261" s="34" t="s">
        <v>598</v>
      </c>
      <c r="E261" s="40">
        <v>45406</v>
      </c>
      <c r="F261" s="34" t="s">
        <v>135</v>
      </c>
      <c r="G261" s="34" t="s">
        <v>1065</v>
      </c>
      <c r="H261" s="34" t="s">
        <v>40</v>
      </c>
      <c r="I261" s="34" t="s">
        <v>1000</v>
      </c>
      <c r="J261" s="34"/>
      <c r="K261" s="34"/>
      <c r="L261" s="34"/>
      <c r="M261" s="34"/>
      <c r="N261" s="33"/>
      <c r="O261" s="33"/>
      <c r="P261" s="33"/>
      <c r="Q261" s="34"/>
    </row>
    <row r="262" spans="2:17" ht="39" thickBot="1" x14ac:dyDescent="0.3">
      <c r="B262" s="35">
        <v>42</v>
      </c>
      <c r="C262" s="34" t="s">
        <v>598</v>
      </c>
      <c r="D262" s="34" t="s">
        <v>598</v>
      </c>
      <c r="E262" s="40">
        <v>45407</v>
      </c>
      <c r="F262" s="34" t="s">
        <v>299</v>
      </c>
      <c r="G262" s="34" t="s">
        <v>1066</v>
      </c>
      <c r="H262" s="34" t="s">
        <v>40</v>
      </c>
      <c r="I262" s="34" t="s">
        <v>1000</v>
      </c>
      <c r="J262" s="34"/>
      <c r="K262" s="34"/>
      <c r="L262" s="34"/>
      <c r="M262" s="34"/>
      <c r="N262" s="33"/>
      <c r="O262" s="33"/>
      <c r="P262" s="33"/>
      <c r="Q262" s="34"/>
    </row>
    <row r="263" spans="2:17" ht="51.75" thickBot="1" x14ac:dyDescent="0.3">
      <c r="B263" s="35">
        <v>43</v>
      </c>
      <c r="C263" s="34" t="s">
        <v>598</v>
      </c>
      <c r="D263" s="34" t="s">
        <v>598</v>
      </c>
      <c r="E263" s="40">
        <v>45407</v>
      </c>
      <c r="F263" s="34" t="s">
        <v>1067</v>
      </c>
      <c r="G263" s="34" t="s">
        <v>1068</v>
      </c>
      <c r="H263" s="34" t="s">
        <v>40</v>
      </c>
      <c r="I263" s="34" t="s">
        <v>1000</v>
      </c>
      <c r="J263" s="34"/>
      <c r="K263" s="34"/>
      <c r="L263" s="34"/>
      <c r="M263" s="34"/>
      <c r="N263" s="33"/>
      <c r="O263" s="33"/>
      <c r="P263" s="33"/>
      <c r="Q263" s="34"/>
    </row>
    <row r="264" spans="2:17" ht="26.25" thickBot="1" x14ac:dyDescent="0.3">
      <c r="B264" s="35">
        <v>44</v>
      </c>
      <c r="C264" s="34" t="s">
        <v>598</v>
      </c>
      <c r="D264" s="34" t="s">
        <v>598</v>
      </c>
      <c r="E264" s="40">
        <v>45408</v>
      </c>
      <c r="F264" s="38" t="s">
        <v>1069</v>
      </c>
      <c r="G264" s="34" t="s">
        <v>1070</v>
      </c>
      <c r="H264" s="34" t="s">
        <v>621</v>
      </c>
      <c r="I264" s="34" t="s">
        <v>1000</v>
      </c>
      <c r="J264" s="38"/>
      <c r="K264" s="34"/>
      <c r="L264" s="34"/>
      <c r="M264" s="34"/>
      <c r="N264" s="33"/>
      <c r="O264" s="33"/>
      <c r="P264" s="33"/>
      <c r="Q264" s="34"/>
    </row>
    <row r="265" spans="2:17" ht="51.75" thickBot="1" x14ac:dyDescent="0.3">
      <c r="B265" s="35">
        <v>45</v>
      </c>
      <c r="C265" s="34" t="s">
        <v>598</v>
      </c>
      <c r="D265" s="34" t="s">
        <v>598</v>
      </c>
      <c r="E265" s="34" t="s">
        <v>1071</v>
      </c>
      <c r="F265" s="38" t="s">
        <v>1072</v>
      </c>
      <c r="G265" s="34" t="s">
        <v>1073</v>
      </c>
      <c r="H265" s="34" t="s">
        <v>621</v>
      </c>
      <c r="I265" s="34" t="s">
        <v>1000</v>
      </c>
      <c r="J265" s="38"/>
      <c r="K265" s="34"/>
      <c r="L265" s="34"/>
      <c r="M265" s="34"/>
      <c r="N265" s="33"/>
      <c r="O265" s="33"/>
      <c r="P265" s="33"/>
      <c r="Q265" s="34"/>
    </row>
    <row r="266" spans="2:17" ht="26.25" thickBot="1" x14ac:dyDescent="0.3">
      <c r="B266" s="35">
        <v>46</v>
      </c>
      <c r="C266" s="34" t="s">
        <v>598</v>
      </c>
      <c r="D266" s="34" t="s">
        <v>598</v>
      </c>
      <c r="E266" s="40">
        <v>45409</v>
      </c>
      <c r="F266" s="38" t="s">
        <v>1074</v>
      </c>
      <c r="G266" s="34" t="s">
        <v>1075</v>
      </c>
      <c r="H266" s="34" t="s">
        <v>621</v>
      </c>
      <c r="I266" s="34" t="s">
        <v>1000</v>
      </c>
      <c r="J266" s="38"/>
      <c r="K266" s="34"/>
      <c r="L266" s="34"/>
      <c r="M266" s="34"/>
      <c r="N266" s="33"/>
      <c r="O266" s="33"/>
      <c r="P266" s="33"/>
      <c r="Q266" s="34"/>
    </row>
    <row r="267" spans="2:17" ht="26.25" thickBot="1" x14ac:dyDescent="0.3">
      <c r="B267" s="35">
        <v>47</v>
      </c>
      <c r="C267" s="34" t="s">
        <v>598</v>
      </c>
      <c r="D267" s="34" t="s">
        <v>598</v>
      </c>
      <c r="E267" s="40">
        <v>45410</v>
      </c>
      <c r="F267" s="38" t="s">
        <v>1076</v>
      </c>
      <c r="G267" s="34" t="s">
        <v>1077</v>
      </c>
      <c r="H267" s="34" t="s">
        <v>621</v>
      </c>
      <c r="I267" s="34" t="s">
        <v>1000</v>
      </c>
      <c r="J267" s="38"/>
      <c r="K267" s="34"/>
      <c r="L267" s="34"/>
      <c r="M267" s="34"/>
      <c r="N267" s="33"/>
      <c r="O267" s="33"/>
      <c r="P267" s="33"/>
      <c r="Q267" s="34"/>
    </row>
    <row r="268" spans="2:17" ht="51.75" thickBot="1" x14ac:dyDescent="0.3">
      <c r="B268" s="35">
        <v>48</v>
      </c>
      <c r="C268" s="34" t="s">
        <v>598</v>
      </c>
      <c r="D268" s="34" t="s">
        <v>598</v>
      </c>
      <c r="E268" s="40">
        <v>45411</v>
      </c>
      <c r="F268" s="38" t="s">
        <v>1078</v>
      </c>
      <c r="G268" s="34" t="s">
        <v>1079</v>
      </c>
      <c r="H268" s="34" t="s">
        <v>621</v>
      </c>
      <c r="I268" s="34" t="s">
        <v>1000</v>
      </c>
      <c r="J268" s="38"/>
      <c r="K268" s="34"/>
      <c r="L268" s="34"/>
      <c r="M268" s="34"/>
      <c r="N268" s="33"/>
      <c r="O268" s="33"/>
      <c r="P268" s="33"/>
      <c r="Q268" s="34"/>
    </row>
    <row r="269" spans="2:17" ht="77.25" thickBot="1" x14ac:dyDescent="0.3">
      <c r="B269" s="35">
        <v>49</v>
      </c>
      <c r="C269" s="34" t="s">
        <v>598</v>
      </c>
      <c r="D269" s="34" t="s">
        <v>598</v>
      </c>
      <c r="E269" s="34" t="s">
        <v>1080</v>
      </c>
      <c r="F269" s="38" t="s">
        <v>289</v>
      </c>
      <c r="G269" s="38" t="s">
        <v>1081</v>
      </c>
      <c r="H269" s="34" t="s">
        <v>621</v>
      </c>
      <c r="I269" s="34" t="s">
        <v>1000</v>
      </c>
      <c r="J269" s="38"/>
      <c r="K269" s="34"/>
      <c r="L269" s="34"/>
      <c r="M269" s="34"/>
      <c r="N269" s="33"/>
      <c r="O269" s="33"/>
      <c r="P269" s="33"/>
      <c r="Q269" s="34"/>
    </row>
    <row r="270" spans="2:17" ht="39" thickBot="1" x14ac:dyDescent="0.3">
      <c r="B270" s="35">
        <v>50</v>
      </c>
      <c r="C270" s="34" t="s">
        <v>598</v>
      </c>
      <c r="D270" s="34" t="s">
        <v>598</v>
      </c>
      <c r="E270" s="40">
        <v>45411</v>
      </c>
      <c r="F270" s="38" t="s">
        <v>1082</v>
      </c>
      <c r="G270" s="34" t="s">
        <v>1083</v>
      </c>
      <c r="H270" s="34" t="s">
        <v>621</v>
      </c>
      <c r="I270" s="34" t="s">
        <v>1000</v>
      </c>
      <c r="J270" s="38"/>
      <c r="K270" s="34"/>
      <c r="L270" s="34"/>
      <c r="M270" s="34"/>
      <c r="N270" s="33"/>
      <c r="O270" s="33"/>
      <c r="P270" s="33"/>
      <c r="Q270" s="34"/>
    </row>
    <row r="271" spans="2:17" ht="26.25" thickBot="1" x14ac:dyDescent="0.3">
      <c r="B271" s="35">
        <v>51</v>
      </c>
      <c r="C271" s="34" t="s">
        <v>598</v>
      </c>
      <c r="D271" s="34" t="s">
        <v>598</v>
      </c>
      <c r="E271" s="40">
        <v>45411</v>
      </c>
      <c r="F271" s="38" t="s">
        <v>1084</v>
      </c>
      <c r="G271" s="34" t="s">
        <v>1085</v>
      </c>
      <c r="H271" s="34" t="s">
        <v>621</v>
      </c>
      <c r="I271" s="34" t="s">
        <v>1000</v>
      </c>
      <c r="J271" s="38"/>
      <c r="K271" s="34"/>
      <c r="L271" s="34"/>
      <c r="M271" s="34"/>
      <c r="N271" s="33"/>
      <c r="O271" s="33"/>
      <c r="P271" s="33"/>
      <c r="Q271" s="34"/>
    </row>
    <row r="272" spans="2:17" ht="39" thickBot="1" x14ac:dyDescent="0.3">
      <c r="B272" s="35">
        <v>52</v>
      </c>
      <c r="C272" s="34" t="s">
        <v>598</v>
      </c>
      <c r="D272" s="34" t="s">
        <v>598</v>
      </c>
      <c r="E272" s="40">
        <v>45412</v>
      </c>
      <c r="F272" s="38" t="s">
        <v>752</v>
      </c>
      <c r="G272" s="34" t="s">
        <v>1086</v>
      </c>
      <c r="H272" s="34" t="s">
        <v>621</v>
      </c>
      <c r="I272" s="34" t="s">
        <v>1000</v>
      </c>
      <c r="J272" s="38"/>
      <c r="K272" s="34"/>
      <c r="L272" s="34"/>
      <c r="M272" s="34"/>
      <c r="N272" s="33"/>
      <c r="O272" s="33"/>
      <c r="P272" s="33"/>
      <c r="Q272" s="34"/>
    </row>
    <row r="273" spans="2:17" ht="39" thickBot="1" x14ac:dyDescent="0.3">
      <c r="B273" s="35">
        <v>53</v>
      </c>
      <c r="C273" s="34" t="s">
        <v>598</v>
      </c>
      <c r="D273" s="34" t="s">
        <v>598</v>
      </c>
      <c r="E273" s="40">
        <v>45412</v>
      </c>
      <c r="F273" s="38" t="s">
        <v>1087</v>
      </c>
      <c r="G273" s="34" t="s">
        <v>1088</v>
      </c>
      <c r="H273" s="34" t="s">
        <v>40</v>
      </c>
      <c r="I273" s="34" t="s">
        <v>1000</v>
      </c>
      <c r="J273" s="38"/>
      <c r="K273" s="34"/>
      <c r="L273" s="34"/>
      <c r="M273" s="34"/>
      <c r="N273" s="33"/>
      <c r="O273" s="33"/>
      <c r="P273" s="33"/>
      <c r="Q273" s="34"/>
    </row>
    <row r="274" spans="2:17" ht="26.25" thickBot="1" x14ac:dyDescent="0.3">
      <c r="B274" s="35">
        <v>54</v>
      </c>
      <c r="C274" s="34" t="s">
        <v>598</v>
      </c>
      <c r="D274" s="34" t="s">
        <v>598</v>
      </c>
      <c r="E274" s="40">
        <v>45412</v>
      </c>
      <c r="F274" s="38" t="s">
        <v>1089</v>
      </c>
      <c r="G274" s="34" t="s">
        <v>1090</v>
      </c>
      <c r="H274" s="34" t="s">
        <v>40</v>
      </c>
      <c r="I274" s="34" t="s">
        <v>1000</v>
      </c>
      <c r="J274" s="38"/>
      <c r="K274" s="34"/>
      <c r="L274" s="34"/>
      <c r="M274" s="34"/>
      <c r="N274" s="33"/>
      <c r="O274" s="33"/>
      <c r="P274" s="33"/>
      <c r="Q274" s="34"/>
    </row>
    <row r="275" spans="2:17" x14ac:dyDescent="0.25">
      <c r="B275" s="48"/>
    </row>
    <row r="276" spans="2:17" ht="15.75" thickBot="1" x14ac:dyDescent="0.3">
      <c r="B276" s="49" t="s">
        <v>712</v>
      </c>
    </row>
    <row r="277" spans="2:17" ht="15" customHeight="1" thickBot="1" x14ac:dyDescent="0.3">
      <c r="B277" s="86" t="s">
        <v>589</v>
      </c>
      <c r="C277" s="86" t="s">
        <v>0</v>
      </c>
      <c r="D277" s="86" t="s">
        <v>713</v>
      </c>
      <c r="E277" s="94" t="s">
        <v>67</v>
      </c>
      <c r="F277" s="95"/>
      <c r="G277" s="96"/>
      <c r="H277" s="86" t="s">
        <v>714</v>
      </c>
      <c r="I277" s="97" t="s">
        <v>8</v>
      </c>
      <c r="J277" s="85"/>
      <c r="K277" s="84" t="s">
        <v>9</v>
      </c>
      <c r="L277" s="85"/>
      <c r="M277" s="84" t="s">
        <v>10</v>
      </c>
      <c r="N277" s="93"/>
    </row>
    <row r="278" spans="2:17" ht="15.75" thickBot="1" x14ac:dyDescent="0.3">
      <c r="B278" s="58"/>
      <c r="C278" s="58"/>
      <c r="D278" s="58"/>
      <c r="E278" s="34" t="s">
        <v>68</v>
      </c>
      <c r="F278" s="34" t="s">
        <v>715</v>
      </c>
      <c r="G278" s="34" t="s">
        <v>716</v>
      </c>
      <c r="H278" s="58"/>
      <c r="I278" s="33" t="s">
        <v>11</v>
      </c>
      <c r="J278" s="33" t="s">
        <v>597</v>
      </c>
      <c r="K278" s="33" t="s">
        <v>11</v>
      </c>
      <c r="L278" s="33" t="s">
        <v>597</v>
      </c>
      <c r="M278" s="33" t="s">
        <v>11</v>
      </c>
      <c r="N278" s="34" t="s">
        <v>597</v>
      </c>
    </row>
    <row r="279" spans="2:17" ht="15.75" thickBot="1" x14ac:dyDescent="0.3">
      <c r="B279" s="35">
        <v>1</v>
      </c>
      <c r="C279" s="34">
        <v>2</v>
      </c>
      <c r="D279" s="34">
        <v>3</v>
      </c>
      <c r="E279" s="34">
        <v>4</v>
      </c>
      <c r="F279" s="34">
        <v>5</v>
      </c>
      <c r="G279" s="34">
        <v>6</v>
      </c>
      <c r="H279" s="34">
        <v>7</v>
      </c>
      <c r="I279" s="34">
        <v>8</v>
      </c>
      <c r="J279" s="34">
        <v>9</v>
      </c>
      <c r="K279" s="33">
        <v>10</v>
      </c>
      <c r="L279" s="33">
        <v>11</v>
      </c>
      <c r="M279" s="33">
        <v>12</v>
      </c>
      <c r="N279" s="34">
        <v>13</v>
      </c>
    </row>
    <row r="280" spans="2:17" ht="192" thickBot="1" x14ac:dyDescent="0.3">
      <c r="B280" s="35">
        <v>1</v>
      </c>
      <c r="C280" s="34" t="s">
        <v>598</v>
      </c>
      <c r="D280" s="40">
        <v>45383</v>
      </c>
      <c r="E280" s="34" t="s">
        <v>68</v>
      </c>
      <c r="F280" s="34" t="s">
        <v>20</v>
      </c>
      <c r="G280" s="34" t="s">
        <v>20</v>
      </c>
      <c r="H280" s="34" t="s">
        <v>1091</v>
      </c>
      <c r="I280" s="34" t="s">
        <v>20</v>
      </c>
      <c r="J280" s="34" t="s">
        <v>20</v>
      </c>
      <c r="K280" s="33" t="s">
        <v>20</v>
      </c>
      <c r="L280" s="33" t="s">
        <v>20</v>
      </c>
      <c r="M280" s="33" t="s">
        <v>20</v>
      </c>
      <c r="N280" s="34" t="s">
        <v>20</v>
      </c>
    </row>
    <row r="281" spans="2:17" ht="51.75" thickBot="1" x14ac:dyDescent="0.3">
      <c r="B281" s="35">
        <v>2</v>
      </c>
      <c r="C281" s="34" t="s">
        <v>598</v>
      </c>
      <c r="D281" s="40">
        <v>45394</v>
      </c>
      <c r="E281" s="34"/>
      <c r="F281" s="34"/>
      <c r="G281" s="34" t="s">
        <v>70</v>
      </c>
      <c r="H281" s="34" t="s">
        <v>1092</v>
      </c>
      <c r="I281" s="34" t="s">
        <v>20</v>
      </c>
      <c r="J281" s="34" t="s">
        <v>20</v>
      </c>
      <c r="K281" s="33" t="s">
        <v>20</v>
      </c>
      <c r="L281" s="33" t="s">
        <v>20</v>
      </c>
      <c r="M281" s="33" t="s">
        <v>20</v>
      </c>
      <c r="N281" s="34">
        <v>1</v>
      </c>
    </row>
    <row r="282" spans="2:17" ht="39" thickBot="1" x14ac:dyDescent="0.3">
      <c r="B282" s="35">
        <v>3</v>
      </c>
      <c r="C282" s="34" t="s">
        <v>598</v>
      </c>
      <c r="D282" s="40">
        <v>45394</v>
      </c>
      <c r="E282" s="34"/>
      <c r="F282" s="34" t="s">
        <v>70</v>
      </c>
      <c r="G282" s="34" t="s">
        <v>14</v>
      </c>
      <c r="H282" s="34" t="s">
        <v>1093</v>
      </c>
      <c r="I282" s="34" t="s">
        <v>20</v>
      </c>
      <c r="J282" s="34" t="s">
        <v>20</v>
      </c>
      <c r="K282" s="33" t="s">
        <v>20</v>
      </c>
      <c r="L282" s="33" t="s">
        <v>20</v>
      </c>
      <c r="M282" s="33" t="s">
        <v>20</v>
      </c>
      <c r="N282" s="34" t="s">
        <v>20</v>
      </c>
    </row>
    <row r="283" spans="2:17" ht="179.25" thickBot="1" x14ac:dyDescent="0.3">
      <c r="B283" s="35">
        <v>4</v>
      </c>
      <c r="C283" s="34" t="s">
        <v>598</v>
      </c>
      <c r="D283" s="40">
        <v>45409</v>
      </c>
      <c r="E283" s="34" t="s">
        <v>68</v>
      </c>
      <c r="F283" s="34" t="s">
        <v>20</v>
      </c>
      <c r="G283" s="34" t="s">
        <v>20</v>
      </c>
      <c r="H283" s="34" t="s">
        <v>1094</v>
      </c>
      <c r="I283" s="34" t="s">
        <v>20</v>
      </c>
      <c r="J283" s="34" t="s">
        <v>20</v>
      </c>
      <c r="K283" s="33" t="s">
        <v>20</v>
      </c>
      <c r="L283" s="33" t="s">
        <v>20</v>
      </c>
      <c r="M283" s="33" t="s">
        <v>20</v>
      </c>
      <c r="N283" s="34" t="s">
        <v>20</v>
      </c>
    </row>
    <row r="284" spans="2:17" ht="217.5" thickBot="1" x14ac:dyDescent="0.3">
      <c r="B284" s="35">
        <v>5</v>
      </c>
      <c r="C284" s="34" t="s">
        <v>598</v>
      </c>
      <c r="D284" s="40">
        <v>45409</v>
      </c>
      <c r="E284" s="34" t="s">
        <v>68</v>
      </c>
      <c r="F284" s="34" t="s">
        <v>20</v>
      </c>
      <c r="G284" s="34" t="s">
        <v>20</v>
      </c>
      <c r="H284" s="34" t="s">
        <v>1095</v>
      </c>
      <c r="I284" s="34" t="s">
        <v>20</v>
      </c>
      <c r="J284" s="34" t="s">
        <v>20</v>
      </c>
      <c r="K284" s="33" t="s">
        <v>20</v>
      </c>
      <c r="L284" s="33" t="s">
        <v>20</v>
      </c>
      <c r="M284" s="33" t="s">
        <v>20</v>
      </c>
      <c r="N284" s="34" t="s">
        <v>20</v>
      </c>
    </row>
    <row r="285" spans="2:17" ht="166.5" thickBot="1" x14ac:dyDescent="0.3">
      <c r="B285" s="35">
        <v>6</v>
      </c>
      <c r="C285" s="34" t="s">
        <v>598</v>
      </c>
      <c r="D285" s="40">
        <v>45410</v>
      </c>
      <c r="E285" s="34" t="s">
        <v>1096</v>
      </c>
      <c r="F285" s="34" t="s">
        <v>20</v>
      </c>
      <c r="G285" s="34" t="s">
        <v>20</v>
      </c>
      <c r="H285" s="34" t="s">
        <v>1097</v>
      </c>
      <c r="I285" s="34" t="s">
        <v>20</v>
      </c>
      <c r="J285" s="34" t="s">
        <v>20</v>
      </c>
      <c r="K285" s="33" t="s">
        <v>20</v>
      </c>
      <c r="L285" s="33" t="s">
        <v>20</v>
      </c>
      <c r="M285" s="33" t="s">
        <v>20</v>
      </c>
      <c r="N285" s="34" t="s">
        <v>20</v>
      </c>
    </row>
    <row r="286" spans="2:17" ht="192" thickBot="1" x14ac:dyDescent="0.3">
      <c r="B286" s="35">
        <v>7</v>
      </c>
      <c r="C286" s="34" t="s">
        <v>598</v>
      </c>
      <c r="D286" s="40">
        <v>45410</v>
      </c>
      <c r="E286" s="34" t="s">
        <v>68</v>
      </c>
      <c r="F286" s="34" t="s">
        <v>20</v>
      </c>
      <c r="G286" s="34" t="s">
        <v>20</v>
      </c>
      <c r="H286" s="34" t="s">
        <v>1098</v>
      </c>
      <c r="I286" s="34" t="s">
        <v>20</v>
      </c>
      <c r="J286" s="34" t="s">
        <v>20</v>
      </c>
      <c r="K286" s="33" t="s">
        <v>20</v>
      </c>
      <c r="L286" s="33" t="s">
        <v>20</v>
      </c>
      <c r="M286" s="33" t="s">
        <v>1099</v>
      </c>
      <c r="N286" s="34" t="s">
        <v>20</v>
      </c>
    </row>
    <row r="287" spans="2:17" ht="15.75" thickBot="1" x14ac:dyDescent="0.3">
      <c r="B287" s="35"/>
      <c r="C287" s="34"/>
      <c r="D287" s="34"/>
      <c r="E287" s="34"/>
      <c r="F287" s="34"/>
      <c r="G287" s="34"/>
      <c r="H287" s="34" t="s">
        <v>19</v>
      </c>
      <c r="I287" s="34" t="s">
        <v>20</v>
      </c>
      <c r="J287" s="34" t="s">
        <v>20</v>
      </c>
      <c r="K287" s="33" t="s">
        <v>20</v>
      </c>
      <c r="L287" s="33" t="s">
        <v>20</v>
      </c>
      <c r="M287" s="33" t="s">
        <v>20</v>
      </c>
      <c r="N287" s="34">
        <v>1</v>
      </c>
    </row>
    <row r="288" spans="2:17" x14ac:dyDescent="0.25">
      <c r="B288" s="51"/>
    </row>
    <row r="289" spans="2:17" ht="17.25" thickBot="1" x14ac:dyDescent="0.3">
      <c r="B289" s="52" t="s">
        <v>1100</v>
      </c>
      <c r="C289" s="53" t="s">
        <v>779</v>
      </c>
    </row>
    <row r="290" spans="2:17" ht="117" customHeight="1" thickBot="1" x14ac:dyDescent="0.3">
      <c r="B290" s="86" t="s">
        <v>589</v>
      </c>
      <c r="C290" s="86" t="s">
        <v>0</v>
      </c>
      <c r="D290" s="86" t="s">
        <v>590</v>
      </c>
      <c r="E290" s="86" t="s">
        <v>1</v>
      </c>
      <c r="F290" s="86" t="s">
        <v>592</v>
      </c>
      <c r="G290" s="86" t="s">
        <v>593</v>
      </c>
      <c r="H290" s="86" t="s">
        <v>4</v>
      </c>
      <c r="I290" s="86" t="s">
        <v>594</v>
      </c>
      <c r="J290" s="86" t="s">
        <v>595</v>
      </c>
      <c r="K290" s="86" t="s">
        <v>596</v>
      </c>
      <c r="L290" s="97" t="s">
        <v>8</v>
      </c>
      <c r="M290" s="85"/>
      <c r="N290" s="84" t="s">
        <v>9</v>
      </c>
      <c r="O290" s="85"/>
      <c r="P290" s="84" t="s">
        <v>10</v>
      </c>
      <c r="Q290" s="85"/>
    </row>
    <row r="291" spans="2:17" ht="15.75" thickBot="1" x14ac:dyDescent="0.3">
      <c r="B291" s="58"/>
      <c r="C291" s="58"/>
      <c r="D291" s="58"/>
      <c r="E291" s="58"/>
      <c r="F291" s="58"/>
      <c r="G291" s="58"/>
      <c r="H291" s="58"/>
      <c r="I291" s="58"/>
      <c r="J291" s="58"/>
      <c r="K291" s="58"/>
      <c r="L291" s="33" t="s">
        <v>11</v>
      </c>
      <c r="M291" s="33" t="s">
        <v>597</v>
      </c>
      <c r="N291" s="33" t="s">
        <v>11</v>
      </c>
      <c r="O291" s="33" t="s">
        <v>597</v>
      </c>
      <c r="P291" s="33" t="s">
        <v>11</v>
      </c>
      <c r="Q291" s="34" t="s">
        <v>597</v>
      </c>
    </row>
    <row r="292" spans="2:17" ht="15.75" thickBot="1" x14ac:dyDescent="0.3">
      <c r="B292" s="35">
        <v>1</v>
      </c>
      <c r="C292" s="34">
        <v>2</v>
      </c>
      <c r="D292" s="34">
        <v>3</v>
      </c>
      <c r="E292" s="34">
        <v>4</v>
      </c>
      <c r="F292" s="34">
        <v>5</v>
      </c>
      <c r="G292" s="34">
        <v>6</v>
      </c>
      <c r="H292" s="34">
        <v>7</v>
      </c>
      <c r="I292" s="34">
        <v>8</v>
      </c>
      <c r="J292" s="34">
        <v>9</v>
      </c>
      <c r="K292" s="34">
        <v>10</v>
      </c>
      <c r="L292" s="34">
        <v>11</v>
      </c>
      <c r="M292" s="34">
        <v>12</v>
      </c>
      <c r="N292" s="33">
        <v>13</v>
      </c>
      <c r="O292" s="33">
        <v>14</v>
      </c>
      <c r="P292" s="33">
        <v>15</v>
      </c>
      <c r="Q292" s="34">
        <v>16</v>
      </c>
    </row>
    <row r="293" spans="2:17" ht="15.75" thickBot="1" x14ac:dyDescent="0.3">
      <c r="B293" s="35">
        <v>1</v>
      </c>
      <c r="C293" s="34" t="s">
        <v>598</v>
      </c>
      <c r="D293" s="34" t="s">
        <v>598</v>
      </c>
      <c r="E293" s="40">
        <v>45413</v>
      </c>
      <c r="F293" s="34" t="s">
        <v>987</v>
      </c>
      <c r="G293" s="36" t="s">
        <v>1101</v>
      </c>
      <c r="H293" s="36" t="s">
        <v>40</v>
      </c>
      <c r="I293" s="34" t="s">
        <v>191</v>
      </c>
      <c r="J293" s="69">
        <v>5000</v>
      </c>
      <c r="K293" s="69">
        <v>95000</v>
      </c>
      <c r="L293" s="38" t="s">
        <v>14</v>
      </c>
      <c r="M293" s="38" t="s">
        <v>14</v>
      </c>
      <c r="N293" s="39" t="s">
        <v>14</v>
      </c>
      <c r="O293" s="39" t="s">
        <v>14</v>
      </c>
      <c r="P293" s="39" t="s">
        <v>14</v>
      </c>
      <c r="Q293" s="38" t="s">
        <v>14</v>
      </c>
    </row>
    <row r="294" spans="2:17" ht="26.25" thickBot="1" x14ac:dyDescent="0.3">
      <c r="B294" s="35">
        <v>2</v>
      </c>
      <c r="C294" s="34" t="s">
        <v>598</v>
      </c>
      <c r="D294" s="34" t="s">
        <v>598</v>
      </c>
      <c r="E294" s="42">
        <v>45413</v>
      </c>
      <c r="F294" s="34" t="s">
        <v>1003</v>
      </c>
      <c r="G294" s="36" t="s">
        <v>1102</v>
      </c>
      <c r="H294" s="36" t="s">
        <v>629</v>
      </c>
      <c r="I294" s="36" t="s">
        <v>188</v>
      </c>
      <c r="J294" s="69">
        <v>5000</v>
      </c>
      <c r="K294" s="69">
        <v>45000</v>
      </c>
      <c r="L294" s="38" t="s">
        <v>14</v>
      </c>
      <c r="M294" s="38" t="s">
        <v>14</v>
      </c>
      <c r="N294" s="39" t="s">
        <v>14</v>
      </c>
      <c r="O294" s="39" t="s">
        <v>14</v>
      </c>
      <c r="P294" s="39" t="s">
        <v>14</v>
      </c>
      <c r="Q294" s="38" t="s">
        <v>14</v>
      </c>
    </row>
    <row r="295" spans="2:17" ht="26.25" thickBot="1" x14ac:dyDescent="0.3">
      <c r="B295" s="35">
        <v>3</v>
      </c>
      <c r="C295" s="34" t="s">
        <v>598</v>
      </c>
      <c r="D295" s="34" t="s">
        <v>598</v>
      </c>
      <c r="E295" s="42">
        <v>45415</v>
      </c>
      <c r="F295" s="34" t="s">
        <v>661</v>
      </c>
      <c r="G295" s="36" t="s">
        <v>1103</v>
      </c>
      <c r="H295" s="36" t="s">
        <v>40</v>
      </c>
      <c r="I295" s="36" t="s">
        <v>459</v>
      </c>
      <c r="J295" s="69">
        <v>2000</v>
      </c>
      <c r="K295" s="69">
        <v>980000</v>
      </c>
      <c r="L295" s="38" t="s">
        <v>14</v>
      </c>
      <c r="M295" s="38" t="s">
        <v>14</v>
      </c>
      <c r="N295" s="39" t="s">
        <v>14</v>
      </c>
      <c r="O295" s="39" t="s">
        <v>14</v>
      </c>
      <c r="P295" s="39" t="s">
        <v>14</v>
      </c>
      <c r="Q295" s="38" t="s">
        <v>14</v>
      </c>
    </row>
    <row r="296" spans="2:17" ht="26.25" thickBot="1" x14ac:dyDescent="0.3">
      <c r="B296" s="35">
        <v>4</v>
      </c>
      <c r="C296" s="34" t="s">
        <v>598</v>
      </c>
      <c r="D296" s="34" t="s">
        <v>598</v>
      </c>
      <c r="E296" s="42">
        <v>45415</v>
      </c>
      <c r="F296" s="34" t="s">
        <v>1104</v>
      </c>
      <c r="G296" s="36" t="s">
        <v>1105</v>
      </c>
      <c r="H296" s="36" t="s">
        <v>40</v>
      </c>
      <c r="I296" s="36" t="s">
        <v>280</v>
      </c>
      <c r="J296" s="69">
        <v>0</v>
      </c>
      <c r="K296" s="69">
        <v>2000000</v>
      </c>
      <c r="L296" s="38" t="s">
        <v>14</v>
      </c>
      <c r="M296" s="38" t="s">
        <v>14</v>
      </c>
      <c r="N296" s="39" t="s">
        <v>14</v>
      </c>
      <c r="O296" s="39" t="s">
        <v>14</v>
      </c>
      <c r="P296" s="39" t="s">
        <v>14</v>
      </c>
      <c r="Q296" s="38" t="s">
        <v>14</v>
      </c>
    </row>
    <row r="297" spans="2:17" ht="26.25" thickBot="1" x14ac:dyDescent="0.3">
      <c r="B297" s="35">
        <v>5</v>
      </c>
      <c r="C297" s="34" t="s">
        <v>598</v>
      </c>
      <c r="D297" s="34" t="s">
        <v>598</v>
      </c>
      <c r="E297" s="42">
        <v>45415</v>
      </c>
      <c r="F297" s="38" t="s">
        <v>1106</v>
      </c>
      <c r="G297" s="36" t="s">
        <v>1107</v>
      </c>
      <c r="H297" s="36" t="s">
        <v>1108</v>
      </c>
      <c r="I297" s="36" t="s">
        <v>1109</v>
      </c>
      <c r="J297" s="69">
        <v>1200000</v>
      </c>
      <c r="K297" s="69">
        <v>1800000</v>
      </c>
      <c r="L297" s="38" t="s">
        <v>14</v>
      </c>
      <c r="M297" s="38" t="s">
        <v>14</v>
      </c>
      <c r="N297" s="39" t="s">
        <v>14</v>
      </c>
      <c r="O297" s="61" t="s">
        <v>20</v>
      </c>
      <c r="P297" s="39" t="s">
        <v>14</v>
      </c>
      <c r="Q297" s="38" t="s">
        <v>14</v>
      </c>
    </row>
    <row r="298" spans="2:17" ht="26.25" thickBot="1" x14ac:dyDescent="0.3">
      <c r="B298" s="35">
        <v>6</v>
      </c>
      <c r="C298" s="34" t="s">
        <v>598</v>
      </c>
      <c r="D298" s="34" t="s">
        <v>598</v>
      </c>
      <c r="E298" s="42">
        <v>45415</v>
      </c>
      <c r="F298" s="34" t="s">
        <v>1110</v>
      </c>
      <c r="G298" s="36" t="s">
        <v>1111</v>
      </c>
      <c r="H298" s="36" t="s">
        <v>882</v>
      </c>
      <c r="I298" s="36" t="s">
        <v>862</v>
      </c>
      <c r="J298" s="69"/>
      <c r="K298" s="69"/>
      <c r="L298" s="38" t="s">
        <v>14</v>
      </c>
      <c r="M298" s="38" t="s">
        <v>14</v>
      </c>
      <c r="N298" s="39" t="s">
        <v>14</v>
      </c>
      <c r="O298" s="39" t="s">
        <v>14</v>
      </c>
      <c r="P298" s="39" t="s">
        <v>14</v>
      </c>
      <c r="Q298" s="38" t="s">
        <v>14</v>
      </c>
    </row>
    <row r="299" spans="2:17" ht="15.75" thickBot="1" x14ac:dyDescent="0.3">
      <c r="B299" s="35">
        <v>7</v>
      </c>
      <c r="C299" s="34" t="s">
        <v>598</v>
      </c>
      <c r="D299" s="34" t="s">
        <v>598</v>
      </c>
      <c r="E299" s="42">
        <v>45415</v>
      </c>
      <c r="F299" s="34" t="s">
        <v>1112</v>
      </c>
      <c r="G299" s="36" t="s">
        <v>1113</v>
      </c>
      <c r="H299" s="36" t="s">
        <v>40</v>
      </c>
      <c r="I299" s="36" t="s">
        <v>280</v>
      </c>
      <c r="J299" s="69">
        <v>0</v>
      </c>
      <c r="K299" s="69">
        <v>50000</v>
      </c>
      <c r="L299" s="38" t="s">
        <v>14</v>
      </c>
      <c r="M299" s="38" t="s">
        <v>14</v>
      </c>
      <c r="N299" s="39" t="s">
        <v>14</v>
      </c>
      <c r="O299" s="39" t="s">
        <v>14</v>
      </c>
      <c r="P299" s="39" t="s">
        <v>14</v>
      </c>
      <c r="Q299" s="38" t="s">
        <v>14</v>
      </c>
    </row>
    <row r="300" spans="2:17" ht="26.25" thickBot="1" x14ac:dyDescent="0.3">
      <c r="B300" s="35">
        <v>8</v>
      </c>
      <c r="C300" s="34" t="s">
        <v>598</v>
      </c>
      <c r="D300" s="34" t="s">
        <v>598</v>
      </c>
      <c r="E300" s="42">
        <v>45416</v>
      </c>
      <c r="F300" s="34" t="s">
        <v>1114</v>
      </c>
      <c r="G300" s="36" t="s">
        <v>1115</v>
      </c>
      <c r="H300" s="36" t="s">
        <v>1108</v>
      </c>
      <c r="I300" s="36" t="s">
        <v>124</v>
      </c>
      <c r="J300" s="69">
        <v>50000</v>
      </c>
      <c r="K300" s="69">
        <v>7950000</v>
      </c>
      <c r="L300" s="38" t="s">
        <v>14</v>
      </c>
      <c r="M300" s="38" t="s">
        <v>14</v>
      </c>
      <c r="N300" s="39" t="s">
        <v>14</v>
      </c>
      <c r="O300" s="39" t="s">
        <v>14</v>
      </c>
      <c r="P300" s="39" t="s">
        <v>14</v>
      </c>
      <c r="Q300" s="38" t="s">
        <v>14</v>
      </c>
    </row>
    <row r="301" spans="2:17" ht="15.75" thickBot="1" x14ac:dyDescent="0.3">
      <c r="B301" s="35">
        <v>9</v>
      </c>
      <c r="C301" s="34" t="s">
        <v>598</v>
      </c>
      <c r="D301" s="34" t="s">
        <v>598</v>
      </c>
      <c r="E301" s="42">
        <v>45416</v>
      </c>
      <c r="F301" s="34" t="s">
        <v>180</v>
      </c>
      <c r="G301" s="36" t="s">
        <v>1116</v>
      </c>
      <c r="H301" s="36" t="s">
        <v>40</v>
      </c>
      <c r="I301" s="36" t="s">
        <v>191</v>
      </c>
      <c r="J301" s="69">
        <v>0</v>
      </c>
      <c r="K301" s="69">
        <v>100000</v>
      </c>
      <c r="L301" s="38" t="s">
        <v>14</v>
      </c>
      <c r="M301" s="38" t="s">
        <v>14</v>
      </c>
      <c r="N301" s="39" t="s">
        <v>14</v>
      </c>
      <c r="O301" s="39" t="s">
        <v>14</v>
      </c>
      <c r="P301" s="39" t="s">
        <v>14</v>
      </c>
      <c r="Q301" s="38" t="s">
        <v>14</v>
      </c>
    </row>
    <row r="302" spans="2:17" ht="39" thickBot="1" x14ac:dyDescent="0.3">
      <c r="B302" s="35">
        <v>10</v>
      </c>
      <c r="C302" s="34" t="s">
        <v>598</v>
      </c>
      <c r="D302" s="34" t="s">
        <v>598</v>
      </c>
      <c r="E302" s="42">
        <v>45416</v>
      </c>
      <c r="F302" s="34" t="s">
        <v>1117</v>
      </c>
      <c r="G302" s="36" t="s">
        <v>1118</v>
      </c>
      <c r="H302" s="36" t="s">
        <v>40</v>
      </c>
      <c r="I302" s="36" t="s">
        <v>459</v>
      </c>
      <c r="J302" s="69">
        <v>0</v>
      </c>
      <c r="K302" s="69">
        <v>2000000</v>
      </c>
      <c r="L302" s="38" t="s">
        <v>14</v>
      </c>
      <c r="M302" s="38" t="s">
        <v>14</v>
      </c>
      <c r="N302" s="39" t="s">
        <v>14</v>
      </c>
      <c r="O302" s="39" t="s">
        <v>14</v>
      </c>
      <c r="P302" s="39" t="s">
        <v>14</v>
      </c>
      <c r="Q302" s="38" t="s">
        <v>14</v>
      </c>
    </row>
    <row r="303" spans="2:17" ht="26.25" thickBot="1" x14ac:dyDescent="0.3">
      <c r="B303" s="35">
        <v>11</v>
      </c>
      <c r="C303" s="34" t="s">
        <v>598</v>
      </c>
      <c r="D303" s="34" t="s">
        <v>598</v>
      </c>
      <c r="E303" s="42">
        <v>45416</v>
      </c>
      <c r="F303" s="34" t="s">
        <v>1110</v>
      </c>
      <c r="G303" s="36" t="s">
        <v>1119</v>
      </c>
      <c r="H303" s="36" t="s">
        <v>40</v>
      </c>
      <c r="I303" s="36" t="s">
        <v>459</v>
      </c>
      <c r="J303" s="69">
        <v>0</v>
      </c>
      <c r="K303" s="69">
        <v>5000000</v>
      </c>
      <c r="L303" s="38"/>
      <c r="M303" s="38"/>
      <c r="N303" s="39"/>
      <c r="O303" s="39"/>
      <c r="P303" s="39"/>
      <c r="Q303" s="38"/>
    </row>
    <row r="304" spans="2:17" ht="26.25" thickBot="1" x14ac:dyDescent="0.3">
      <c r="B304" s="35">
        <v>12</v>
      </c>
      <c r="C304" s="34" t="s">
        <v>598</v>
      </c>
      <c r="D304" s="34" t="s">
        <v>598</v>
      </c>
      <c r="E304" s="42">
        <v>45417</v>
      </c>
      <c r="F304" s="34" t="s">
        <v>119</v>
      </c>
      <c r="G304" s="36" t="s">
        <v>1120</v>
      </c>
      <c r="H304" s="36" t="s">
        <v>40</v>
      </c>
      <c r="I304" s="36" t="s">
        <v>459</v>
      </c>
      <c r="J304" s="69">
        <v>200000</v>
      </c>
      <c r="K304" s="69">
        <v>200000</v>
      </c>
      <c r="L304" s="38" t="s">
        <v>14</v>
      </c>
      <c r="M304" s="38" t="s">
        <v>14</v>
      </c>
      <c r="N304" s="39" t="s">
        <v>14</v>
      </c>
      <c r="O304" s="39" t="s">
        <v>14</v>
      </c>
      <c r="P304" s="39" t="s">
        <v>14</v>
      </c>
      <c r="Q304" s="38" t="s">
        <v>14</v>
      </c>
    </row>
    <row r="305" spans="2:17" ht="39" thickBot="1" x14ac:dyDescent="0.3">
      <c r="B305" s="35">
        <v>13</v>
      </c>
      <c r="C305" s="34" t="s">
        <v>598</v>
      </c>
      <c r="D305" s="34" t="s">
        <v>598</v>
      </c>
      <c r="E305" s="42">
        <v>45417</v>
      </c>
      <c r="F305" s="34" t="s">
        <v>1121</v>
      </c>
      <c r="G305" s="36" t="s">
        <v>1122</v>
      </c>
      <c r="H305" s="36" t="s">
        <v>1108</v>
      </c>
      <c r="I305" s="36" t="s">
        <v>941</v>
      </c>
      <c r="J305" s="69">
        <v>2000</v>
      </c>
      <c r="K305" s="69">
        <v>48000</v>
      </c>
      <c r="L305" s="38" t="s">
        <v>14</v>
      </c>
      <c r="M305" s="38" t="s">
        <v>14</v>
      </c>
      <c r="N305" s="39" t="s">
        <v>14</v>
      </c>
      <c r="O305" s="39" t="s">
        <v>14</v>
      </c>
      <c r="P305" s="39" t="s">
        <v>14</v>
      </c>
      <c r="Q305" s="38" t="s">
        <v>14</v>
      </c>
    </row>
    <row r="306" spans="2:17" ht="39" thickBot="1" x14ac:dyDescent="0.3">
      <c r="B306" s="35">
        <v>14</v>
      </c>
      <c r="C306" s="34" t="s">
        <v>598</v>
      </c>
      <c r="D306" s="34" t="s">
        <v>598</v>
      </c>
      <c r="E306" s="42">
        <v>45417</v>
      </c>
      <c r="F306" s="34" t="s">
        <v>1123</v>
      </c>
      <c r="G306" s="36" t="s">
        <v>1124</v>
      </c>
      <c r="H306" s="36" t="s">
        <v>40</v>
      </c>
      <c r="I306" s="36" t="s">
        <v>459</v>
      </c>
      <c r="J306" s="69">
        <v>1000</v>
      </c>
      <c r="K306" s="69">
        <v>49000</v>
      </c>
      <c r="L306" s="38" t="s">
        <v>14</v>
      </c>
      <c r="M306" s="38" t="s">
        <v>14</v>
      </c>
      <c r="N306" s="39" t="s">
        <v>14</v>
      </c>
      <c r="O306" s="39" t="s">
        <v>14</v>
      </c>
      <c r="P306" s="39" t="s">
        <v>14</v>
      </c>
      <c r="Q306" s="38" t="s">
        <v>14</v>
      </c>
    </row>
    <row r="307" spans="2:17" ht="39" thickBot="1" x14ac:dyDescent="0.3">
      <c r="B307" s="35">
        <v>15</v>
      </c>
      <c r="C307" s="34" t="s">
        <v>598</v>
      </c>
      <c r="D307" s="34" t="s">
        <v>598</v>
      </c>
      <c r="E307" s="42">
        <v>45417</v>
      </c>
      <c r="F307" s="34" t="s">
        <v>1125</v>
      </c>
      <c r="G307" s="36" t="s">
        <v>1126</v>
      </c>
      <c r="H307" s="36" t="s">
        <v>40</v>
      </c>
      <c r="I307" s="36" t="s">
        <v>459</v>
      </c>
      <c r="J307" s="69">
        <v>0</v>
      </c>
      <c r="K307" s="69">
        <v>25000000</v>
      </c>
      <c r="L307" s="38" t="s">
        <v>14</v>
      </c>
      <c r="M307" s="38" t="s">
        <v>14</v>
      </c>
      <c r="N307" s="39" t="s">
        <v>14</v>
      </c>
      <c r="O307" s="39" t="s">
        <v>14</v>
      </c>
      <c r="P307" s="39" t="s">
        <v>14</v>
      </c>
      <c r="Q307" s="38" t="s">
        <v>14</v>
      </c>
    </row>
    <row r="308" spans="2:17" ht="26.25" thickBot="1" x14ac:dyDescent="0.3">
      <c r="B308" s="35">
        <v>16</v>
      </c>
      <c r="C308" s="34"/>
      <c r="D308" s="34"/>
      <c r="E308" s="42">
        <v>45417</v>
      </c>
      <c r="F308" s="34" t="s">
        <v>132</v>
      </c>
      <c r="G308" s="36" t="s">
        <v>1127</v>
      </c>
      <c r="H308" s="36" t="s">
        <v>40</v>
      </c>
      <c r="I308" s="36" t="s">
        <v>1128</v>
      </c>
      <c r="J308" s="69">
        <v>5000</v>
      </c>
      <c r="K308" s="69">
        <v>495000</v>
      </c>
      <c r="L308" s="38"/>
      <c r="M308" s="38"/>
      <c r="N308" s="39"/>
      <c r="O308" s="39"/>
      <c r="P308" s="39"/>
      <c r="Q308" s="38"/>
    </row>
    <row r="309" spans="2:17" ht="94.5" thickBot="1" x14ac:dyDescent="0.3">
      <c r="B309" s="35">
        <v>17</v>
      </c>
      <c r="C309" s="34" t="s">
        <v>598</v>
      </c>
      <c r="D309" s="34" t="s">
        <v>598</v>
      </c>
      <c r="E309" s="65">
        <v>45417</v>
      </c>
      <c r="F309" s="34" t="s">
        <v>1129</v>
      </c>
      <c r="G309" s="34" t="s">
        <v>1130</v>
      </c>
      <c r="H309" s="67" t="s">
        <v>1131</v>
      </c>
      <c r="I309" s="34" t="s">
        <v>1132</v>
      </c>
      <c r="J309" s="69"/>
      <c r="K309" s="69"/>
      <c r="L309" s="38" t="s">
        <v>14</v>
      </c>
      <c r="M309" s="38" t="s">
        <v>14</v>
      </c>
      <c r="N309" s="39" t="s">
        <v>14</v>
      </c>
      <c r="O309" s="39" t="s">
        <v>14</v>
      </c>
      <c r="P309" s="39" t="s">
        <v>14</v>
      </c>
      <c r="Q309" s="38" t="s">
        <v>14</v>
      </c>
    </row>
    <row r="310" spans="2:17" ht="39" thickBot="1" x14ac:dyDescent="0.3">
      <c r="B310" s="35">
        <v>18</v>
      </c>
      <c r="C310" s="34" t="s">
        <v>598</v>
      </c>
      <c r="D310" s="34" t="s">
        <v>598</v>
      </c>
      <c r="E310" s="40">
        <v>45418</v>
      </c>
      <c r="F310" s="34" t="s">
        <v>1133</v>
      </c>
      <c r="G310" s="34" t="s">
        <v>1134</v>
      </c>
      <c r="H310" s="34" t="s">
        <v>40</v>
      </c>
      <c r="I310" s="34"/>
      <c r="J310" s="69">
        <v>0</v>
      </c>
      <c r="K310" s="69">
        <v>200000</v>
      </c>
      <c r="L310" s="38" t="s">
        <v>14</v>
      </c>
      <c r="M310" s="38" t="s">
        <v>14</v>
      </c>
      <c r="N310" s="39" t="s">
        <v>14</v>
      </c>
      <c r="O310" s="39" t="s">
        <v>14</v>
      </c>
      <c r="P310" s="39" t="s">
        <v>14</v>
      </c>
      <c r="Q310" s="38" t="s">
        <v>14</v>
      </c>
    </row>
    <row r="311" spans="2:17" ht="39" thickBot="1" x14ac:dyDescent="0.3">
      <c r="B311" s="35">
        <v>19</v>
      </c>
      <c r="C311" s="34" t="s">
        <v>598</v>
      </c>
      <c r="D311" s="34" t="s">
        <v>598</v>
      </c>
      <c r="E311" s="40">
        <v>45418</v>
      </c>
      <c r="F311" s="34" t="s">
        <v>1082</v>
      </c>
      <c r="G311" s="36" t="s">
        <v>1135</v>
      </c>
      <c r="H311" s="34" t="s">
        <v>629</v>
      </c>
      <c r="I311" s="34" t="s">
        <v>941</v>
      </c>
      <c r="J311" s="69">
        <v>0</v>
      </c>
      <c r="K311" s="69">
        <v>100000</v>
      </c>
      <c r="L311" s="38" t="s">
        <v>14</v>
      </c>
      <c r="M311" s="38" t="s">
        <v>14</v>
      </c>
      <c r="N311" s="39" t="s">
        <v>14</v>
      </c>
      <c r="O311" s="39" t="s">
        <v>14</v>
      </c>
      <c r="P311" s="39" t="s">
        <v>14</v>
      </c>
      <c r="Q311" s="38" t="s">
        <v>14</v>
      </c>
    </row>
    <row r="312" spans="2:17" ht="39" thickBot="1" x14ac:dyDescent="0.3">
      <c r="B312" s="35">
        <v>20</v>
      </c>
      <c r="C312" s="34" t="s">
        <v>657</v>
      </c>
      <c r="D312" s="34" t="s">
        <v>598</v>
      </c>
      <c r="E312" s="40">
        <v>45420</v>
      </c>
      <c r="F312" s="38" t="s">
        <v>1136</v>
      </c>
      <c r="G312" s="38" t="s">
        <v>1137</v>
      </c>
      <c r="H312" s="34" t="s">
        <v>25</v>
      </c>
      <c r="I312" s="34" t="s">
        <v>1138</v>
      </c>
      <c r="J312" s="69">
        <v>70000</v>
      </c>
      <c r="K312" s="69">
        <v>10000</v>
      </c>
      <c r="L312" s="34" t="s">
        <v>14</v>
      </c>
      <c r="M312" s="34" t="s">
        <v>14</v>
      </c>
      <c r="N312" s="33" t="s">
        <v>14</v>
      </c>
      <c r="O312" s="33" t="s">
        <v>14</v>
      </c>
      <c r="P312" s="33" t="s">
        <v>14</v>
      </c>
      <c r="Q312" s="34" t="s">
        <v>14</v>
      </c>
    </row>
    <row r="313" spans="2:17" ht="51.75" thickBot="1" x14ac:dyDescent="0.3">
      <c r="B313" s="35">
        <v>21</v>
      </c>
      <c r="C313" s="34" t="s">
        <v>657</v>
      </c>
      <c r="D313" s="34" t="s">
        <v>598</v>
      </c>
      <c r="E313" s="40">
        <v>45420</v>
      </c>
      <c r="F313" s="38" t="s">
        <v>1139</v>
      </c>
      <c r="G313" s="38" t="s">
        <v>1140</v>
      </c>
      <c r="H313" s="34"/>
      <c r="I313" s="34" t="s">
        <v>882</v>
      </c>
      <c r="J313" s="69">
        <v>0</v>
      </c>
      <c r="K313" s="69">
        <v>0</v>
      </c>
      <c r="L313" s="34" t="s">
        <v>14</v>
      </c>
      <c r="M313" s="34" t="s">
        <v>14</v>
      </c>
      <c r="N313" s="33" t="s">
        <v>14</v>
      </c>
      <c r="O313" s="33" t="s">
        <v>14</v>
      </c>
      <c r="P313" s="33" t="s">
        <v>14</v>
      </c>
      <c r="Q313" s="34" t="s">
        <v>14</v>
      </c>
    </row>
    <row r="314" spans="2:17" ht="26.25" thickBot="1" x14ac:dyDescent="0.3">
      <c r="B314" s="35">
        <v>22</v>
      </c>
      <c r="C314" s="34" t="s">
        <v>657</v>
      </c>
      <c r="D314" s="34" t="s">
        <v>598</v>
      </c>
      <c r="E314" s="40">
        <v>45421</v>
      </c>
      <c r="F314" s="38" t="s">
        <v>1141</v>
      </c>
      <c r="G314" s="38" t="s">
        <v>1142</v>
      </c>
      <c r="H314" s="34" t="s">
        <v>40</v>
      </c>
      <c r="I314" s="38" t="s">
        <v>1143</v>
      </c>
      <c r="J314" s="69">
        <v>0</v>
      </c>
      <c r="K314" s="69">
        <v>1000000</v>
      </c>
      <c r="L314" s="34" t="s">
        <v>14</v>
      </c>
      <c r="M314" s="34" t="s">
        <v>14</v>
      </c>
      <c r="N314" s="33" t="s">
        <v>14</v>
      </c>
      <c r="O314" s="33" t="s">
        <v>14</v>
      </c>
      <c r="P314" s="33" t="s">
        <v>14</v>
      </c>
      <c r="Q314" s="34" t="s">
        <v>14</v>
      </c>
    </row>
    <row r="315" spans="2:17" ht="26.25" thickBot="1" x14ac:dyDescent="0.3">
      <c r="B315" s="35">
        <v>23</v>
      </c>
      <c r="C315" s="34" t="s">
        <v>657</v>
      </c>
      <c r="D315" s="34" t="s">
        <v>598</v>
      </c>
      <c r="E315" s="40">
        <v>45422</v>
      </c>
      <c r="F315" s="38" t="s">
        <v>1144</v>
      </c>
      <c r="G315" s="38" t="s">
        <v>1145</v>
      </c>
      <c r="H315" s="34" t="s">
        <v>1146</v>
      </c>
      <c r="I315" s="34" t="s">
        <v>483</v>
      </c>
      <c r="J315" s="69">
        <v>0</v>
      </c>
      <c r="K315" s="69">
        <v>100000</v>
      </c>
      <c r="L315" s="38" t="s">
        <v>14</v>
      </c>
      <c r="M315" s="38" t="s">
        <v>14</v>
      </c>
      <c r="N315" s="39" t="s">
        <v>14</v>
      </c>
      <c r="O315" s="39" t="s">
        <v>14</v>
      </c>
      <c r="P315" s="39" t="s">
        <v>14</v>
      </c>
      <c r="Q315" s="38" t="s">
        <v>14</v>
      </c>
    </row>
    <row r="316" spans="2:17" ht="26.25" thickBot="1" x14ac:dyDescent="0.3">
      <c r="B316" s="35">
        <v>24</v>
      </c>
      <c r="C316" s="34" t="s">
        <v>657</v>
      </c>
      <c r="D316" s="34" t="s">
        <v>598</v>
      </c>
      <c r="E316" s="40">
        <v>45422</v>
      </c>
      <c r="F316" s="38" t="s">
        <v>1147</v>
      </c>
      <c r="G316" s="38" t="s">
        <v>1148</v>
      </c>
      <c r="H316" s="34" t="s">
        <v>1146</v>
      </c>
      <c r="I316" s="34" t="s">
        <v>1149</v>
      </c>
      <c r="J316" s="69">
        <v>5000</v>
      </c>
      <c r="K316" s="69">
        <v>495000</v>
      </c>
      <c r="L316" s="38" t="s">
        <v>14</v>
      </c>
      <c r="M316" s="38" t="s">
        <v>14</v>
      </c>
      <c r="N316" s="39" t="s">
        <v>14</v>
      </c>
      <c r="O316" s="39" t="s">
        <v>14</v>
      </c>
      <c r="P316" s="39" t="s">
        <v>14</v>
      </c>
      <c r="Q316" s="38" t="s">
        <v>14</v>
      </c>
    </row>
    <row r="317" spans="2:17" ht="39" thickBot="1" x14ac:dyDescent="0.3">
      <c r="B317" s="35">
        <v>25</v>
      </c>
      <c r="C317" s="34" t="s">
        <v>657</v>
      </c>
      <c r="D317" s="34" t="s">
        <v>598</v>
      </c>
      <c r="E317" s="42">
        <v>45424</v>
      </c>
      <c r="F317" s="38" t="s">
        <v>1150</v>
      </c>
      <c r="G317" s="38" t="s">
        <v>1151</v>
      </c>
      <c r="H317" s="34" t="s">
        <v>40</v>
      </c>
      <c r="I317" s="34" t="s">
        <v>1152</v>
      </c>
      <c r="J317" s="69">
        <v>50000</v>
      </c>
      <c r="K317" s="69">
        <v>4950000</v>
      </c>
      <c r="L317" s="38" t="s">
        <v>14</v>
      </c>
      <c r="M317" s="38" t="s">
        <v>14</v>
      </c>
      <c r="N317" s="39" t="s">
        <v>14</v>
      </c>
      <c r="O317" s="39" t="s">
        <v>14</v>
      </c>
      <c r="P317" s="39" t="s">
        <v>14</v>
      </c>
      <c r="Q317" s="38" t="s">
        <v>14</v>
      </c>
    </row>
    <row r="318" spans="2:17" ht="26.25" thickBot="1" x14ac:dyDescent="0.3">
      <c r="B318" s="35">
        <v>26</v>
      </c>
      <c r="C318" s="34" t="s">
        <v>657</v>
      </c>
      <c r="D318" s="34" t="s">
        <v>598</v>
      </c>
      <c r="E318" s="42">
        <v>45425</v>
      </c>
      <c r="F318" s="38" t="s">
        <v>1153</v>
      </c>
      <c r="G318" s="38" t="s">
        <v>1154</v>
      </c>
      <c r="H318" s="34" t="s">
        <v>1155</v>
      </c>
      <c r="I318" s="34" t="s">
        <v>267</v>
      </c>
      <c r="J318" s="69"/>
      <c r="K318" s="69"/>
      <c r="L318" s="38" t="s">
        <v>14</v>
      </c>
      <c r="M318" s="38" t="s">
        <v>14</v>
      </c>
      <c r="N318" s="39" t="s">
        <v>14</v>
      </c>
      <c r="O318" s="39" t="s">
        <v>14</v>
      </c>
      <c r="P318" s="39" t="s">
        <v>14</v>
      </c>
      <c r="Q318" s="38" t="s">
        <v>14</v>
      </c>
    </row>
    <row r="319" spans="2:17" ht="26.25" thickBot="1" x14ac:dyDescent="0.3">
      <c r="B319" s="35">
        <v>27</v>
      </c>
      <c r="C319" s="34" t="s">
        <v>657</v>
      </c>
      <c r="D319" s="34" t="s">
        <v>598</v>
      </c>
      <c r="E319" s="42">
        <v>45425</v>
      </c>
      <c r="F319" s="38" t="s">
        <v>1156</v>
      </c>
      <c r="G319" s="38" t="s">
        <v>1157</v>
      </c>
      <c r="H319" s="34" t="s">
        <v>40</v>
      </c>
      <c r="I319" s="34" t="s">
        <v>1158</v>
      </c>
      <c r="J319" s="69">
        <v>0</v>
      </c>
      <c r="K319" s="69">
        <v>5000000</v>
      </c>
      <c r="L319" s="38" t="s">
        <v>14</v>
      </c>
      <c r="M319" s="38" t="s">
        <v>14</v>
      </c>
      <c r="N319" s="39" t="s">
        <v>14</v>
      </c>
      <c r="O319" s="39" t="s">
        <v>14</v>
      </c>
      <c r="P319" s="39" t="s">
        <v>14</v>
      </c>
      <c r="Q319" s="38" t="s">
        <v>14</v>
      </c>
    </row>
    <row r="320" spans="2:17" ht="26.25" thickBot="1" x14ac:dyDescent="0.3">
      <c r="B320" s="35">
        <v>28</v>
      </c>
      <c r="C320" s="34" t="s">
        <v>657</v>
      </c>
      <c r="D320" s="34" t="s">
        <v>598</v>
      </c>
      <c r="E320" s="42">
        <v>45425</v>
      </c>
      <c r="F320" s="38" t="s">
        <v>832</v>
      </c>
      <c r="G320" s="38" t="s">
        <v>1159</v>
      </c>
      <c r="H320" s="38" t="s">
        <v>40</v>
      </c>
      <c r="I320" s="34" t="s">
        <v>1160</v>
      </c>
      <c r="J320" s="69">
        <v>0</v>
      </c>
      <c r="K320" s="69">
        <v>5000000</v>
      </c>
      <c r="L320" s="38" t="s">
        <v>14</v>
      </c>
      <c r="M320" s="38" t="s">
        <v>14</v>
      </c>
      <c r="N320" s="39" t="s">
        <v>14</v>
      </c>
      <c r="O320" s="39" t="s">
        <v>14</v>
      </c>
      <c r="P320" s="39" t="s">
        <v>14</v>
      </c>
      <c r="Q320" s="38" t="s">
        <v>14</v>
      </c>
    </row>
    <row r="321" spans="2:17" ht="64.5" thickBot="1" x14ac:dyDescent="0.3">
      <c r="B321" s="35">
        <v>29</v>
      </c>
      <c r="C321" s="34" t="s">
        <v>657</v>
      </c>
      <c r="D321" s="34" t="s">
        <v>598</v>
      </c>
      <c r="E321" s="42">
        <v>45426</v>
      </c>
      <c r="F321" s="38" t="s">
        <v>1161</v>
      </c>
      <c r="G321" s="38" t="s">
        <v>1162</v>
      </c>
      <c r="H321" s="34" t="s">
        <v>1163</v>
      </c>
      <c r="I321" s="34" t="s">
        <v>1164</v>
      </c>
      <c r="J321" s="69">
        <v>200000</v>
      </c>
      <c r="K321" s="69">
        <v>19800000</v>
      </c>
      <c r="L321" s="38" t="s">
        <v>14</v>
      </c>
      <c r="M321" s="38" t="s">
        <v>14</v>
      </c>
      <c r="N321" s="39" t="s">
        <v>14</v>
      </c>
      <c r="O321" s="39" t="s">
        <v>14</v>
      </c>
      <c r="P321" s="39" t="s">
        <v>14</v>
      </c>
      <c r="Q321" s="38" t="s">
        <v>14</v>
      </c>
    </row>
    <row r="322" spans="2:17" ht="26.25" thickBot="1" x14ac:dyDescent="0.3">
      <c r="B322" s="35">
        <v>30</v>
      </c>
      <c r="C322" s="34" t="s">
        <v>657</v>
      </c>
      <c r="D322" s="34" t="s">
        <v>598</v>
      </c>
      <c r="E322" s="42">
        <v>45426</v>
      </c>
      <c r="F322" s="38" t="s">
        <v>1165</v>
      </c>
      <c r="G322" s="38" t="s">
        <v>1166</v>
      </c>
      <c r="H322" s="34" t="s">
        <v>40</v>
      </c>
      <c r="I322" s="34" t="s">
        <v>1167</v>
      </c>
      <c r="J322" s="69">
        <v>5000</v>
      </c>
      <c r="K322" s="69">
        <v>995000</v>
      </c>
      <c r="L322" s="38" t="s">
        <v>14</v>
      </c>
      <c r="M322" s="38" t="s">
        <v>14</v>
      </c>
      <c r="N322" s="39" t="s">
        <v>14</v>
      </c>
      <c r="O322" s="39" t="s">
        <v>14</v>
      </c>
      <c r="P322" s="39" t="s">
        <v>14</v>
      </c>
      <c r="Q322" s="38" t="s">
        <v>14</v>
      </c>
    </row>
    <row r="323" spans="2:17" ht="26.25" thickBot="1" x14ac:dyDescent="0.3">
      <c r="B323" s="35">
        <v>31</v>
      </c>
      <c r="C323" s="34" t="s">
        <v>657</v>
      </c>
      <c r="D323" s="34" t="s">
        <v>657</v>
      </c>
      <c r="E323" s="42">
        <v>45426</v>
      </c>
      <c r="F323" s="38" t="s">
        <v>1168</v>
      </c>
      <c r="G323" s="38" t="s">
        <v>1169</v>
      </c>
      <c r="H323" s="34" t="s">
        <v>629</v>
      </c>
      <c r="I323" s="34" t="s">
        <v>941</v>
      </c>
      <c r="J323" s="69">
        <v>10000</v>
      </c>
      <c r="K323" s="69">
        <v>90000</v>
      </c>
      <c r="L323" s="38" t="s">
        <v>14</v>
      </c>
      <c r="M323" s="38" t="s">
        <v>14</v>
      </c>
      <c r="N323" s="39" t="s">
        <v>14</v>
      </c>
      <c r="O323" s="39" t="s">
        <v>14</v>
      </c>
      <c r="P323" s="39" t="s">
        <v>14</v>
      </c>
      <c r="Q323" s="38" t="s">
        <v>14</v>
      </c>
    </row>
    <row r="324" spans="2:17" ht="51.75" thickBot="1" x14ac:dyDescent="0.3">
      <c r="B324" s="35">
        <v>32</v>
      </c>
      <c r="C324" s="34" t="s">
        <v>657</v>
      </c>
      <c r="D324" s="34" t="s">
        <v>657</v>
      </c>
      <c r="E324" s="42">
        <v>45427</v>
      </c>
      <c r="F324" s="38" t="s">
        <v>138</v>
      </c>
      <c r="G324" s="38" t="s">
        <v>1170</v>
      </c>
      <c r="H324" s="34" t="s">
        <v>40</v>
      </c>
      <c r="I324" s="34" t="s">
        <v>1171</v>
      </c>
      <c r="J324" s="69">
        <v>10000</v>
      </c>
      <c r="K324" s="69">
        <v>990000</v>
      </c>
      <c r="L324" s="38"/>
      <c r="M324" s="38"/>
      <c r="N324" s="39"/>
      <c r="O324" s="39"/>
      <c r="P324" s="39"/>
      <c r="Q324" s="38"/>
    </row>
    <row r="325" spans="2:17" ht="39" thickBot="1" x14ac:dyDescent="0.3">
      <c r="B325" s="35">
        <v>33</v>
      </c>
      <c r="C325" s="34" t="s">
        <v>657</v>
      </c>
      <c r="D325" s="34" t="s">
        <v>657</v>
      </c>
      <c r="E325" s="42">
        <v>45427</v>
      </c>
      <c r="F325" s="38" t="s">
        <v>1172</v>
      </c>
      <c r="G325" s="38" t="s">
        <v>1173</v>
      </c>
      <c r="H325" s="34" t="s">
        <v>952</v>
      </c>
      <c r="I325" s="34"/>
      <c r="J325" s="69"/>
      <c r="K325" s="69"/>
      <c r="L325" s="38"/>
      <c r="M325" s="38"/>
      <c r="N325" s="39"/>
      <c r="O325" s="39"/>
      <c r="P325" s="39"/>
      <c r="Q325" s="38"/>
    </row>
    <row r="326" spans="2:17" ht="26.25" thickBot="1" x14ac:dyDescent="0.3">
      <c r="B326" s="35">
        <v>34</v>
      </c>
      <c r="C326" s="34" t="s">
        <v>657</v>
      </c>
      <c r="D326" s="34" t="s">
        <v>657</v>
      </c>
      <c r="E326" s="42">
        <v>45428</v>
      </c>
      <c r="F326" s="38" t="s">
        <v>1174</v>
      </c>
      <c r="G326" s="38" t="s">
        <v>1175</v>
      </c>
      <c r="H326" s="34" t="s">
        <v>1146</v>
      </c>
      <c r="I326" s="34" t="s">
        <v>1176</v>
      </c>
      <c r="J326" s="69">
        <v>100000</v>
      </c>
      <c r="K326" s="69">
        <v>100000</v>
      </c>
      <c r="L326" s="38" t="s">
        <v>14</v>
      </c>
      <c r="M326" s="38" t="s">
        <v>14</v>
      </c>
      <c r="N326" s="39" t="s">
        <v>14</v>
      </c>
      <c r="O326" s="39" t="s">
        <v>14</v>
      </c>
      <c r="P326" s="39" t="s">
        <v>14</v>
      </c>
      <c r="Q326" s="38" t="s">
        <v>14</v>
      </c>
    </row>
    <row r="327" spans="2:17" ht="26.25" thickBot="1" x14ac:dyDescent="0.3">
      <c r="B327" s="35">
        <v>35</v>
      </c>
      <c r="C327" s="34" t="s">
        <v>657</v>
      </c>
      <c r="D327" s="34" t="s">
        <v>657</v>
      </c>
      <c r="E327" s="42">
        <v>45428</v>
      </c>
      <c r="F327" s="38" t="s">
        <v>1177</v>
      </c>
      <c r="G327" s="38" t="s">
        <v>1178</v>
      </c>
      <c r="H327" s="34" t="s">
        <v>1155</v>
      </c>
      <c r="I327" s="57" t="s">
        <v>1155</v>
      </c>
      <c r="J327" s="69"/>
      <c r="K327" s="69"/>
      <c r="L327" s="38" t="s">
        <v>14</v>
      </c>
      <c r="M327" s="38" t="s">
        <v>14</v>
      </c>
      <c r="N327" s="39" t="s">
        <v>14</v>
      </c>
      <c r="O327" s="39" t="s">
        <v>14</v>
      </c>
      <c r="P327" s="39" t="s">
        <v>14</v>
      </c>
      <c r="Q327" s="38" t="s">
        <v>14</v>
      </c>
    </row>
    <row r="328" spans="2:17" ht="26.25" thickBot="1" x14ac:dyDescent="0.3">
      <c r="B328" s="35">
        <v>36</v>
      </c>
      <c r="C328" s="34" t="s">
        <v>657</v>
      </c>
      <c r="D328" s="34" t="s">
        <v>657</v>
      </c>
      <c r="E328" s="42">
        <v>45428</v>
      </c>
      <c r="F328" s="38" t="s">
        <v>148</v>
      </c>
      <c r="G328" s="38" t="s">
        <v>1179</v>
      </c>
      <c r="H328" s="34" t="s">
        <v>629</v>
      </c>
      <c r="I328" s="34" t="s">
        <v>131</v>
      </c>
      <c r="J328" s="69">
        <v>0</v>
      </c>
      <c r="K328" s="69">
        <v>150000</v>
      </c>
      <c r="L328" s="38" t="s">
        <v>14</v>
      </c>
      <c r="M328" s="38" t="s">
        <v>14</v>
      </c>
      <c r="N328" s="39" t="s">
        <v>14</v>
      </c>
      <c r="O328" s="39" t="s">
        <v>14</v>
      </c>
      <c r="P328" s="39" t="s">
        <v>14</v>
      </c>
      <c r="Q328" s="38" t="s">
        <v>14</v>
      </c>
    </row>
    <row r="329" spans="2:17" ht="26.25" thickBot="1" x14ac:dyDescent="0.3">
      <c r="B329" s="35">
        <v>37</v>
      </c>
      <c r="C329" s="34" t="s">
        <v>657</v>
      </c>
      <c r="D329" s="34" t="s">
        <v>657</v>
      </c>
      <c r="E329" s="42">
        <v>45428</v>
      </c>
      <c r="F329" s="38" t="s">
        <v>1180</v>
      </c>
      <c r="G329" s="38" t="s">
        <v>1181</v>
      </c>
      <c r="H329" s="34" t="s">
        <v>40</v>
      </c>
      <c r="I329" s="34" t="s">
        <v>1182</v>
      </c>
      <c r="J329" s="69">
        <v>5000</v>
      </c>
      <c r="K329" s="69">
        <v>995000</v>
      </c>
      <c r="L329" s="38" t="s">
        <v>14</v>
      </c>
      <c r="M329" s="38" t="s">
        <v>14</v>
      </c>
      <c r="N329" s="39" t="s">
        <v>14</v>
      </c>
      <c r="O329" s="39" t="s">
        <v>14</v>
      </c>
      <c r="P329" s="39" t="s">
        <v>14</v>
      </c>
      <c r="Q329" s="38" t="s">
        <v>14</v>
      </c>
    </row>
    <row r="330" spans="2:17" ht="26.25" thickBot="1" x14ac:dyDescent="0.3">
      <c r="B330" s="35">
        <v>38</v>
      </c>
      <c r="C330" s="34" t="s">
        <v>657</v>
      </c>
      <c r="D330" s="34" t="s">
        <v>657</v>
      </c>
      <c r="E330" s="42">
        <v>45428</v>
      </c>
      <c r="F330" s="38" t="s">
        <v>878</v>
      </c>
      <c r="G330" s="38" t="s">
        <v>1183</v>
      </c>
      <c r="H330" s="34" t="s">
        <v>629</v>
      </c>
      <c r="I330" s="34" t="s">
        <v>941</v>
      </c>
      <c r="J330" s="69">
        <v>0</v>
      </c>
      <c r="K330" s="69">
        <v>0</v>
      </c>
      <c r="L330" s="38" t="s">
        <v>14</v>
      </c>
      <c r="M330" s="38" t="s">
        <v>14</v>
      </c>
      <c r="N330" s="39" t="s">
        <v>14</v>
      </c>
      <c r="O330" s="39" t="s">
        <v>14</v>
      </c>
      <c r="P330" s="39" t="s">
        <v>14</v>
      </c>
      <c r="Q330" s="38" t="s">
        <v>14</v>
      </c>
    </row>
    <row r="331" spans="2:17" ht="26.25" thickBot="1" x14ac:dyDescent="0.3">
      <c r="B331" s="35">
        <v>39</v>
      </c>
      <c r="C331" s="34" t="s">
        <v>657</v>
      </c>
      <c r="D331" s="34" t="s">
        <v>657</v>
      </c>
      <c r="E331" s="42">
        <v>45429</v>
      </c>
      <c r="F331" s="38" t="s">
        <v>1184</v>
      </c>
      <c r="G331" s="38" t="s">
        <v>1185</v>
      </c>
      <c r="H331" s="34" t="s">
        <v>629</v>
      </c>
      <c r="I331" s="34" t="s">
        <v>941</v>
      </c>
      <c r="J331" s="69">
        <v>5000</v>
      </c>
      <c r="K331" s="69">
        <v>45000</v>
      </c>
      <c r="L331" s="38" t="s">
        <v>14</v>
      </c>
      <c r="M331" s="38" t="s">
        <v>14</v>
      </c>
      <c r="N331" s="39" t="s">
        <v>14</v>
      </c>
      <c r="O331" s="39" t="s">
        <v>14</v>
      </c>
      <c r="P331" s="39" t="s">
        <v>14</v>
      </c>
      <c r="Q331" s="38" t="s">
        <v>14</v>
      </c>
    </row>
    <row r="332" spans="2:17" ht="15.75" thickBot="1" x14ac:dyDescent="0.3">
      <c r="B332" s="35">
        <v>40</v>
      </c>
      <c r="C332" s="34" t="s">
        <v>657</v>
      </c>
      <c r="D332" s="34" t="s">
        <v>657</v>
      </c>
      <c r="E332" s="36" t="s">
        <v>1186</v>
      </c>
      <c r="F332" s="38" t="s">
        <v>794</v>
      </c>
      <c r="G332" s="38" t="s">
        <v>1187</v>
      </c>
      <c r="H332" s="34" t="s">
        <v>1188</v>
      </c>
      <c r="I332" s="34" t="s">
        <v>1189</v>
      </c>
      <c r="J332" s="69">
        <v>500000</v>
      </c>
      <c r="K332" s="69">
        <v>1500000</v>
      </c>
      <c r="L332" s="38" t="s">
        <v>14</v>
      </c>
      <c r="M332" s="38" t="s">
        <v>14</v>
      </c>
      <c r="N332" s="39" t="s">
        <v>14</v>
      </c>
      <c r="O332" s="39" t="s">
        <v>14</v>
      </c>
      <c r="P332" s="39" t="s">
        <v>14</v>
      </c>
      <c r="Q332" s="38" t="s">
        <v>14</v>
      </c>
    </row>
    <row r="333" spans="2:17" ht="26.25" thickBot="1" x14ac:dyDescent="0.3">
      <c r="B333" s="35">
        <v>41</v>
      </c>
      <c r="C333" s="34" t="s">
        <v>657</v>
      </c>
      <c r="D333" s="34" t="s">
        <v>657</v>
      </c>
      <c r="E333" s="42">
        <v>45430</v>
      </c>
      <c r="F333" s="38" t="s">
        <v>1190</v>
      </c>
      <c r="G333" s="38" t="s">
        <v>1191</v>
      </c>
      <c r="H333" s="34" t="s">
        <v>1188</v>
      </c>
      <c r="I333" s="34" t="s">
        <v>1192</v>
      </c>
      <c r="J333" s="69">
        <v>500000</v>
      </c>
      <c r="K333" s="69">
        <v>19500000</v>
      </c>
      <c r="L333" s="38" t="s">
        <v>14</v>
      </c>
      <c r="M333" s="38" t="s">
        <v>14</v>
      </c>
      <c r="N333" s="39" t="s">
        <v>14</v>
      </c>
      <c r="O333" s="39" t="s">
        <v>14</v>
      </c>
      <c r="P333" s="39" t="s">
        <v>14</v>
      </c>
      <c r="Q333" s="38" t="s">
        <v>14</v>
      </c>
    </row>
    <row r="334" spans="2:17" ht="39" thickBot="1" x14ac:dyDescent="0.3">
      <c r="B334" s="35">
        <v>42</v>
      </c>
      <c r="C334" s="34" t="s">
        <v>657</v>
      </c>
      <c r="D334" s="34" t="s">
        <v>657</v>
      </c>
      <c r="E334" s="42">
        <v>45430</v>
      </c>
      <c r="F334" s="38" t="s">
        <v>1193</v>
      </c>
      <c r="G334" s="38" t="s">
        <v>1194</v>
      </c>
      <c r="H334" s="34" t="s">
        <v>40</v>
      </c>
      <c r="I334" s="34" t="s">
        <v>1143</v>
      </c>
      <c r="J334" s="69">
        <v>0</v>
      </c>
      <c r="K334" s="69">
        <v>0</v>
      </c>
      <c r="L334" s="38" t="s">
        <v>14</v>
      </c>
      <c r="M334" s="38" t="s">
        <v>14</v>
      </c>
      <c r="N334" s="39" t="s">
        <v>14</v>
      </c>
      <c r="O334" s="39" t="s">
        <v>14</v>
      </c>
      <c r="P334" s="39" t="s">
        <v>14</v>
      </c>
      <c r="Q334" s="38" t="s">
        <v>14</v>
      </c>
    </row>
    <row r="335" spans="2:17" ht="39" thickBot="1" x14ac:dyDescent="0.3">
      <c r="B335" s="35">
        <v>43</v>
      </c>
      <c r="C335" s="34" t="s">
        <v>657</v>
      </c>
      <c r="D335" s="34" t="s">
        <v>657</v>
      </c>
      <c r="E335" s="42">
        <v>45432</v>
      </c>
      <c r="F335" s="38" t="s">
        <v>1195</v>
      </c>
      <c r="G335" s="38" t="s">
        <v>1196</v>
      </c>
      <c r="H335" s="34" t="s">
        <v>40</v>
      </c>
      <c r="I335" s="34" t="s">
        <v>1197</v>
      </c>
      <c r="J335" s="69">
        <v>0</v>
      </c>
      <c r="K335" s="69">
        <v>0</v>
      </c>
      <c r="L335" s="38"/>
      <c r="M335" s="38"/>
      <c r="N335" s="39"/>
      <c r="O335" s="39"/>
      <c r="P335" s="39"/>
      <c r="Q335" s="38"/>
    </row>
    <row r="336" spans="2:17" ht="39" thickBot="1" x14ac:dyDescent="0.3">
      <c r="B336" s="35">
        <v>44</v>
      </c>
      <c r="C336" s="34" t="s">
        <v>657</v>
      </c>
      <c r="D336" s="34" t="s">
        <v>657</v>
      </c>
      <c r="E336" s="42">
        <v>45432</v>
      </c>
      <c r="F336" s="38" t="s">
        <v>1198</v>
      </c>
      <c r="G336" s="38" t="s">
        <v>1199</v>
      </c>
      <c r="H336" s="34" t="s">
        <v>1200</v>
      </c>
      <c r="I336" s="34" t="s">
        <v>267</v>
      </c>
      <c r="J336" s="69">
        <v>0</v>
      </c>
      <c r="K336" s="69">
        <v>0</v>
      </c>
      <c r="L336" s="38" t="s">
        <v>14</v>
      </c>
      <c r="M336" s="38" t="s">
        <v>14</v>
      </c>
      <c r="N336" s="39" t="s">
        <v>14</v>
      </c>
      <c r="O336" s="39" t="s">
        <v>14</v>
      </c>
      <c r="P336" s="39" t="s">
        <v>14</v>
      </c>
      <c r="Q336" s="38" t="s">
        <v>14</v>
      </c>
    </row>
    <row r="337" spans="2:17" ht="26.25" thickBot="1" x14ac:dyDescent="0.3">
      <c r="B337" s="35">
        <v>45</v>
      </c>
      <c r="C337" s="34" t="s">
        <v>657</v>
      </c>
      <c r="D337" s="34" t="s">
        <v>657</v>
      </c>
      <c r="E337" s="42">
        <v>45432</v>
      </c>
      <c r="F337" s="38" t="s">
        <v>1201</v>
      </c>
      <c r="G337" s="38" t="s">
        <v>1202</v>
      </c>
      <c r="H337" s="34" t="s">
        <v>1146</v>
      </c>
      <c r="I337" s="34" t="s">
        <v>1203</v>
      </c>
      <c r="J337" s="69">
        <v>150000</v>
      </c>
      <c r="K337" s="69">
        <v>350000</v>
      </c>
      <c r="L337" s="38" t="s">
        <v>14</v>
      </c>
      <c r="M337" s="38" t="s">
        <v>14</v>
      </c>
      <c r="N337" s="39" t="s">
        <v>14</v>
      </c>
      <c r="O337" s="39" t="s">
        <v>14</v>
      </c>
      <c r="P337" s="39" t="s">
        <v>14</v>
      </c>
      <c r="Q337" s="38" t="s">
        <v>14</v>
      </c>
    </row>
    <row r="338" spans="2:17" ht="39" thickBot="1" x14ac:dyDescent="0.3">
      <c r="B338" s="35">
        <v>46</v>
      </c>
      <c r="C338" s="34" t="s">
        <v>657</v>
      </c>
      <c r="D338" s="34" t="s">
        <v>657</v>
      </c>
      <c r="E338" s="42">
        <v>45432</v>
      </c>
      <c r="F338" s="38" t="s">
        <v>1204</v>
      </c>
      <c r="G338" s="38" t="s">
        <v>1205</v>
      </c>
      <c r="H338" s="34" t="s">
        <v>882</v>
      </c>
      <c r="I338" s="34" t="s">
        <v>1206</v>
      </c>
      <c r="J338" s="69">
        <v>0</v>
      </c>
      <c r="K338" s="69">
        <v>0</v>
      </c>
      <c r="L338" s="38" t="s">
        <v>14</v>
      </c>
      <c r="M338" s="38" t="s">
        <v>14</v>
      </c>
      <c r="N338" s="39" t="s">
        <v>14</v>
      </c>
      <c r="O338" s="39" t="s">
        <v>14</v>
      </c>
      <c r="P338" s="39" t="s">
        <v>14</v>
      </c>
      <c r="Q338" s="38" t="s">
        <v>14</v>
      </c>
    </row>
    <row r="339" spans="2:17" ht="26.25" thickBot="1" x14ac:dyDescent="0.3">
      <c r="B339" s="35">
        <v>47</v>
      </c>
      <c r="C339" s="34" t="s">
        <v>657</v>
      </c>
      <c r="D339" s="34" t="s">
        <v>657</v>
      </c>
      <c r="E339" s="42">
        <v>45432</v>
      </c>
      <c r="F339" s="38" t="s">
        <v>1207</v>
      </c>
      <c r="G339" s="38" t="s">
        <v>1208</v>
      </c>
      <c r="H339" s="34" t="s">
        <v>882</v>
      </c>
      <c r="I339" s="34" t="s">
        <v>1209</v>
      </c>
      <c r="J339" s="69"/>
      <c r="K339" s="69"/>
      <c r="L339" s="38" t="s">
        <v>14</v>
      </c>
      <c r="M339" s="38" t="s">
        <v>14</v>
      </c>
      <c r="N339" s="39" t="s">
        <v>14</v>
      </c>
      <c r="O339" s="39" t="s">
        <v>14</v>
      </c>
      <c r="P339" s="39" t="s">
        <v>14</v>
      </c>
      <c r="Q339" s="38" t="s">
        <v>14</v>
      </c>
    </row>
    <row r="340" spans="2:17" ht="39" thickBot="1" x14ac:dyDescent="0.3">
      <c r="B340" s="35">
        <v>48</v>
      </c>
      <c r="C340" s="34" t="s">
        <v>657</v>
      </c>
      <c r="D340" s="34" t="s">
        <v>657</v>
      </c>
      <c r="E340" s="36" t="s">
        <v>1210</v>
      </c>
      <c r="F340" s="38" t="s">
        <v>1078</v>
      </c>
      <c r="G340" s="38" t="s">
        <v>1211</v>
      </c>
      <c r="H340" s="34" t="s">
        <v>40</v>
      </c>
      <c r="I340" s="34" t="s">
        <v>667</v>
      </c>
      <c r="J340" s="69">
        <v>100000</v>
      </c>
      <c r="K340" s="69">
        <v>100000</v>
      </c>
      <c r="L340" s="38" t="s">
        <v>14</v>
      </c>
      <c r="M340" s="38" t="s">
        <v>14</v>
      </c>
      <c r="N340" s="39" t="s">
        <v>14</v>
      </c>
      <c r="O340" s="39" t="s">
        <v>14</v>
      </c>
      <c r="P340" s="39" t="s">
        <v>14</v>
      </c>
      <c r="Q340" s="38" t="s">
        <v>14</v>
      </c>
    </row>
    <row r="341" spans="2:17" ht="25.9" customHeight="1" x14ac:dyDescent="0.25">
      <c r="B341" s="86">
        <v>49</v>
      </c>
      <c r="C341" s="86" t="s">
        <v>657</v>
      </c>
      <c r="D341" s="86" t="s">
        <v>657</v>
      </c>
      <c r="E341" s="98">
        <v>45432</v>
      </c>
      <c r="F341" s="86" t="s">
        <v>248</v>
      </c>
      <c r="G341" s="86" t="s">
        <v>1212</v>
      </c>
      <c r="H341" s="71" t="s">
        <v>457</v>
      </c>
      <c r="I341" s="86" t="s">
        <v>333</v>
      </c>
      <c r="J341" s="100">
        <v>0</v>
      </c>
      <c r="K341" s="100">
        <v>0</v>
      </c>
      <c r="L341" s="86" t="s">
        <v>14</v>
      </c>
      <c r="M341" s="86" t="s">
        <v>14</v>
      </c>
      <c r="N341" s="87" t="s">
        <v>14</v>
      </c>
      <c r="O341" s="88" t="s">
        <v>14</v>
      </c>
      <c r="P341" s="88" t="s">
        <v>14</v>
      </c>
      <c r="Q341" s="89" t="s">
        <v>14</v>
      </c>
    </row>
    <row r="342" spans="2:17" ht="26.25" thickBot="1" x14ac:dyDescent="0.3">
      <c r="B342" s="58"/>
      <c r="C342" s="58"/>
      <c r="D342" s="58"/>
      <c r="E342" s="99"/>
      <c r="F342" s="58"/>
      <c r="G342" s="58"/>
      <c r="H342" s="34" t="s">
        <v>882</v>
      </c>
      <c r="I342" s="58"/>
      <c r="J342" s="101"/>
      <c r="K342" s="101"/>
      <c r="L342" s="58"/>
      <c r="M342" s="58"/>
      <c r="N342" s="90"/>
      <c r="O342" s="91"/>
      <c r="P342" s="91"/>
      <c r="Q342" s="92"/>
    </row>
    <row r="343" spans="2:17" ht="26.25" thickBot="1" x14ac:dyDescent="0.3">
      <c r="B343" s="35">
        <v>50</v>
      </c>
      <c r="C343" s="34" t="s">
        <v>657</v>
      </c>
      <c r="D343" s="34" t="s">
        <v>657</v>
      </c>
      <c r="E343" s="42">
        <v>45433</v>
      </c>
      <c r="F343" s="38" t="s">
        <v>844</v>
      </c>
      <c r="G343" s="38" t="s">
        <v>1213</v>
      </c>
      <c r="H343" s="34" t="s">
        <v>882</v>
      </c>
      <c r="I343" s="34" t="s">
        <v>1214</v>
      </c>
      <c r="J343" s="69"/>
      <c r="K343" s="69"/>
      <c r="L343" s="38" t="s">
        <v>14</v>
      </c>
      <c r="M343" s="38" t="s">
        <v>14</v>
      </c>
      <c r="N343" s="39" t="s">
        <v>14</v>
      </c>
      <c r="O343" s="39" t="s">
        <v>14</v>
      </c>
      <c r="P343" s="39" t="s">
        <v>14</v>
      </c>
      <c r="Q343" s="38" t="s">
        <v>14</v>
      </c>
    </row>
    <row r="344" spans="2:17" ht="26.25" thickBot="1" x14ac:dyDescent="0.3">
      <c r="B344" s="35">
        <v>51</v>
      </c>
      <c r="C344" s="34" t="s">
        <v>657</v>
      </c>
      <c r="D344" s="34" t="s">
        <v>657</v>
      </c>
      <c r="E344" s="36" t="s">
        <v>1215</v>
      </c>
      <c r="F344" s="38" t="s">
        <v>1216</v>
      </c>
      <c r="G344" s="38" t="s">
        <v>1217</v>
      </c>
      <c r="H344" s="34" t="s">
        <v>40</v>
      </c>
      <c r="I344" s="34" t="s">
        <v>1143</v>
      </c>
      <c r="J344" s="69">
        <v>0</v>
      </c>
      <c r="K344" s="69">
        <v>500000</v>
      </c>
      <c r="L344" s="38" t="s">
        <v>14</v>
      </c>
      <c r="M344" s="38" t="s">
        <v>14</v>
      </c>
      <c r="N344" s="39" t="s">
        <v>14</v>
      </c>
      <c r="O344" s="39" t="s">
        <v>14</v>
      </c>
      <c r="P344" s="39" t="s">
        <v>14</v>
      </c>
      <c r="Q344" s="38" t="s">
        <v>14</v>
      </c>
    </row>
    <row r="345" spans="2:17" ht="39" thickBot="1" x14ac:dyDescent="0.3">
      <c r="B345" s="35">
        <v>52</v>
      </c>
      <c r="C345" s="34" t="s">
        <v>657</v>
      </c>
      <c r="D345" s="34" t="s">
        <v>657</v>
      </c>
      <c r="E345" s="42">
        <v>45433</v>
      </c>
      <c r="F345" s="38" t="s">
        <v>175</v>
      </c>
      <c r="G345" s="38" t="s">
        <v>1218</v>
      </c>
      <c r="H345" s="34" t="s">
        <v>40</v>
      </c>
      <c r="I345" s="34" t="s">
        <v>1149</v>
      </c>
      <c r="J345" s="69"/>
      <c r="K345" s="69"/>
      <c r="L345" s="38" t="s">
        <v>14</v>
      </c>
      <c r="M345" s="38" t="s">
        <v>14</v>
      </c>
      <c r="N345" s="39" t="s">
        <v>14</v>
      </c>
      <c r="O345" s="39" t="s">
        <v>14</v>
      </c>
      <c r="P345" s="39" t="s">
        <v>14</v>
      </c>
      <c r="Q345" s="38" t="s">
        <v>14</v>
      </c>
    </row>
    <row r="346" spans="2:17" ht="39" thickBot="1" x14ac:dyDescent="0.3">
      <c r="B346" s="35">
        <v>53</v>
      </c>
      <c r="C346" s="34" t="s">
        <v>657</v>
      </c>
      <c r="D346" s="34" t="s">
        <v>657</v>
      </c>
      <c r="E346" s="42">
        <v>45434</v>
      </c>
      <c r="F346" s="38" t="s">
        <v>261</v>
      </c>
      <c r="G346" s="38" t="s">
        <v>1219</v>
      </c>
      <c r="H346" s="34" t="s">
        <v>629</v>
      </c>
      <c r="I346" s="34" t="s">
        <v>941</v>
      </c>
      <c r="J346" s="69">
        <v>5000</v>
      </c>
      <c r="K346" s="69">
        <v>95000</v>
      </c>
      <c r="L346" s="38"/>
      <c r="M346" s="38"/>
      <c r="N346" s="39"/>
      <c r="O346" s="39"/>
      <c r="P346" s="39"/>
      <c r="Q346" s="38"/>
    </row>
    <row r="347" spans="2:17" ht="51.75" thickBot="1" x14ac:dyDescent="0.3">
      <c r="B347" s="35">
        <v>54</v>
      </c>
      <c r="C347" s="34" t="s">
        <v>657</v>
      </c>
      <c r="D347" s="34" t="s">
        <v>657</v>
      </c>
      <c r="E347" s="42">
        <v>45435</v>
      </c>
      <c r="F347" s="38" t="s">
        <v>1220</v>
      </c>
      <c r="G347" s="38" t="s">
        <v>1221</v>
      </c>
      <c r="H347" s="34" t="s">
        <v>629</v>
      </c>
      <c r="I347" s="34" t="s">
        <v>1222</v>
      </c>
      <c r="J347" s="69">
        <v>10000</v>
      </c>
      <c r="K347" s="69">
        <v>4990000</v>
      </c>
      <c r="L347" s="38" t="s">
        <v>14</v>
      </c>
      <c r="M347" s="38" t="s">
        <v>14</v>
      </c>
      <c r="N347" s="39" t="s">
        <v>14</v>
      </c>
      <c r="O347" s="39" t="s">
        <v>14</v>
      </c>
      <c r="P347" s="39" t="s">
        <v>14</v>
      </c>
      <c r="Q347" s="38" t="s">
        <v>14</v>
      </c>
    </row>
    <row r="348" spans="2:17" ht="51.75" thickBot="1" x14ac:dyDescent="0.3">
      <c r="B348" s="35">
        <v>55</v>
      </c>
      <c r="C348" s="34" t="s">
        <v>657</v>
      </c>
      <c r="D348" s="34" t="s">
        <v>657</v>
      </c>
      <c r="E348" s="42">
        <v>45435</v>
      </c>
      <c r="F348" s="38" t="s">
        <v>1223</v>
      </c>
      <c r="G348" s="38" t="s">
        <v>1224</v>
      </c>
      <c r="H348" s="34" t="s">
        <v>629</v>
      </c>
      <c r="I348" s="34" t="s">
        <v>941</v>
      </c>
      <c r="J348" s="69"/>
      <c r="K348" s="69"/>
      <c r="L348" s="38" t="s">
        <v>14</v>
      </c>
      <c r="M348" s="38" t="s">
        <v>14</v>
      </c>
      <c r="N348" s="39" t="s">
        <v>14</v>
      </c>
      <c r="O348" s="39" t="s">
        <v>14</v>
      </c>
      <c r="P348" s="39" t="s">
        <v>14</v>
      </c>
      <c r="Q348" s="38" t="s">
        <v>14</v>
      </c>
    </row>
    <row r="349" spans="2:17" ht="39" thickBot="1" x14ac:dyDescent="0.3">
      <c r="B349" s="35">
        <v>56</v>
      </c>
      <c r="C349" s="34" t="s">
        <v>657</v>
      </c>
      <c r="D349" s="34" t="s">
        <v>657</v>
      </c>
      <c r="E349" s="42">
        <v>45435</v>
      </c>
      <c r="F349" s="38" t="s">
        <v>185</v>
      </c>
      <c r="G349" s="38" t="s">
        <v>1225</v>
      </c>
      <c r="H349" s="34" t="s">
        <v>629</v>
      </c>
      <c r="I349" s="34" t="s">
        <v>941</v>
      </c>
      <c r="J349" s="69"/>
      <c r="K349" s="69"/>
      <c r="L349" s="38" t="s">
        <v>14</v>
      </c>
      <c r="M349" s="38" t="s">
        <v>14</v>
      </c>
      <c r="N349" s="39" t="s">
        <v>14</v>
      </c>
      <c r="O349" s="39" t="s">
        <v>14</v>
      </c>
      <c r="P349" s="39" t="s">
        <v>14</v>
      </c>
      <c r="Q349" s="38" t="s">
        <v>14</v>
      </c>
    </row>
    <row r="350" spans="2:17" ht="39" thickBot="1" x14ac:dyDescent="0.3">
      <c r="B350" s="35">
        <v>57</v>
      </c>
      <c r="C350" s="34" t="s">
        <v>657</v>
      </c>
      <c r="D350" s="34" t="s">
        <v>657</v>
      </c>
      <c r="E350" s="42">
        <v>45437</v>
      </c>
      <c r="F350" s="38" t="s">
        <v>1226</v>
      </c>
      <c r="G350" s="38" t="s">
        <v>1227</v>
      </c>
      <c r="H350" s="34" t="s">
        <v>40</v>
      </c>
      <c r="I350" s="34" t="s">
        <v>1128</v>
      </c>
      <c r="J350" s="69"/>
      <c r="K350" s="69"/>
      <c r="L350" s="38" t="s">
        <v>14</v>
      </c>
      <c r="M350" s="38" t="s">
        <v>14</v>
      </c>
      <c r="N350" s="39" t="s">
        <v>14</v>
      </c>
      <c r="O350" s="39" t="s">
        <v>14</v>
      </c>
      <c r="P350" s="39" t="s">
        <v>14</v>
      </c>
      <c r="Q350" s="38" t="s">
        <v>14</v>
      </c>
    </row>
    <row r="351" spans="2:17" ht="51.75" thickBot="1" x14ac:dyDescent="0.3">
      <c r="B351" s="35">
        <v>58</v>
      </c>
      <c r="C351" s="34" t="s">
        <v>657</v>
      </c>
      <c r="D351" s="34" t="s">
        <v>657</v>
      </c>
      <c r="E351" s="42">
        <v>45437</v>
      </c>
      <c r="F351" s="38" t="s">
        <v>1228</v>
      </c>
      <c r="G351" s="38" t="s">
        <v>1229</v>
      </c>
      <c r="H351" s="34" t="s">
        <v>629</v>
      </c>
      <c r="I351" s="34" t="s">
        <v>1230</v>
      </c>
      <c r="J351" s="69">
        <v>50000</v>
      </c>
      <c r="K351" s="69">
        <v>49500000</v>
      </c>
      <c r="L351" s="38" t="s">
        <v>14</v>
      </c>
      <c r="M351" s="38" t="s">
        <v>14</v>
      </c>
      <c r="N351" s="39" t="s">
        <v>14</v>
      </c>
      <c r="O351" s="39" t="s">
        <v>14</v>
      </c>
      <c r="P351" s="39" t="s">
        <v>14</v>
      </c>
      <c r="Q351" s="38" t="s">
        <v>14</v>
      </c>
    </row>
    <row r="352" spans="2:17" ht="39" thickBot="1" x14ac:dyDescent="0.3">
      <c r="B352" s="35">
        <v>59</v>
      </c>
      <c r="C352" s="34" t="s">
        <v>657</v>
      </c>
      <c r="D352" s="34" t="s">
        <v>657</v>
      </c>
      <c r="E352" s="36" t="s">
        <v>1231</v>
      </c>
      <c r="F352" s="38" t="s">
        <v>1232</v>
      </c>
      <c r="G352" s="38" t="s">
        <v>1233</v>
      </c>
      <c r="H352" s="34" t="s">
        <v>1234</v>
      </c>
      <c r="I352" s="34" t="s">
        <v>618</v>
      </c>
      <c r="J352" s="69"/>
      <c r="K352" s="69"/>
      <c r="L352" s="38" t="s">
        <v>14</v>
      </c>
      <c r="M352" s="38" t="s">
        <v>14</v>
      </c>
      <c r="N352" s="39" t="s">
        <v>14</v>
      </c>
      <c r="O352" s="39" t="s">
        <v>14</v>
      </c>
      <c r="P352" s="39" t="s">
        <v>14</v>
      </c>
      <c r="Q352" s="38" t="s">
        <v>14</v>
      </c>
    </row>
    <row r="353" spans="2:17" ht="39" thickBot="1" x14ac:dyDescent="0.3">
      <c r="B353" s="35">
        <v>60</v>
      </c>
      <c r="C353" s="34" t="s">
        <v>657</v>
      </c>
      <c r="D353" s="34" t="s">
        <v>657</v>
      </c>
      <c r="E353" s="42">
        <v>45437</v>
      </c>
      <c r="F353" s="38" t="s">
        <v>194</v>
      </c>
      <c r="G353" s="38" t="s">
        <v>1235</v>
      </c>
      <c r="H353" s="34" t="s">
        <v>1234</v>
      </c>
      <c r="I353" s="34" t="s">
        <v>1236</v>
      </c>
      <c r="J353" s="69"/>
      <c r="K353" s="69"/>
      <c r="L353" s="38" t="s">
        <v>14</v>
      </c>
      <c r="M353" s="38" t="s">
        <v>14</v>
      </c>
      <c r="N353" s="39" t="s">
        <v>14</v>
      </c>
      <c r="O353" s="39" t="s">
        <v>14</v>
      </c>
      <c r="P353" s="39" t="s">
        <v>14</v>
      </c>
      <c r="Q353" s="38" t="s">
        <v>14</v>
      </c>
    </row>
    <row r="354" spans="2:17" ht="26.25" thickBot="1" x14ac:dyDescent="0.3">
      <c r="B354" s="35">
        <v>61</v>
      </c>
      <c r="C354" s="34" t="s">
        <v>657</v>
      </c>
      <c r="D354" s="34" t="s">
        <v>657</v>
      </c>
      <c r="E354" s="42">
        <v>45438</v>
      </c>
      <c r="F354" s="38" t="s">
        <v>120</v>
      </c>
      <c r="G354" s="38" t="s">
        <v>616</v>
      </c>
      <c r="H354" s="34" t="s">
        <v>629</v>
      </c>
      <c r="I354" s="34" t="s">
        <v>941</v>
      </c>
      <c r="J354" s="69">
        <v>5000</v>
      </c>
      <c r="K354" s="69">
        <v>995000</v>
      </c>
      <c r="L354" s="38" t="s">
        <v>14</v>
      </c>
      <c r="M354" s="38" t="s">
        <v>14</v>
      </c>
      <c r="N354" s="39" t="s">
        <v>14</v>
      </c>
      <c r="O354" s="39" t="s">
        <v>14</v>
      </c>
      <c r="P354" s="39" t="s">
        <v>14</v>
      </c>
      <c r="Q354" s="38" t="s">
        <v>14</v>
      </c>
    </row>
    <row r="355" spans="2:17" ht="39" thickBot="1" x14ac:dyDescent="0.3">
      <c r="B355" s="35">
        <v>62</v>
      </c>
      <c r="C355" s="34" t="s">
        <v>657</v>
      </c>
      <c r="D355" s="34" t="s">
        <v>657</v>
      </c>
      <c r="E355" s="42">
        <v>45438</v>
      </c>
      <c r="F355" s="38" t="s">
        <v>166</v>
      </c>
      <c r="G355" s="38" t="s">
        <v>1237</v>
      </c>
      <c r="H355" s="34" t="s">
        <v>629</v>
      </c>
      <c r="I355" s="34" t="s">
        <v>1238</v>
      </c>
      <c r="J355" s="69">
        <v>10000</v>
      </c>
      <c r="K355" s="69">
        <v>4990000</v>
      </c>
      <c r="L355" s="38" t="s">
        <v>14</v>
      </c>
      <c r="M355" s="38" t="s">
        <v>14</v>
      </c>
      <c r="N355" s="39" t="s">
        <v>14</v>
      </c>
      <c r="O355" s="39" t="s">
        <v>14</v>
      </c>
      <c r="P355" s="39" t="s">
        <v>14</v>
      </c>
      <c r="Q355" s="38" t="s">
        <v>14</v>
      </c>
    </row>
    <row r="356" spans="2:17" ht="39" thickBot="1" x14ac:dyDescent="0.3">
      <c r="B356" s="35">
        <v>63</v>
      </c>
      <c r="C356" s="34" t="s">
        <v>657</v>
      </c>
      <c r="D356" s="34" t="s">
        <v>657</v>
      </c>
      <c r="E356" s="42">
        <v>45439</v>
      </c>
      <c r="F356" s="38" t="s">
        <v>884</v>
      </c>
      <c r="G356" s="38" t="s">
        <v>1239</v>
      </c>
      <c r="H356" s="34" t="s">
        <v>40</v>
      </c>
      <c r="I356" s="34" t="s">
        <v>1128</v>
      </c>
      <c r="J356" s="69"/>
      <c r="K356" s="69"/>
      <c r="L356" s="38"/>
      <c r="M356" s="38"/>
      <c r="N356" s="39"/>
      <c r="O356" s="39"/>
      <c r="P356" s="39"/>
      <c r="Q356" s="38"/>
    </row>
    <row r="357" spans="2:17" ht="51.75" thickBot="1" x14ac:dyDescent="0.3">
      <c r="B357" s="35">
        <v>64</v>
      </c>
      <c r="C357" s="34" t="s">
        <v>657</v>
      </c>
      <c r="D357" s="34" t="s">
        <v>657</v>
      </c>
      <c r="E357" s="42">
        <v>45439</v>
      </c>
      <c r="F357" s="72">
        <v>45861</v>
      </c>
      <c r="G357" s="38" t="s">
        <v>1240</v>
      </c>
      <c r="H357" s="34" t="s">
        <v>629</v>
      </c>
      <c r="I357" s="34" t="s">
        <v>1241</v>
      </c>
      <c r="J357" s="69"/>
      <c r="K357" s="69"/>
      <c r="L357" s="38"/>
      <c r="M357" s="38"/>
      <c r="N357" s="39"/>
      <c r="O357" s="39"/>
      <c r="P357" s="39"/>
      <c r="Q357" s="38"/>
    </row>
    <row r="358" spans="2:17" ht="51.75" thickBot="1" x14ac:dyDescent="0.3">
      <c r="B358" s="35">
        <v>65</v>
      </c>
      <c r="C358" s="34" t="s">
        <v>657</v>
      </c>
      <c r="D358" s="34" t="s">
        <v>657</v>
      </c>
      <c r="E358" s="42">
        <v>45439</v>
      </c>
      <c r="F358" s="38" t="s">
        <v>1242</v>
      </c>
      <c r="G358" s="38" t="s">
        <v>1240</v>
      </c>
      <c r="H358" s="34" t="s">
        <v>629</v>
      </c>
      <c r="I358" s="34" t="s">
        <v>1241</v>
      </c>
      <c r="J358" s="69"/>
      <c r="K358" s="69"/>
      <c r="L358" s="38"/>
      <c r="M358" s="38"/>
      <c r="N358" s="39"/>
      <c r="O358" s="39"/>
      <c r="P358" s="39"/>
      <c r="Q358" s="38"/>
    </row>
    <row r="359" spans="2:17" ht="51.75" thickBot="1" x14ac:dyDescent="0.3">
      <c r="B359" s="35">
        <v>66</v>
      </c>
      <c r="C359" s="34" t="s">
        <v>657</v>
      </c>
      <c r="D359" s="34" t="s">
        <v>657</v>
      </c>
      <c r="E359" s="42">
        <v>45440</v>
      </c>
      <c r="F359" s="38" t="s">
        <v>1243</v>
      </c>
      <c r="G359" s="38" t="s">
        <v>1244</v>
      </c>
      <c r="H359" s="38" t="s">
        <v>1245</v>
      </c>
      <c r="I359" s="34" t="s">
        <v>1246</v>
      </c>
      <c r="J359" s="69">
        <v>90000</v>
      </c>
      <c r="K359" s="69">
        <v>2110000</v>
      </c>
      <c r="L359" s="38"/>
      <c r="M359" s="38"/>
      <c r="N359" s="39"/>
      <c r="O359" s="39"/>
      <c r="P359" s="39"/>
      <c r="Q359" s="38"/>
    </row>
    <row r="360" spans="2:17" ht="64.5" thickBot="1" x14ac:dyDescent="0.3">
      <c r="B360" s="35">
        <v>67</v>
      </c>
      <c r="C360" s="34" t="s">
        <v>657</v>
      </c>
      <c r="D360" s="34" t="s">
        <v>657</v>
      </c>
      <c r="E360" s="42">
        <v>45440</v>
      </c>
      <c r="F360" s="38" t="s">
        <v>160</v>
      </c>
      <c r="G360" s="38" t="s">
        <v>1247</v>
      </c>
      <c r="H360" s="34" t="s">
        <v>629</v>
      </c>
      <c r="I360" s="34" t="s">
        <v>1248</v>
      </c>
      <c r="J360" s="69">
        <v>20000</v>
      </c>
      <c r="K360" s="69">
        <v>180000</v>
      </c>
      <c r="L360" s="38"/>
      <c r="M360" s="38"/>
      <c r="N360" s="39"/>
      <c r="O360" s="39"/>
      <c r="P360" s="39"/>
      <c r="Q360" s="38"/>
    </row>
    <row r="361" spans="2:17" ht="39" thickBot="1" x14ac:dyDescent="0.3">
      <c r="B361" s="35">
        <v>68</v>
      </c>
      <c r="C361" s="34" t="s">
        <v>657</v>
      </c>
      <c r="D361" s="34" t="s">
        <v>657</v>
      </c>
      <c r="E361" s="42">
        <v>45440</v>
      </c>
      <c r="F361" s="38" t="s">
        <v>1249</v>
      </c>
      <c r="G361" s="38" t="s">
        <v>1250</v>
      </c>
      <c r="H361" s="34" t="s">
        <v>40</v>
      </c>
      <c r="I361" s="34" t="s">
        <v>1251</v>
      </c>
      <c r="J361" s="69">
        <v>150000</v>
      </c>
      <c r="K361" s="69">
        <v>50000</v>
      </c>
      <c r="L361" s="38"/>
      <c r="M361" s="38"/>
      <c r="N361" s="39"/>
      <c r="O361" s="39"/>
      <c r="P361" s="39"/>
      <c r="Q361" s="38"/>
    </row>
    <row r="362" spans="2:17" ht="39" thickBot="1" x14ac:dyDescent="0.3">
      <c r="B362" s="35">
        <v>69</v>
      </c>
      <c r="C362" s="34" t="s">
        <v>657</v>
      </c>
      <c r="D362" s="34" t="s">
        <v>657</v>
      </c>
      <c r="E362" s="42">
        <v>45440</v>
      </c>
      <c r="F362" s="38" t="s">
        <v>1252</v>
      </c>
      <c r="G362" s="38" t="s">
        <v>1253</v>
      </c>
      <c r="H362" s="34" t="s">
        <v>629</v>
      </c>
      <c r="I362" s="34" t="s">
        <v>941</v>
      </c>
      <c r="J362" s="69"/>
      <c r="K362" s="69"/>
      <c r="L362" s="38"/>
      <c r="M362" s="38"/>
      <c r="N362" s="39"/>
      <c r="O362" s="39"/>
      <c r="P362" s="39"/>
      <c r="Q362" s="38"/>
    </row>
    <row r="363" spans="2:17" ht="39" thickBot="1" x14ac:dyDescent="0.3">
      <c r="B363" s="35">
        <v>70</v>
      </c>
      <c r="C363" s="34" t="s">
        <v>657</v>
      </c>
      <c r="D363" s="34" t="s">
        <v>657</v>
      </c>
      <c r="E363" s="42">
        <v>45441</v>
      </c>
      <c r="F363" s="38" t="s">
        <v>1254</v>
      </c>
      <c r="G363" s="38" t="s">
        <v>1255</v>
      </c>
      <c r="H363" s="34" t="s">
        <v>40</v>
      </c>
      <c r="I363" s="34" t="s">
        <v>1256</v>
      </c>
      <c r="J363" s="69">
        <v>80000</v>
      </c>
      <c r="K363" s="69">
        <v>4920000</v>
      </c>
      <c r="L363" s="38"/>
      <c r="M363" s="38"/>
      <c r="N363" s="39"/>
      <c r="O363" s="39"/>
      <c r="P363" s="39"/>
      <c r="Q363" s="38"/>
    </row>
    <row r="364" spans="2:17" ht="39" thickBot="1" x14ac:dyDescent="0.3">
      <c r="B364" s="35">
        <v>71</v>
      </c>
      <c r="C364" s="34" t="s">
        <v>657</v>
      </c>
      <c r="D364" s="34" t="s">
        <v>657</v>
      </c>
      <c r="E364" s="42">
        <v>45441</v>
      </c>
      <c r="F364" s="38" t="s">
        <v>1226</v>
      </c>
      <c r="G364" s="38" t="s">
        <v>1257</v>
      </c>
      <c r="H364" s="34" t="s">
        <v>652</v>
      </c>
      <c r="I364" s="34" t="s">
        <v>1258</v>
      </c>
      <c r="J364" s="69">
        <v>400000</v>
      </c>
      <c r="K364" s="69">
        <v>4600000</v>
      </c>
      <c r="L364" s="38"/>
      <c r="M364" s="38"/>
      <c r="N364" s="39"/>
      <c r="O364" s="39"/>
      <c r="P364" s="39"/>
      <c r="Q364" s="38"/>
    </row>
    <row r="365" spans="2:17" ht="64.5" thickBot="1" x14ac:dyDescent="0.3">
      <c r="B365" s="35">
        <v>72</v>
      </c>
      <c r="C365" s="34" t="s">
        <v>657</v>
      </c>
      <c r="D365" s="34" t="s">
        <v>657</v>
      </c>
      <c r="E365" s="42">
        <v>45441</v>
      </c>
      <c r="F365" s="38" t="s">
        <v>1259</v>
      </c>
      <c r="G365" s="38" t="s">
        <v>1260</v>
      </c>
      <c r="H365" s="34" t="s">
        <v>629</v>
      </c>
      <c r="I365" s="34" t="s">
        <v>1260</v>
      </c>
      <c r="J365" s="69">
        <v>15000</v>
      </c>
      <c r="K365" s="69">
        <v>19985000</v>
      </c>
      <c r="L365" s="38"/>
      <c r="M365" s="38"/>
      <c r="N365" s="39"/>
      <c r="O365" s="39"/>
      <c r="P365" s="39"/>
      <c r="Q365" s="38"/>
    </row>
    <row r="366" spans="2:17" ht="26.25" thickBot="1" x14ac:dyDescent="0.3">
      <c r="B366" s="35">
        <v>73</v>
      </c>
      <c r="C366" s="34" t="s">
        <v>657</v>
      </c>
      <c r="D366" s="34" t="s">
        <v>657</v>
      </c>
      <c r="E366" s="42">
        <v>45441</v>
      </c>
      <c r="F366" s="38" t="s">
        <v>1261</v>
      </c>
      <c r="G366" s="38" t="s">
        <v>1262</v>
      </c>
      <c r="H366" s="34" t="s">
        <v>1263</v>
      </c>
      <c r="I366" s="34" t="s">
        <v>1056</v>
      </c>
      <c r="J366" s="69">
        <v>20000</v>
      </c>
      <c r="K366" s="69">
        <v>580000</v>
      </c>
      <c r="L366" s="38"/>
      <c r="M366" s="38"/>
      <c r="N366" s="39"/>
      <c r="O366" s="39"/>
      <c r="P366" s="39"/>
      <c r="Q366" s="38"/>
    </row>
    <row r="367" spans="2:17" ht="64.5" thickBot="1" x14ac:dyDescent="0.3">
      <c r="B367" s="35">
        <v>74</v>
      </c>
      <c r="C367" s="34" t="s">
        <v>657</v>
      </c>
      <c r="D367" s="34" t="s">
        <v>657</v>
      </c>
      <c r="E367" s="42">
        <v>45441</v>
      </c>
      <c r="F367" s="38" t="s">
        <v>1264</v>
      </c>
      <c r="G367" s="38" t="s">
        <v>1265</v>
      </c>
      <c r="H367" s="38" t="s">
        <v>1266</v>
      </c>
      <c r="I367" s="34"/>
      <c r="J367" s="69">
        <v>0</v>
      </c>
      <c r="K367" s="69">
        <v>0</v>
      </c>
      <c r="L367" s="38"/>
      <c r="M367" s="38"/>
      <c r="N367" s="39"/>
      <c r="O367" s="39"/>
      <c r="P367" s="39"/>
      <c r="Q367" s="38"/>
    </row>
    <row r="368" spans="2:17" ht="39" thickBot="1" x14ac:dyDescent="0.3">
      <c r="B368" s="35">
        <v>75</v>
      </c>
      <c r="C368" s="34" t="s">
        <v>657</v>
      </c>
      <c r="D368" s="34" t="s">
        <v>657</v>
      </c>
      <c r="E368" s="42">
        <v>45441</v>
      </c>
      <c r="F368" s="38" t="s">
        <v>183</v>
      </c>
      <c r="G368" s="38" t="s">
        <v>1267</v>
      </c>
      <c r="H368" s="34" t="s">
        <v>882</v>
      </c>
      <c r="I368" s="34" t="s">
        <v>1268</v>
      </c>
      <c r="J368" s="69">
        <v>0</v>
      </c>
      <c r="K368" s="69">
        <v>0</v>
      </c>
      <c r="L368" s="38"/>
      <c r="M368" s="38"/>
      <c r="N368" s="39"/>
      <c r="O368" s="39"/>
      <c r="P368" s="39"/>
      <c r="Q368" s="38"/>
    </row>
    <row r="369" spans="2:17" ht="39" thickBot="1" x14ac:dyDescent="0.3">
      <c r="B369" s="35">
        <v>76</v>
      </c>
      <c r="C369" s="34" t="s">
        <v>657</v>
      </c>
      <c r="D369" s="34" t="s">
        <v>657</v>
      </c>
      <c r="E369" s="42">
        <v>45442</v>
      </c>
      <c r="F369" s="38" t="s">
        <v>1269</v>
      </c>
      <c r="G369" s="38" t="s">
        <v>1270</v>
      </c>
      <c r="H369" s="34" t="s">
        <v>40</v>
      </c>
      <c r="I369" s="34" t="s">
        <v>1271</v>
      </c>
      <c r="J369" s="69">
        <v>25000</v>
      </c>
      <c r="K369" s="69">
        <v>19975000</v>
      </c>
      <c r="L369" s="38"/>
      <c r="M369" s="38"/>
      <c r="N369" s="39"/>
      <c r="O369" s="39"/>
      <c r="P369" s="39"/>
      <c r="Q369" s="38"/>
    </row>
    <row r="370" spans="2:17" ht="26.25" thickBot="1" x14ac:dyDescent="0.3">
      <c r="B370" s="35">
        <v>77</v>
      </c>
      <c r="C370" s="34" t="s">
        <v>657</v>
      </c>
      <c r="D370" s="34" t="s">
        <v>657</v>
      </c>
      <c r="E370" s="42">
        <v>45442</v>
      </c>
      <c r="F370" s="38" t="s">
        <v>165</v>
      </c>
      <c r="G370" s="38" t="s">
        <v>1272</v>
      </c>
      <c r="H370" s="34" t="s">
        <v>40</v>
      </c>
      <c r="I370" s="34" t="s">
        <v>1056</v>
      </c>
      <c r="J370" s="69">
        <v>20000</v>
      </c>
      <c r="K370" s="69">
        <v>180000</v>
      </c>
      <c r="L370" s="38"/>
      <c r="M370" s="38"/>
      <c r="N370" s="39"/>
      <c r="O370" s="39"/>
      <c r="P370" s="39"/>
      <c r="Q370" s="38"/>
    </row>
    <row r="371" spans="2:17" ht="77.25" thickBot="1" x14ac:dyDescent="0.3">
      <c r="B371" s="35">
        <v>78</v>
      </c>
      <c r="C371" s="34" t="s">
        <v>657</v>
      </c>
      <c r="D371" s="34" t="s">
        <v>657</v>
      </c>
      <c r="E371" s="42">
        <v>45442</v>
      </c>
      <c r="F371" s="38" t="s">
        <v>160</v>
      </c>
      <c r="G371" s="38" t="s">
        <v>1273</v>
      </c>
      <c r="H371" s="34" t="s">
        <v>629</v>
      </c>
      <c r="I371" s="38" t="s">
        <v>649</v>
      </c>
      <c r="J371" s="69">
        <v>20000</v>
      </c>
      <c r="K371" s="69">
        <v>980000</v>
      </c>
      <c r="L371" s="38"/>
      <c r="M371" s="38"/>
      <c r="N371" s="39"/>
      <c r="O371" s="39"/>
      <c r="P371" s="39"/>
      <c r="Q371" s="38"/>
    </row>
    <row r="372" spans="2:17" ht="51.75" thickBot="1" x14ac:dyDescent="0.3">
      <c r="B372" s="35">
        <v>79</v>
      </c>
      <c r="C372" s="34" t="s">
        <v>657</v>
      </c>
      <c r="D372" s="34" t="s">
        <v>657</v>
      </c>
      <c r="E372" s="42">
        <v>45442</v>
      </c>
      <c r="F372" s="38" t="s">
        <v>1190</v>
      </c>
      <c r="G372" s="38" t="s">
        <v>1274</v>
      </c>
      <c r="H372" s="34" t="s">
        <v>629</v>
      </c>
      <c r="I372" s="34" t="s">
        <v>649</v>
      </c>
      <c r="J372" s="69">
        <v>10000</v>
      </c>
      <c r="K372" s="69">
        <v>1990000</v>
      </c>
      <c r="L372" s="38"/>
      <c r="M372" s="38"/>
      <c r="N372" s="39"/>
      <c r="O372" s="39"/>
      <c r="P372" s="39"/>
      <c r="Q372" s="38"/>
    </row>
    <row r="373" spans="2:17" ht="39" thickBot="1" x14ac:dyDescent="0.3">
      <c r="B373" s="35">
        <v>80</v>
      </c>
      <c r="C373" s="34" t="s">
        <v>657</v>
      </c>
      <c r="D373" s="34" t="s">
        <v>657</v>
      </c>
      <c r="E373" s="42">
        <v>45442</v>
      </c>
      <c r="F373" s="38" t="s">
        <v>1275</v>
      </c>
      <c r="G373" s="38" t="s">
        <v>1276</v>
      </c>
      <c r="H373" s="34" t="s">
        <v>40</v>
      </c>
      <c r="I373" s="34" t="s">
        <v>1128</v>
      </c>
      <c r="J373" s="69">
        <v>50000</v>
      </c>
      <c r="K373" s="69">
        <v>4950000</v>
      </c>
      <c r="L373" s="38"/>
      <c r="M373" s="38"/>
      <c r="N373" s="39"/>
      <c r="O373" s="39"/>
      <c r="P373" s="39"/>
      <c r="Q373" s="38"/>
    </row>
    <row r="374" spans="2:17" ht="64.5" thickBot="1" x14ac:dyDescent="0.3">
      <c r="B374" s="35">
        <v>81</v>
      </c>
      <c r="C374" s="34" t="s">
        <v>657</v>
      </c>
      <c r="D374" s="34" t="s">
        <v>657</v>
      </c>
      <c r="E374" s="42">
        <v>45442</v>
      </c>
      <c r="F374" s="38" t="s">
        <v>1277</v>
      </c>
      <c r="G374" s="38" t="s">
        <v>1278</v>
      </c>
      <c r="H374" s="34" t="s">
        <v>25</v>
      </c>
      <c r="I374" s="34" t="s">
        <v>1279</v>
      </c>
      <c r="J374" s="69"/>
      <c r="K374" s="69">
        <v>20000000</v>
      </c>
      <c r="L374" s="38"/>
      <c r="M374" s="38"/>
      <c r="N374" s="39"/>
      <c r="O374" s="39"/>
      <c r="P374" s="39"/>
      <c r="Q374" s="38"/>
    </row>
    <row r="375" spans="2:17" ht="64.5" thickBot="1" x14ac:dyDescent="0.3">
      <c r="B375" s="35">
        <v>82</v>
      </c>
      <c r="C375" s="34" t="s">
        <v>657</v>
      </c>
      <c r="D375" s="34" t="s">
        <v>657</v>
      </c>
      <c r="E375" s="36" t="s">
        <v>1280</v>
      </c>
      <c r="F375" s="38" t="s">
        <v>1281</v>
      </c>
      <c r="G375" s="38" t="s">
        <v>1282</v>
      </c>
      <c r="H375" s="34" t="s">
        <v>40</v>
      </c>
      <c r="I375" s="34" t="s">
        <v>1279</v>
      </c>
      <c r="J375" s="69"/>
      <c r="K375" s="69">
        <v>20000000</v>
      </c>
      <c r="L375" s="38"/>
      <c r="M375" s="38"/>
      <c r="N375" s="39"/>
      <c r="O375" s="39"/>
      <c r="P375" s="39"/>
      <c r="Q375" s="38"/>
    </row>
    <row r="376" spans="2:17" ht="51.75" thickBot="1" x14ac:dyDescent="0.3">
      <c r="B376" s="35">
        <v>83</v>
      </c>
      <c r="C376" s="34" t="s">
        <v>657</v>
      </c>
      <c r="D376" s="34" t="s">
        <v>657</v>
      </c>
      <c r="E376" s="42">
        <v>45443</v>
      </c>
      <c r="F376" s="38" t="s">
        <v>170</v>
      </c>
      <c r="G376" s="38" t="s">
        <v>1283</v>
      </c>
      <c r="H376" s="34" t="s">
        <v>629</v>
      </c>
      <c r="I376" s="34" t="s">
        <v>1284</v>
      </c>
      <c r="J376" s="69">
        <v>200000</v>
      </c>
      <c r="K376" s="69">
        <v>800000</v>
      </c>
      <c r="L376" s="38"/>
      <c r="M376" s="38"/>
      <c r="N376" s="39"/>
      <c r="O376" s="39"/>
      <c r="P376" s="39"/>
      <c r="Q376" s="38"/>
    </row>
    <row r="377" spans="2:17" ht="51.75" thickBot="1" x14ac:dyDescent="0.3">
      <c r="B377" s="35">
        <v>84</v>
      </c>
      <c r="C377" s="34" t="s">
        <v>657</v>
      </c>
      <c r="D377" s="34" t="s">
        <v>657</v>
      </c>
      <c r="E377" s="42">
        <v>45443</v>
      </c>
      <c r="F377" s="38" t="s">
        <v>1110</v>
      </c>
      <c r="G377" s="38" t="s">
        <v>1285</v>
      </c>
      <c r="H377" s="34" t="s">
        <v>629</v>
      </c>
      <c r="I377" s="34" t="s">
        <v>1258</v>
      </c>
      <c r="J377" s="69">
        <v>400000</v>
      </c>
      <c r="K377" s="69">
        <v>600000</v>
      </c>
      <c r="L377" s="38"/>
      <c r="M377" s="38"/>
      <c r="N377" s="39"/>
      <c r="O377" s="39"/>
      <c r="P377" s="39"/>
      <c r="Q377" s="38"/>
    </row>
    <row r="378" spans="2:17" ht="15.75" thickBot="1" x14ac:dyDescent="0.3">
      <c r="B378" s="58"/>
      <c r="C378" s="34"/>
      <c r="D378" s="34"/>
      <c r="E378" s="36"/>
      <c r="F378" s="38"/>
      <c r="G378" s="38"/>
      <c r="H378" s="34"/>
      <c r="I378" s="34" t="s">
        <v>19</v>
      </c>
      <c r="J378" s="34" t="s">
        <v>1286</v>
      </c>
      <c r="K378" s="34" t="s">
        <v>1287</v>
      </c>
      <c r="L378" s="38"/>
      <c r="M378" s="38"/>
      <c r="N378" s="39"/>
      <c r="O378" s="39"/>
      <c r="P378" s="39"/>
      <c r="Q378" s="38"/>
    </row>
    <row r="379" spans="2:17" x14ac:dyDescent="0.25">
      <c r="B379" s="48" t="s">
        <v>700</v>
      </c>
    </row>
    <row r="380" spans="2:17" ht="15.75" thickBot="1" x14ac:dyDescent="0.3">
      <c r="B380" s="49" t="s">
        <v>998</v>
      </c>
    </row>
    <row r="381" spans="2:17" ht="117" customHeight="1" thickBot="1" x14ac:dyDescent="0.3">
      <c r="B381" s="86" t="s">
        <v>589</v>
      </c>
      <c r="C381" s="86" t="s">
        <v>0</v>
      </c>
      <c r="D381" s="86" t="s">
        <v>590</v>
      </c>
      <c r="E381" s="86" t="s">
        <v>1</v>
      </c>
      <c r="F381" s="86" t="s">
        <v>592</v>
      </c>
      <c r="G381" s="86" t="s">
        <v>702</v>
      </c>
      <c r="H381" s="86" t="s">
        <v>4</v>
      </c>
      <c r="I381" s="86" t="s">
        <v>703</v>
      </c>
      <c r="J381" s="86" t="s">
        <v>595</v>
      </c>
      <c r="K381" s="86" t="s">
        <v>596</v>
      </c>
      <c r="L381" s="97" t="s">
        <v>8</v>
      </c>
      <c r="M381" s="85"/>
      <c r="N381" s="84" t="s">
        <v>9</v>
      </c>
      <c r="O381" s="85"/>
      <c r="P381" s="84" t="s">
        <v>10</v>
      </c>
      <c r="Q381" s="93"/>
    </row>
    <row r="382" spans="2:17" ht="15.75" thickBot="1" x14ac:dyDescent="0.3">
      <c r="B382" s="58"/>
      <c r="C382" s="58"/>
      <c r="D382" s="58"/>
      <c r="E382" s="58"/>
      <c r="F382" s="58"/>
      <c r="G382" s="58"/>
      <c r="H382" s="58"/>
      <c r="I382" s="58"/>
      <c r="J382" s="58"/>
      <c r="K382" s="58"/>
      <c r="L382" s="33" t="s">
        <v>11</v>
      </c>
      <c r="M382" s="33" t="s">
        <v>597</v>
      </c>
      <c r="N382" s="33" t="s">
        <v>11</v>
      </c>
      <c r="O382" s="33" t="s">
        <v>597</v>
      </c>
      <c r="P382" s="33" t="s">
        <v>11</v>
      </c>
      <c r="Q382" s="34" t="s">
        <v>597</v>
      </c>
    </row>
    <row r="383" spans="2:17" ht="15.75" thickBot="1" x14ac:dyDescent="0.3">
      <c r="B383" s="35">
        <v>1</v>
      </c>
      <c r="C383" s="34">
        <v>2</v>
      </c>
      <c r="D383" s="34">
        <v>3</v>
      </c>
      <c r="E383" s="34">
        <v>4</v>
      </c>
      <c r="F383" s="34">
        <v>5</v>
      </c>
      <c r="G383" s="34">
        <v>6</v>
      </c>
      <c r="H383" s="34">
        <v>7</v>
      </c>
      <c r="I383" s="34">
        <v>8</v>
      </c>
      <c r="J383" s="34">
        <v>9</v>
      </c>
      <c r="K383" s="34">
        <v>10</v>
      </c>
      <c r="L383" s="34">
        <v>11</v>
      </c>
      <c r="M383" s="34">
        <v>12</v>
      </c>
      <c r="N383" s="33">
        <v>13</v>
      </c>
      <c r="O383" s="33">
        <v>14</v>
      </c>
      <c r="P383" s="33">
        <v>15</v>
      </c>
      <c r="Q383" s="34">
        <v>16</v>
      </c>
    </row>
    <row r="384" spans="2:17" ht="15.75" thickBot="1" x14ac:dyDescent="0.3">
      <c r="B384" s="35">
        <v>1</v>
      </c>
      <c r="C384" s="34" t="s">
        <v>598</v>
      </c>
      <c r="D384" s="34" t="s">
        <v>598</v>
      </c>
      <c r="E384" s="40">
        <v>45413</v>
      </c>
      <c r="F384" s="34" t="s">
        <v>1288</v>
      </c>
      <c r="G384" s="34" t="s">
        <v>1289</v>
      </c>
      <c r="H384" s="34" t="s">
        <v>40</v>
      </c>
      <c r="I384" s="34" t="s">
        <v>1000</v>
      </c>
      <c r="J384" s="34"/>
      <c r="K384" s="34"/>
      <c r="L384" s="34" t="s">
        <v>14</v>
      </c>
      <c r="M384" s="34" t="s">
        <v>14</v>
      </c>
      <c r="N384" s="33" t="s">
        <v>14</v>
      </c>
      <c r="O384" s="33" t="s">
        <v>14</v>
      </c>
      <c r="P384" s="33" t="s">
        <v>14</v>
      </c>
      <c r="Q384" s="34" t="s">
        <v>14</v>
      </c>
    </row>
    <row r="385" spans="2:17" ht="15.75" thickBot="1" x14ac:dyDescent="0.3">
      <c r="B385" s="35">
        <v>2</v>
      </c>
      <c r="C385" s="34" t="s">
        <v>598</v>
      </c>
      <c r="D385" s="34" t="s">
        <v>598</v>
      </c>
      <c r="E385" s="40">
        <v>45414</v>
      </c>
      <c r="F385" s="34" t="s">
        <v>1290</v>
      </c>
      <c r="G385" s="34" t="s">
        <v>1291</v>
      </c>
      <c r="H385" s="34" t="s">
        <v>40</v>
      </c>
      <c r="I385" s="34" t="s">
        <v>1000</v>
      </c>
      <c r="J385" s="34">
        <v>5000</v>
      </c>
      <c r="K385" s="34">
        <v>495000</v>
      </c>
      <c r="L385" s="34" t="s">
        <v>14</v>
      </c>
      <c r="M385" s="34" t="s">
        <v>14</v>
      </c>
      <c r="N385" s="33" t="s">
        <v>14</v>
      </c>
      <c r="O385" s="33" t="s">
        <v>14</v>
      </c>
      <c r="P385" s="33" t="s">
        <v>14</v>
      </c>
      <c r="Q385" s="34" t="s">
        <v>14</v>
      </c>
    </row>
    <row r="386" spans="2:17" ht="26.25" thickBot="1" x14ac:dyDescent="0.3">
      <c r="B386" s="35">
        <v>3</v>
      </c>
      <c r="C386" s="34" t="s">
        <v>598</v>
      </c>
      <c r="D386" s="34" t="s">
        <v>598</v>
      </c>
      <c r="E386" s="40">
        <v>45414</v>
      </c>
      <c r="F386" s="34" t="s">
        <v>1136</v>
      </c>
      <c r="G386" s="34" t="s">
        <v>1292</v>
      </c>
      <c r="H386" s="34" t="s">
        <v>40</v>
      </c>
      <c r="I386" s="34" t="s">
        <v>1000</v>
      </c>
      <c r="J386" s="34"/>
      <c r="K386" s="34">
        <v>100000</v>
      </c>
      <c r="L386" s="34" t="s">
        <v>14</v>
      </c>
      <c r="M386" s="34" t="s">
        <v>14</v>
      </c>
      <c r="N386" s="33" t="s">
        <v>14</v>
      </c>
      <c r="O386" s="33" t="s">
        <v>14</v>
      </c>
      <c r="P386" s="33" t="s">
        <v>14</v>
      </c>
      <c r="Q386" s="34" t="s">
        <v>14</v>
      </c>
    </row>
    <row r="387" spans="2:17" ht="15.75" thickBot="1" x14ac:dyDescent="0.3">
      <c r="B387" s="35">
        <v>4</v>
      </c>
      <c r="C387" s="34" t="s">
        <v>598</v>
      </c>
      <c r="D387" s="34" t="s">
        <v>598</v>
      </c>
      <c r="E387" s="40">
        <v>45414</v>
      </c>
      <c r="F387" s="34" t="s">
        <v>294</v>
      </c>
      <c r="G387" s="34" t="s">
        <v>1293</v>
      </c>
      <c r="H387" s="34" t="s">
        <v>40</v>
      </c>
      <c r="I387" s="34" t="s">
        <v>1000</v>
      </c>
      <c r="J387" s="34"/>
      <c r="K387" s="34"/>
      <c r="L387" s="34" t="s">
        <v>14</v>
      </c>
      <c r="M387" s="34" t="s">
        <v>14</v>
      </c>
      <c r="N387" s="33" t="s">
        <v>14</v>
      </c>
      <c r="O387" s="33" t="s">
        <v>14</v>
      </c>
      <c r="P387" s="33" t="s">
        <v>14</v>
      </c>
      <c r="Q387" s="34" t="s">
        <v>14</v>
      </c>
    </row>
    <row r="388" spans="2:17" ht="26.25" thickBot="1" x14ac:dyDescent="0.3">
      <c r="B388" s="35">
        <v>5</v>
      </c>
      <c r="C388" s="34" t="s">
        <v>598</v>
      </c>
      <c r="D388" s="34" t="s">
        <v>598</v>
      </c>
      <c r="E388" s="40">
        <v>45415</v>
      </c>
      <c r="F388" s="34" t="s">
        <v>170</v>
      </c>
      <c r="G388" s="34" t="s">
        <v>1294</v>
      </c>
      <c r="H388" s="34" t="s">
        <v>40</v>
      </c>
      <c r="I388" s="34" t="s">
        <v>1000</v>
      </c>
      <c r="J388" s="34">
        <v>50000</v>
      </c>
      <c r="K388" s="34">
        <v>4950000</v>
      </c>
      <c r="L388" s="34" t="s">
        <v>14</v>
      </c>
      <c r="M388" s="34" t="s">
        <v>14</v>
      </c>
      <c r="N388" s="33" t="s">
        <v>14</v>
      </c>
      <c r="O388" s="33" t="s">
        <v>14</v>
      </c>
      <c r="P388" s="33" t="s">
        <v>14</v>
      </c>
      <c r="Q388" s="34" t="s">
        <v>14</v>
      </c>
    </row>
    <row r="389" spans="2:17" ht="15.75" thickBot="1" x14ac:dyDescent="0.3">
      <c r="B389" s="35">
        <v>6</v>
      </c>
      <c r="C389" s="34" t="s">
        <v>598</v>
      </c>
      <c r="D389" s="34" t="s">
        <v>598</v>
      </c>
      <c r="E389" s="40">
        <v>45415</v>
      </c>
      <c r="F389" s="34" t="s">
        <v>285</v>
      </c>
      <c r="G389" s="34" t="s">
        <v>1295</v>
      </c>
      <c r="H389" s="34" t="s">
        <v>40</v>
      </c>
      <c r="I389" s="34" t="s">
        <v>1000</v>
      </c>
      <c r="J389" s="34">
        <v>200000</v>
      </c>
      <c r="K389" s="34">
        <v>1800000</v>
      </c>
      <c r="L389" s="34" t="s">
        <v>14</v>
      </c>
      <c r="M389" s="34" t="s">
        <v>14</v>
      </c>
      <c r="N389" s="33" t="s">
        <v>14</v>
      </c>
      <c r="O389" s="33" t="s">
        <v>14</v>
      </c>
      <c r="P389" s="33" t="s">
        <v>14</v>
      </c>
      <c r="Q389" s="34" t="s">
        <v>14</v>
      </c>
    </row>
    <row r="390" spans="2:17" ht="15.75" thickBot="1" x14ac:dyDescent="0.3">
      <c r="B390" s="35">
        <v>7</v>
      </c>
      <c r="C390" s="34" t="s">
        <v>598</v>
      </c>
      <c r="D390" s="34" t="s">
        <v>598</v>
      </c>
      <c r="E390" s="40">
        <v>45415</v>
      </c>
      <c r="F390" s="34" t="s">
        <v>1296</v>
      </c>
      <c r="G390" s="34" t="s">
        <v>1297</v>
      </c>
      <c r="H390" s="34" t="s">
        <v>40</v>
      </c>
      <c r="I390" s="34" t="s">
        <v>1000</v>
      </c>
      <c r="J390" s="34">
        <v>200000</v>
      </c>
      <c r="K390" s="34">
        <v>1800000</v>
      </c>
      <c r="L390" s="34"/>
      <c r="M390" s="34"/>
      <c r="N390" s="33"/>
      <c r="O390" s="33"/>
      <c r="P390" s="33"/>
      <c r="Q390" s="34"/>
    </row>
    <row r="391" spans="2:17" ht="15.75" thickBot="1" x14ac:dyDescent="0.3">
      <c r="B391" s="35">
        <v>8</v>
      </c>
      <c r="C391" s="34" t="s">
        <v>598</v>
      </c>
      <c r="D391" s="34" t="s">
        <v>598</v>
      </c>
      <c r="E391" s="40">
        <v>45415</v>
      </c>
      <c r="F391" s="34" t="s">
        <v>252</v>
      </c>
      <c r="G391" s="34" t="s">
        <v>1298</v>
      </c>
      <c r="H391" s="34" t="s">
        <v>40</v>
      </c>
      <c r="I391" s="34" t="s">
        <v>1000</v>
      </c>
      <c r="J391" s="34"/>
      <c r="K391" s="34"/>
      <c r="L391" s="34"/>
      <c r="M391" s="34"/>
      <c r="N391" s="33"/>
      <c r="O391" s="33"/>
      <c r="P391" s="33"/>
      <c r="Q391" s="34"/>
    </row>
    <row r="392" spans="2:17" ht="15.75" thickBot="1" x14ac:dyDescent="0.3">
      <c r="B392" s="35">
        <v>9</v>
      </c>
      <c r="C392" s="34" t="s">
        <v>598</v>
      </c>
      <c r="D392" s="34" t="s">
        <v>598</v>
      </c>
      <c r="E392" s="40">
        <v>45415</v>
      </c>
      <c r="F392" s="34" t="s">
        <v>1299</v>
      </c>
      <c r="G392" s="34" t="s">
        <v>1300</v>
      </c>
      <c r="H392" s="34" t="s">
        <v>40</v>
      </c>
      <c r="I392" s="34" t="s">
        <v>1000</v>
      </c>
      <c r="J392" s="34">
        <v>5000</v>
      </c>
      <c r="K392" s="34">
        <v>95000</v>
      </c>
      <c r="L392" s="34"/>
      <c r="M392" s="34"/>
      <c r="N392" s="33"/>
      <c r="O392" s="33"/>
      <c r="P392" s="33"/>
      <c r="Q392" s="34"/>
    </row>
    <row r="393" spans="2:17" ht="51.75" thickBot="1" x14ac:dyDescent="0.3">
      <c r="B393" s="35">
        <v>10</v>
      </c>
      <c r="C393" s="34" t="s">
        <v>598</v>
      </c>
      <c r="D393" s="34" t="s">
        <v>598</v>
      </c>
      <c r="E393" s="40">
        <v>45416</v>
      </c>
      <c r="F393" s="34" t="s">
        <v>1301</v>
      </c>
      <c r="G393" s="34" t="s">
        <v>1302</v>
      </c>
      <c r="H393" s="34" t="s">
        <v>40</v>
      </c>
      <c r="I393" s="34" t="s">
        <v>1000</v>
      </c>
      <c r="J393" s="34">
        <v>100000</v>
      </c>
      <c r="K393" s="34">
        <v>400000</v>
      </c>
      <c r="L393" s="34"/>
      <c r="M393" s="34"/>
      <c r="N393" s="33"/>
      <c r="O393" s="33"/>
      <c r="P393" s="33"/>
      <c r="Q393" s="34"/>
    </row>
    <row r="394" spans="2:17" ht="15.75" thickBot="1" x14ac:dyDescent="0.3">
      <c r="B394" s="35">
        <v>11</v>
      </c>
      <c r="C394" s="34" t="s">
        <v>598</v>
      </c>
      <c r="D394" s="34" t="s">
        <v>598</v>
      </c>
      <c r="E394" s="40">
        <v>45416</v>
      </c>
      <c r="F394" s="34" t="s">
        <v>1198</v>
      </c>
      <c r="G394" s="34" t="s">
        <v>1027</v>
      </c>
      <c r="H394" s="34" t="s">
        <v>40</v>
      </c>
      <c r="I394" s="34" t="s">
        <v>1000</v>
      </c>
      <c r="J394" s="34">
        <v>20000</v>
      </c>
      <c r="K394" s="34">
        <v>480000</v>
      </c>
      <c r="L394" s="34"/>
      <c r="M394" s="34"/>
      <c r="N394" s="33"/>
      <c r="O394" s="33"/>
      <c r="P394" s="33"/>
      <c r="Q394" s="34"/>
    </row>
    <row r="395" spans="2:17" ht="15.75" thickBot="1" x14ac:dyDescent="0.3">
      <c r="B395" s="35">
        <v>12</v>
      </c>
      <c r="C395" s="34" t="s">
        <v>598</v>
      </c>
      <c r="D395" s="34" t="s">
        <v>598</v>
      </c>
      <c r="E395" s="40">
        <v>45416</v>
      </c>
      <c r="F395" s="34" t="s">
        <v>1252</v>
      </c>
      <c r="G395" s="34" t="s">
        <v>1303</v>
      </c>
      <c r="H395" s="34" t="s">
        <v>40</v>
      </c>
      <c r="I395" s="34" t="s">
        <v>1000</v>
      </c>
      <c r="J395" s="34">
        <v>20000</v>
      </c>
      <c r="K395" s="34">
        <v>480000</v>
      </c>
      <c r="L395" s="34"/>
      <c r="M395" s="34"/>
      <c r="N395" s="33"/>
      <c r="O395" s="33"/>
      <c r="P395" s="33"/>
      <c r="Q395" s="34"/>
    </row>
    <row r="396" spans="2:17" ht="26.25" thickBot="1" x14ac:dyDescent="0.3">
      <c r="B396" s="35">
        <v>13</v>
      </c>
      <c r="C396" s="34" t="s">
        <v>598</v>
      </c>
      <c r="D396" s="34" t="s">
        <v>598</v>
      </c>
      <c r="E396" s="40">
        <v>45416</v>
      </c>
      <c r="F396" s="34" t="s">
        <v>1304</v>
      </c>
      <c r="G396" s="34" t="s">
        <v>1305</v>
      </c>
      <c r="H396" s="34" t="s">
        <v>40</v>
      </c>
      <c r="I396" s="34" t="s">
        <v>1000</v>
      </c>
      <c r="J396" s="34">
        <v>50000</v>
      </c>
      <c r="K396" s="34">
        <v>950000</v>
      </c>
      <c r="L396" s="34"/>
      <c r="M396" s="34"/>
      <c r="N396" s="33"/>
      <c r="O396" s="33"/>
      <c r="P396" s="33"/>
      <c r="Q396" s="34"/>
    </row>
    <row r="397" spans="2:17" ht="15.75" thickBot="1" x14ac:dyDescent="0.3">
      <c r="B397" s="35">
        <v>14</v>
      </c>
      <c r="C397" s="34" t="s">
        <v>598</v>
      </c>
      <c r="D397" s="34" t="s">
        <v>598</v>
      </c>
      <c r="E397" s="40">
        <v>45416</v>
      </c>
      <c r="F397" s="34" t="s">
        <v>169</v>
      </c>
      <c r="G397" s="34" t="s">
        <v>1306</v>
      </c>
      <c r="H397" s="34" t="s">
        <v>40</v>
      </c>
      <c r="I397" s="34" t="s">
        <v>1000</v>
      </c>
      <c r="J397" s="34">
        <v>10000</v>
      </c>
      <c r="K397" s="34">
        <v>290000</v>
      </c>
      <c r="L397" s="34"/>
      <c r="M397" s="34"/>
      <c r="N397" s="33"/>
      <c r="O397" s="33"/>
      <c r="P397" s="33"/>
      <c r="Q397" s="34"/>
    </row>
    <row r="398" spans="2:17" ht="26.25" thickBot="1" x14ac:dyDescent="0.3">
      <c r="B398" s="35">
        <v>15</v>
      </c>
      <c r="C398" s="34" t="s">
        <v>598</v>
      </c>
      <c r="D398" s="34" t="s">
        <v>598</v>
      </c>
      <c r="E398" s="40">
        <v>45417</v>
      </c>
      <c r="F398" s="34" t="s">
        <v>1307</v>
      </c>
      <c r="G398" s="34" t="s">
        <v>1308</v>
      </c>
      <c r="H398" s="34" t="s">
        <v>40</v>
      </c>
      <c r="I398" s="34" t="s">
        <v>1000</v>
      </c>
      <c r="J398" s="34">
        <v>5000</v>
      </c>
      <c r="K398" s="34">
        <v>495000</v>
      </c>
      <c r="L398" s="34"/>
      <c r="M398" s="34"/>
      <c r="N398" s="33"/>
      <c r="O398" s="33"/>
      <c r="P398" s="33"/>
      <c r="Q398" s="34"/>
    </row>
    <row r="399" spans="2:17" ht="15.75" thickBot="1" x14ac:dyDescent="0.3">
      <c r="B399" s="35">
        <v>16</v>
      </c>
      <c r="C399" s="34" t="s">
        <v>598</v>
      </c>
      <c r="D399" s="34" t="s">
        <v>598</v>
      </c>
      <c r="E399" s="40">
        <v>45417</v>
      </c>
      <c r="F399" s="34" t="s">
        <v>1309</v>
      </c>
      <c r="G399" s="34" t="s">
        <v>1310</v>
      </c>
      <c r="H399" s="34" t="s">
        <v>40</v>
      </c>
      <c r="I399" s="34" t="s">
        <v>1000</v>
      </c>
      <c r="J399" s="34">
        <v>50000</v>
      </c>
      <c r="K399" s="34">
        <v>950000</v>
      </c>
      <c r="L399" s="34"/>
      <c r="M399" s="34"/>
      <c r="N399" s="33"/>
      <c r="O399" s="33"/>
      <c r="P399" s="33"/>
      <c r="Q399" s="34"/>
    </row>
    <row r="400" spans="2:17" ht="39" thickBot="1" x14ac:dyDescent="0.3">
      <c r="B400" s="35">
        <v>17</v>
      </c>
      <c r="C400" s="34" t="s">
        <v>598</v>
      </c>
      <c r="D400" s="34" t="s">
        <v>598</v>
      </c>
      <c r="E400" s="40">
        <v>45418</v>
      </c>
      <c r="F400" s="34" t="s">
        <v>1311</v>
      </c>
      <c r="G400" s="34" t="s">
        <v>1312</v>
      </c>
      <c r="H400" s="34" t="s">
        <v>40</v>
      </c>
      <c r="I400" s="34" t="s">
        <v>1000</v>
      </c>
      <c r="J400" s="34">
        <v>100000</v>
      </c>
      <c r="K400" s="34">
        <v>900000</v>
      </c>
      <c r="L400" s="34"/>
      <c r="M400" s="34"/>
      <c r="N400" s="33"/>
      <c r="O400" s="33"/>
      <c r="P400" s="33"/>
      <c r="Q400" s="34"/>
    </row>
    <row r="401" spans="2:17" ht="39" thickBot="1" x14ac:dyDescent="0.3">
      <c r="B401" s="35">
        <v>18</v>
      </c>
      <c r="C401" s="34" t="s">
        <v>598</v>
      </c>
      <c r="D401" s="34" t="s">
        <v>598</v>
      </c>
      <c r="E401" s="40">
        <v>45420</v>
      </c>
      <c r="F401" s="34" t="s">
        <v>1168</v>
      </c>
      <c r="G401" s="34" t="s">
        <v>1313</v>
      </c>
      <c r="H401" s="34" t="s">
        <v>40</v>
      </c>
      <c r="I401" s="34" t="s">
        <v>1000</v>
      </c>
      <c r="J401" s="34">
        <v>50000</v>
      </c>
      <c r="K401" s="34">
        <v>4950000</v>
      </c>
      <c r="L401" s="34"/>
      <c r="M401" s="34"/>
      <c r="N401" s="33"/>
      <c r="O401" s="33"/>
      <c r="P401" s="33"/>
      <c r="Q401" s="34"/>
    </row>
    <row r="402" spans="2:17" ht="26.25" thickBot="1" x14ac:dyDescent="0.3">
      <c r="B402" s="35">
        <v>19</v>
      </c>
      <c r="C402" s="34" t="s">
        <v>598</v>
      </c>
      <c r="D402" s="34" t="s">
        <v>598</v>
      </c>
      <c r="E402" s="40">
        <v>45422</v>
      </c>
      <c r="F402" s="34" t="s">
        <v>681</v>
      </c>
      <c r="G402" s="34" t="s">
        <v>1314</v>
      </c>
      <c r="H402" s="34" t="s">
        <v>40</v>
      </c>
      <c r="I402" s="34" t="s">
        <v>1000</v>
      </c>
      <c r="J402" s="34">
        <v>0</v>
      </c>
      <c r="K402" s="34">
        <v>0</v>
      </c>
      <c r="L402" s="34"/>
      <c r="M402" s="34"/>
      <c r="N402" s="33"/>
      <c r="O402" s="33"/>
      <c r="P402" s="33"/>
      <c r="Q402" s="34"/>
    </row>
    <row r="403" spans="2:17" ht="15.75" thickBot="1" x14ac:dyDescent="0.3">
      <c r="B403" s="35">
        <v>20</v>
      </c>
      <c r="C403" s="34" t="s">
        <v>598</v>
      </c>
      <c r="D403" s="34" t="s">
        <v>598</v>
      </c>
      <c r="E403" s="40">
        <v>45424</v>
      </c>
      <c r="F403" s="34" t="s">
        <v>1087</v>
      </c>
      <c r="G403" s="34" t="s">
        <v>1315</v>
      </c>
      <c r="H403" s="34" t="s">
        <v>40</v>
      </c>
      <c r="I403" s="34" t="s">
        <v>1000</v>
      </c>
      <c r="J403" s="34">
        <v>10000</v>
      </c>
      <c r="K403" s="34">
        <v>1990000</v>
      </c>
      <c r="L403" s="34"/>
      <c r="M403" s="34"/>
      <c r="N403" s="33"/>
      <c r="O403" s="33"/>
      <c r="P403" s="33"/>
      <c r="Q403" s="34"/>
    </row>
    <row r="404" spans="2:17" ht="39" thickBot="1" x14ac:dyDescent="0.3">
      <c r="B404" s="35">
        <v>21</v>
      </c>
      <c r="C404" s="34" t="s">
        <v>598</v>
      </c>
      <c r="D404" s="34" t="s">
        <v>598</v>
      </c>
      <c r="E404" s="40">
        <v>45425</v>
      </c>
      <c r="F404" s="34" t="s">
        <v>828</v>
      </c>
      <c r="G404" s="34" t="s">
        <v>1316</v>
      </c>
      <c r="H404" s="34" t="s">
        <v>40</v>
      </c>
      <c r="I404" s="34" t="s">
        <v>1000</v>
      </c>
      <c r="J404" s="34">
        <v>0</v>
      </c>
      <c r="K404" s="34">
        <v>0</v>
      </c>
      <c r="L404" s="34"/>
      <c r="M404" s="34"/>
      <c r="N404" s="33"/>
      <c r="O404" s="33"/>
      <c r="P404" s="33"/>
      <c r="Q404" s="34"/>
    </row>
    <row r="405" spans="2:17" ht="26.25" thickBot="1" x14ac:dyDescent="0.3">
      <c r="B405" s="35">
        <v>22</v>
      </c>
      <c r="C405" s="34" t="s">
        <v>598</v>
      </c>
      <c r="D405" s="34" t="s">
        <v>598</v>
      </c>
      <c r="E405" s="40">
        <v>45426</v>
      </c>
      <c r="F405" s="34" t="s">
        <v>1317</v>
      </c>
      <c r="G405" s="34" t="s">
        <v>1077</v>
      </c>
      <c r="H405" s="34" t="s">
        <v>40</v>
      </c>
      <c r="I405" s="34" t="s">
        <v>1000</v>
      </c>
      <c r="J405" s="34">
        <v>20000</v>
      </c>
      <c r="K405" s="34">
        <v>480000</v>
      </c>
      <c r="L405" s="34"/>
      <c r="M405" s="34"/>
      <c r="N405" s="33"/>
      <c r="O405" s="33"/>
      <c r="P405" s="33"/>
      <c r="Q405" s="34"/>
    </row>
    <row r="406" spans="2:17" ht="26.25" thickBot="1" x14ac:dyDescent="0.3">
      <c r="B406" s="35">
        <v>23</v>
      </c>
      <c r="C406" s="34" t="s">
        <v>598</v>
      </c>
      <c r="D406" s="34" t="s">
        <v>598</v>
      </c>
      <c r="E406" s="40">
        <v>45426</v>
      </c>
      <c r="F406" s="34" t="s">
        <v>1318</v>
      </c>
      <c r="G406" s="34" t="s">
        <v>1319</v>
      </c>
      <c r="H406" s="34" t="s">
        <v>40</v>
      </c>
      <c r="I406" s="34" t="s">
        <v>1000</v>
      </c>
      <c r="J406" s="34">
        <v>20000</v>
      </c>
      <c r="K406" s="34">
        <v>980000</v>
      </c>
      <c r="L406" s="34"/>
      <c r="M406" s="34"/>
      <c r="N406" s="33"/>
      <c r="O406" s="33"/>
      <c r="P406" s="33"/>
      <c r="Q406" s="34"/>
    </row>
    <row r="407" spans="2:17" ht="26.25" thickBot="1" x14ac:dyDescent="0.3">
      <c r="B407" s="35">
        <v>24</v>
      </c>
      <c r="C407" s="34" t="s">
        <v>598</v>
      </c>
      <c r="D407" s="34" t="s">
        <v>598</v>
      </c>
      <c r="E407" s="40">
        <v>45427</v>
      </c>
      <c r="F407" s="34" t="s">
        <v>1320</v>
      </c>
      <c r="G407" s="34" t="s">
        <v>1321</v>
      </c>
      <c r="H407" s="34" t="s">
        <v>40</v>
      </c>
      <c r="I407" s="34" t="s">
        <v>1000</v>
      </c>
      <c r="J407" s="34">
        <v>10000</v>
      </c>
      <c r="K407" s="34">
        <v>90000</v>
      </c>
      <c r="L407" s="34"/>
      <c r="M407" s="34"/>
      <c r="N407" s="33"/>
      <c r="O407" s="33"/>
      <c r="P407" s="33"/>
      <c r="Q407" s="34"/>
    </row>
    <row r="408" spans="2:17" ht="39" thickBot="1" x14ac:dyDescent="0.3">
      <c r="B408" s="35">
        <v>25</v>
      </c>
      <c r="C408" s="34" t="s">
        <v>598</v>
      </c>
      <c r="D408" s="34" t="s">
        <v>598</v>
      </c>
      <c r="E408" s="40">
        <v>45427</v>
      </c>
      <c r="F408" s="34" t="s">
        <v>1322</v>
      </c>
      <c r="G408" s="34" t="s">
        <v>1323</v>
      </c>
      <c r="H408" s="34" t="s">
        <v>40</v>
      </c>
      <c r="I408" s="34" t="s">
        <v>1000</v>
      </c>
      <c r="J408" s="34">
        <v>10000</v>
      </c>
      <c r="K408" s="34">
        <v>90000</v>
      </c>
      <c r="L408" s="34"/>
      <c r="M408" s="34"/>
      <c r="N408" s="33"/>
      <c r="O408" s="33"/>
      <c r="P408" s="33"/>
      <c r="Q408" s="34"/>
    </row>
    <row r="409" spans="2:17" ht="26.25" thickBot="1" x14ac:dyDescent="0.3">
      <c r="B409" s="35">
        <v>26</v>
      </c>
      <c r="C409" s="34" t="s">
        <v>598</v>
      </c>
      <c r="D409" s="34" t="s">
        <v>598</v>
      </c>
      <c r="E409" s="40">
        <v>45428</v>
      </c>
      <c r="F409" s="34" t="s">
        <v>1324</v>
      </c>
      <c r="G409" s="34" t="s">
        <v>1325</v>
      </c>
      <c r="H409" s="34" t="s">
        <v>40</v>
      </c>
      <c r="I409" s="34" t="s">
        <v>1000</v>
      </c>
      <c r="J409" s="34">
        <v>20000</v>
      </c>
      <c r="K409" s="34">
        <v>80000</v>
      </c>
      <c r="L409" s="34"/>
      <c r="M409" s="34"/>
      <c r="N409" s="33"/>
      <c r="O409" s="33"/>
      <c r="P409" s="33"/>
      <c r="Q409" s="34"/>
    </row>
    <row r="410" spans="2:17" ht="26.25" thickBot="1" x14ac:dyDescent="0.3">
      <c r="B410" s="35">
        <v>27</v>
      </c>
      <c r="C410" s="34" t="s">
        <v>598</v>
      </c>
      <c r="D410" s="34" t="s">
        <v>598</v>
      </c>
      <c r="E410" s="40">
        <v>45429</v>
      </c>
      <c r="F410" s="34" t="s">
        <v>1326</v>
      </c>
      <c r="G410" s="34" t="s">
        <v>1077</v>
      </c>
      <c r="H410" s="34" t="s">
        <v>40</v>
      </c>
      <c r="I410" s="34" t="s">
        <v>1000</v>
      </c>
      <c r="J410" s="34">
        <v>20000</v>
      </c>
      <c r="K410" s="34">
        <v>80000</v>
      </c>
      <c r="L410" s="34"/>
      <c r="M410" s="34"/>
      <c r="N410" s="33"/>
      <c r="O410" s="33"/>
      <c r="P410" s="33"/>
      <c r="Q410" s="34"/>
    </row>
    <row r="411" spans="2:17" ht="26.25" thickBot="1" x14ac:dyDescent="0.3">
      <c r="B411" s="35">
        <v>28</v>
      </c>
      <c r="C411" s="34" t="s">
        <v>598</v>
      </c>
      <c r="D411" s="34" t="s">
        <v>598</v>
      </c>
      <c r="E411" s="40">
        <v>45429</v>
      </c>
      <c r="F411" s="34" t="s">
        <v>1327</v>
      </c>
      <c r="G411" s="34" t="s">
        <v>1328</v>
      </c>
      <c r="H411" s="34" t="s">
        <v>40</v>
      </c>
      <c r="I411" s="34" t="s">
        <v>1000</v>
      </c>
      <c r="J411" s="34">
        <v>10000</v>
      </c>
      <c r="K411" s="34">
        <v>490000</v>
      </c>
      <c r="L411" s="34"/>
      <c r="M411" s="34"/>
      <c r="N411" s="33"/>
      <c r="O411" s="33"/>
      <c r="P411" s="33"/>
      <c r="Q411" s="34"/>
    </row>
    <row r="412" spans="2:17" ht="26.25" thickBot="1" x14ac:dyDescent="0.3">
      <c r="B412" s="35">
        <v>29</v>
      </c>
      <c r="C412" s="34" t="s">
        <v>598</v>
      </c>
      <c r="D412" s="34" t="s">
        <v>598</v>
      </c>
      <c r="E412" s="40">
        <v>45430</v>
      </c>
      <c r="F412" s="34" t="s">
        <v>1329</v>
      </c>
      <c r="G412" s="34" t="s">
        <v>1330</v>
      </c>
      <c r="H412" s="34" t="s">
        <v>40</v>
      </c>
      <c r="I412" s="34" t="s">
        <v>1000</v>
      </c>
      <c r="J412" s="34">
        <v>5000</v>
      </c>
      <c r="K412" s="34">
        <v>95000</v>
      </c>
      <c r="L412" s="34"/>
      <c r="M412" s="34"/>
      <c r="N412" s="33"/>
      <c r="O412" s="33"/>
      <c r="P412" s="33"/>
      <c r="Q412" s="34"/>
    </row>
    <row r="413" spans="2:17" ht="15.75" thickBot="1" x14ac:dyDescent="0.3">
      <c r="B413" s="35">
        <v>30</v>
      </c>
      <c r="C413" s="34" t="s">
        <v>598</v>
      </c>
      <c r="D413" s="34" t="s">
        <v>598</v>
      </c>
      <c r="E413" s="34" t="s">
        <v>1331</v>
      </c>
      <c r="F413" s="34" t="s">
        <v>1332</v>
      </c>
      <c r="G413" s="34" t="s">
        <v>1333</v>
      </c>
      <c r="H413" s="34" t="s">
        <v>40</v>
      </c>
      <c r="I413" s="34" t="s">
        <v>1000</v>
      </c>
      <c r="J413" s="34">
        <v>0</v>
      </c>
      <c r="K413" s="34">
        <v>0</v>
      </c>
      <c r="L413" s="34"/>
      <c r="M413" s="34"/>
      <c r="N413" s="33"/>
      <c r="O413" s="33"/>
      <c r="P413" s="33"/>
      <c r="Q413" s="34"/>
    </row>
    <row r="414" spans="2:17" ht="26.25" thickBot="1" x14ac:dyDescent="0.3">
      <c r="B414" s="35">
        <v>31</v>
      </c>
      <c r="C414" s="34" t="s">
        <v>598</v>
      </c>
      <c r="D414" s="34" t="s">
        <v>598</v>
      </c>
      <c r="E414" s="40">
        <v>45430</v>
      </c>
      <c r="F414" s="34" t="s">
        <v>752</v>
      </c>
      <c r="G414" s="34" t="s">
        <v>1334</v>
      </c>
      <c r="H414" s="34" t="s">
        <v>40</v>
      </c>
      <c r="I414" s="34" t="s">
        <v>1000</v>
      </c>
      <c r="J414" s="34">
        <v>100000</v>
      </c>
      <c r="K414" s="34">
        <v>1900000</v>
      </c>
      <c r="L414" s="34"/>
      <c r="M414" s="34"/>
      <c r="N414" s="33"/>
      <c r="O414" s="33"/>
      <c r="P414" s="33"/>
      <c r="Q414" s="34"/>
    </row>
    <row r="415" spans="2:17" ht="26.25" thickBot="1" x14ac:dyDescent="0.3">
      <c r="B415" s="35">
        <v>32</v>
      </c>
      <c r="C415" s="34" t="s">
        <v>598</v>
      </c>
      <c r="D415" s="34" t="s">
        <v>598</v>
      </c>
      <c r="E415" s="40">
        <v>45430</v>
      </c>
      <c r="F415" s="34" t="s">
        <v>161</v>
      </c>
      <c r="G415" s="34" t="s">
        <v>1335</v>
      </c>
      <c r="H415" s="34" t="s">
        <v>40</v>
      </c>
      <c r="I415" s="34" t="s">
        <v>1000</v>
      </c>
      <c r="J415" s="34">
        <v>20000</v>
      </c>
      <c r="K415" s="34">
        <v>180000</v>
      </c>
      <c r="L415" s="34"/>
      <c r="M415" s="34"/>
      <c r="N415" s="33"/>
      <c r="O415" s="33"/>
      <c r="P415" s="33"/>
      <c r="Q415" s="34"/>
    </row>
    <row r="416" spans="2:17" ht="39" thickBot="1" x14ac:dyDescent="0.3">
      <c r="B416" s="35">
        <v>33</v>
      </c>
      <c r="C416" s="34" t="s">
        <v>598</v>
      </c>
      <c r="D416" s="34" t="s">
        <v>598</v>
      </c>
      <c r="E416" s="40">
        <v>45431</v>
      </c>
      <c r="F416" s="34" t="s">
        <v>749</v>
      </c>
      <c r="G416" s="34" t="s">
        <v>1336</v>
      </c>
      <c r="H416" s="34" t="s">
        <v>40</v>
      </c>
      <c r="I416" s="34" t="s">
        <v>1000</v>
      </c>
      <c r="J416" s="34">
        <v>50000</v>
      </c>
      <c r="K416" s="34">
        <v>450000</v>
      </c>
      <c r="L416" s="34"/>
      <c r="M416" s="34"/>
      <c r="N416" s="33"/>
      <c r="O416" s="33"/>
      <c r="P416" s="33"/>
      <c r="Q416" s="34"/>
    </row>
    <row r="417" spans="2:17" ht="39" thickBot="1" x14ac:dyDescent="0.3">
      <c r="B417" s="35">
        <v>34</v>
      </c>
      <c r="C417" s="34" t="s">
        <v>598</v>
      </c>
      <c r="D417" s="34" t="s">
        <v>598</v>
      </c>
      <c r="E417" s="40">
        <v>45432</v>
      </c>
      <c r="F417" s="34" t="s">
        <v>1337</v>
      </c>
      <c r="G417" s="34" t="s">
        <v>1338</v>
      </c>
      <c r="H417" s="34" t="s">
        <v>40</v>
      </c>
      <c r="I417" s="34" t="s">
        <v>1000</v>
      </c>
      <c r="J417" s="34">
        <v>5000</v>
      </c>
      <c r="K417" s="34">
        <v>495000</v>
      </c>
      <c r="L417" s="34"/>
      <c r="M417" s="34"/>
      <c r="N417" s="33"/>
      <c r="O417" s="33"/>
      <c r="P417" s="33"/>
      <c r="Q417" s="34"/>
    </row>
    <row r="418" spans="2:17" ht="15.75" thickBot="1" x14ac:dyDescent="0.3">
      <c r="B418" s="35">
        <v>35</v>
      </c>
      <c r="C418" s="34" t="s">
        <v>598</v>
      </c>
      <c r="D418" s="34" t="s">
        <v>598</v>
      </c>
      <c r="E418" s="40">
        <v>45432</v>
      </c>
      <c r="F418" s="34" t="s">
        <v>1339</v>
      </c>
      <c r="G418" s="34" t="s">
        <v>1340</v>
      </c>
      <c r="H418" s="34" t="s">
        <v>40</v>
      </c>
      <c r="I418" s="34" t="s">
        <v>1000</v>
      </c>
      <c r="J418" s="34">
        <v>100000</v>
      </c>
      <c r="K418" s="34">
        <v>900000</v>
      </c>
      <c r="L418" s="34"/>
      <c r="M418" s="34"/>
      <c r="N418" s="33"/>
      <c r="O418" s="33"/>
      <c r="P418" s="33"/>
      <c r="Q418" s="34"/>
    </row>
    <row r="419" spans="2:17" ht="14.45" customHeight="1" x14ac:dyDescent="0.25">
      <c r="B419" s="86">
        <v>36</v>
      </c>
      <c r="C419" s="86" t="s">
        <v>598</v>
      </c>
      <c r="D419" s="86" t="s">
        <v>598</v>
      </c>
      <c r="E419" s="98">
        <v>45432</v>
      </c>
      <c r="F419" s="86" t="s">
        <v>161</v>
      </c>
      <c r="G419" s="86" t="s">
        <v>1341</v>
      </c>
      <c r="H419" s="86" t="s">
        <v>40</v>
      </c>
      <c r="I419" s="86" t="s">
        <v>1000</v>
      </c>
      <c r="J419" s="86">
        <v>10000</v>
      </c>
      <c r="K419" s="86">
        <v>900000</v>
      </c>
      <c r="L419" s="86"/>
      <c r="M419" s="86"/>
      <c r="N419" s="87"/>
      <c r="O419" s="88"/>
      <c r="P419" s="88"/>
      <c r="Q419" s="89"/>
    </row>
    <row r="420" spans="2:17" ht="15.75" thickBot="1" x14ac:dyDescent="0.3">
      <c r="B420" s="58"/>
      <c r="C420" s="58"/>
      <c r="D420" s="58"/>
      <c r="E420" s="99"/>
      <c r="F420" s="58"/>
      <c r="G420" s="58"/>
      <c r="H420" s="58"/>
      <c r="I420" s="58"/>
      <c r="J420" s="58"/>
      <c r="K420" s="58"/>
      <c r="L420" s="58"/>
      <c r="M420" s="58"/>
      <c r="N420" s="90"/>
      <c r="O420" s="91"/>
      <c r="P420" s="91"/>
      <c r="Q420" s="92"/>
    </row>
    <row r="421" spans="2:17" ht="26.25" thickBot="1" x14ac:dyDescent="0.3">
      <c r="B421" s="35">
        <v>37</v>
      </c>
      <c r="C421" s="34" t="s">
        <v>598</v>
      </c>
      <c r="D421" s="34" t="s">
        <v>598</v>
      </c>
      <c r="E421" s="40">
        <v>45434</v>
      </c>
      <c r="F421" s="34" t="s">
        <v>1342</v>
      </c>
      <c r="G421" s="34" t="s">
        <v>1343</v>
      </c>
      <c r="H421" s="34" t="s">
        <v>40</v>
      </c>
      <c r="I421" s="34" t="s">
        <v>1000</v>
      </c>
      <c r="J421" s="34">
        <v>200000</v>
      </c>
      <c r="K421" s="34">
        <v>1800000</v>
      </c>
      <c r="L421" s="34"/>
      <c r="M421" s="34"/>
      <c r="N421" s="33"/>
      <c r="O421" s="33"/>
      <c r="P421" s="33"/>
      <c r="Q421" s="34"/>
    </row>
    <row r="422" spans="2:17" ht="26.25" thickBot="1" x14ac:dyDescent="0.3">
      <c r="B422" s="35">
        <v>38</v>
      </c>
      <c r="C422" s="34" t="s">
        <v>598</v>
      </c>
      <c r="D422" s="34" t="s">
        <v>598</v>
      </c>
      <c r="E422" s="40">
        <v>45439</v>
      </c>
      <c r="F422" s="34" t="s">
        <v>1324</v>
      </c>
      <c r="G422" s="34" t="s">
        <v>1344</v>
      </c>
      <c r="H422" s="34" t="s">
        <v>40</v>
      </c>
      <c r="I422" s="34" t="s">
        <v>1000</v>
      </c>
      <c r="J422" s="34"/>
      <c r="K422" s="34"/>
      <c r="L422" s="34"/>
      <c r="M422" s="34"/>
      <c r="N422" s="33"/>
      <c r="O422" s="33"/>
      <c r="P422" s="33"/>
      <c r="Q422" s="34"/>
    </row>
    <row r="423" spans="2:17" ht="15.75" thickBot="1" x14ac:dyDescent="0.3">
      <c r="B423" s="35">
        <v>39</v>
      </c>
      <c r="C423" s="34" t="s">
        <v>598</v>
      </c>
      <c r="D423" s="34" t="s">
        <v>598</v>
      </c>
      <c r="E423" s="40">
        <v>45441</v>
      </c>
      <c r="F423" s="34" t="s">
        <v>1345</v>
      </c>
      <c r="G423" s="34" t="s">
        <v>1346</v>
      </c>
      <c r="H423" s="34" t="s">
        <v>40</v>
      </c>
      <c r="I423" s="34" t="s">
        <v>1000</v>
      </c>
      <c r="J423" s="34">
        <v>50000</v>
      </c>
      <c r="K423" s="34">
        <v>4950000</v>
      </c>
      <c r="L423" s="34"/>
      <c r="M423" s="34"/>
      <c r="N423" s="33"/>
      <c r="O423" s="33"/>
      <c r="P423" s="33"/>
      <c r="Q423" s="34"/>
    </row>
    <row r="424" spans="2:17" ht="39" thickBot="1" x14ac:dyDescent="0.3">
      <c r="B424" s="35">
        <v>40</v>
      </c>
      <c r="C424" s="34" t="s">
        <v>598</v>
      </c>
      <c r="D424" s="34" t="s">
        <v>598</v>
      </c>
      <c r="E424" s="40">
        <v>45442</v>
      </c>
      <c r="F424" s="34" t="s">
        <v>1347</v>
      </c>
      <c r="G424" s="34" t="s">
        <v>1348</v>
      </c>
      <c r="H424" s="34" t="s">
        <v>40</v>
      </c>
      <c r="I424" s="34" t="s">
        <v>1000</v>
      </c>
      <c r="J424" s="34">
        <v>200000</v>
      </c>
      <c r="K424" s="34">
        <v>1800000</v>
      </c>
      <c r="L424" s="34"/>
      <c r="M424" s="34"/>
      <c r="N424" s="33"/>
      <c r="O424" s="33"/>
      <c r="P424" s="33"/>
      <c r="Q424" s="34"/>
    </row>
    <row r="425" spans="2:17" ht="15.75" thickBot="1" x14ac:dyDescent="0.3">
      <c r="B425" s="35">
        <v>41</v>
      </c>
      <c r="C425" s="34" t="s">
        <v>598</v>
      </c>
      <c r="D425" s="34" t="s">
        <v>598</v>
      </c>
      <c r="E425" s="40">
        <v>45442</v>
      </c>
      <c r="F425" s="34" t="s">
        <v>1349</v>
      </c>
      <c r="G425" s="34" t="s">
        <v>1017</v>
      </c>
      <c r="H425" s="34" t="s">
        <v>40</v>
      </c>
      <c r="I425" s="34" t="s">
        <v>1000</v>
      </c>
      <c r="J425" s="34">
        <v>400000</v>
      </c>
      <c r="K425" s="34">
        <v>1600000</v>
      </c>
      <c r="L425" s="34"/>
      <c r="M425" s="34"/>
      <c r="N425" s="33"/>
      <c r="O425" s="33"/>
      <c r="P425" s="33"/>
      <c r="Q425" s="34"/>
    </row>
    <row r="426" spans="2:17" ht="15.75" thickBot="1" x14ac:dyDescent="0.3">
      <c r="B426" s="35">
        <v>42</v>
      </c>
      <c r="C426" s="34" t="s">
        <v>598</v>
      </c>
      <c r="D426" s="34" t="s">
        <v>598</v>
      </c>
      <c r="E426" s="40">
        <v>45442</v>
      </c>
      <c r="F426" s="34" t="s">
        <v>150</v>
      </c>
      <c r="G426" s="34" t="s">
        <v>1350</v>
      </c>
      <c r="H426" s="34" t="s">
        <v>40</v>
      </c>
      <c r="I426" s="34" t="s">
        <v>1000</v>
      </c>
      <c r="J426" s="34">
        <v>500000</v>
      </c>
      <c r="K426" s="34">
        <v>1500000</v>
      </c>
      <c r="L426" s="34"/>
      <c r="M426" s="34"/>
      <c r="N426" s="33"/>
      <c r="O426" s="33"/>
      <c r="P426" s="33"/>
      <c r="Q426" s="34"/>
    </row>
    <row r="427" spans="2:17" ht="15.75" thickBot="1" x14ac:dyDescent="0.3">
      <c r="B427" s="35">
        <v>43</v>
      </c>
      <c r="C427" s="34" t="s">
        <v>598</v>
      </c>
      <c r="D427" s="34" t="s">
        <v>598</v>
      </c>
      <c r="E427" s="40">
        <v>45442</v>
      </c>
      <c r="F427" s="34" t="s">
        <v>167</v>
      </c>
      <c r="G427" s="34" t="s">
        <v>1350</v>
      </c>
      <c r="H427" s="34" t="s">
        <v>40</v>
      </c>
      <c r="I427" s="34" t="s">
        <v>1000</v>
      </c>
      <c r="J427" s="34">
        <v>200000</v>
      </c>
      <c r="K427" s="34">
        <v>800000</v>
      </c>
      <c r="L427" s="34"/>
      <c r="M427" s="34"/>
      <c r="N427" s="33"/>
      <c r="O427" s="33"/>
      <c r="P427" s="33"/>
      <c r="Q427" s="34"/>
    </row>
    <row r="428" spans="2:17" ht="39" thickBot="1" x14ac:dyDescent="0.3">
      <c r="B428" s="35">
        <v>44</v>
      </c>
      <c r="C428" s="34" t="s">
        <v>598</v>
      </c>
      <c r="D428" s="34" t="s">
        <v>598</v>
      </c>
      <c r="E428" s="40">
        <v>45442</v>
      </c>
      <c r="F428" s="34" t="s">
        <v>1351</v>
      </c>
      <c r="G428" s="34" t="s">
        <v>1352</v>
      </c>
      <c r="H428" s="34" t="s">
        <v>40</v>
      </c>
      <c r="I428" s="34" t="s">
        <v>1000</v>
      </c>
      <c r="J428" s="34">
        <v>200000</v>
      </c>
      <c r="K428" s="34">
        <v>1800000</v>
      </c>
      <c r="L428" s="34"/>
      <c r="M428" s="34"/>
      <c r="N428" s="33"/>
      <c r="O428" s="33"/>
      <c r="P428" s="33"/>
      <c r="Q428" s="34"/>
    </row>
    <row r="429" spans="2:17" ht="26.25" thickBot="1" x14ac:dyDescent="0.3">
      <c r="B429" s="35">
        <v>45</v>
      </c>
      <c r="C429" s="34" t="s">
        <v>598</v>
      </c>
      <c r="D429" s="34" t="s">
        <v>598</v>
      </c>
      <c r="E429" s="40">
        <v>45442</v>
      </c>
      <c r="F429" s="38" t="s">
        <v>195</v>
      </c>
      <c r="G429" s="34" t="s">
        <v>1353</v>
      </c>
      <c r="H429" s="34" t="s">
        <v>882</v>
      </c>
      <c r="I429" s="34" t="s">
        <v>1000</v>
      </c>
      <c r="J429" s="38"/>
      <c r="K429" s="34"/>
      <c r="L429" s="34"/>
      <c r="M429" s="34"/>
      <c r="N429" s="33"/>
      <c r="O429" s="33"/>
      <c r="P429" s="33"/>
      <c r="Q429" s="34"/>
    </row>
    <row r="430" spans="2:17" ht="15.75" thickBot="1" x14ac:dyDescent="0.3">
      <c r="B430" s="35">
        <v>46</v>
      </c>
      <c r="C430" s="34" t="s">
        <v>598</v>
      </c>
      <c r="D430" s="34" t="s">
        <v>598</v>
      </c>
      <c r="E430" s="40">
        <v>45443</v>
      </c>
      <c r="F430" s="38" t="s">
        <v>1354</v>
      </c>
      <c r="G430" s="34" t="s">
        <v>1355</v>
      </c>
      <c r="H430" s="34" t="s">
        <v>621</v>
      </c>
      <c r="I430" s="34" t="s">
        <v>1000</v>
      </c>
      <c r="J430" s="38">
        <v>50000</v>
      </c>
      <c r="K430" s="34">
        <v>1950000</v>
      </c>
      <c r="L430" s="34"/>
      <c r="M430" s="34"/>
      <c r="N430" s="33"/>
      <c r="O430" s="33"/>
      <c r="P430" s="33"/>
      <c r="Q430" s="34"/>
    </row>
    <row r="431" spans="2:17" ht="26.25" thickBot="1" x14ac:dyDescent="0.3">
      <c r="B431" s="35">
        <v>47</v>
      </c>
      <c r="C431" s="34" t="s">
        <v>598</v>
      </c>
      <c r="D431" s="34" t="s">
        <v>598</v>
      </c>
      <c r="E431" s="40">
        <v>45443</v>
      </c>
      <c r="F431" s="38" t="s">
        <v>959</v>
      </c>
      <c r="G431" s="34" t="s">
        <v>1356</v>
      </c>
      <c r="H431" s="34" t="s">
        <v>621</v>
      </c>
      <c r="I431" s="34" t="s">
        <v>1000</v>
      </c>
      <c r="J431" s="38">
        <v>100000</v>
      </c>
      <c r="K431" s="34">
        <v>900000</v>
      </c>
      <c r="L431" s="34"/>
      <c r="M431" s="34"/>
      <c r="N431" s="33"/>
      <c r="O431" s="33"/>
      <c r="P431" s="33"/>
      <c r="Q431" s="34"/>
    </row>
    <row r="432" spans="2:17" ht="26.25" thickBot="1" x14ac:dyDescent="0.3">
      <c r="B432" s="35">
        <v>48</v>
      </c>
      <c r="C432" s="34" t="s">
        <v>598</v>
      </c>
      <c r="D432" s="34" t="s">
        <v>598</v>
      </c>
      <c r="E432" s="40">
        <v>45443</v>
      </c>
      <c r="F432" s="38" t="s">
        <v>1147</v>
      </c>
      <c r="G432" s="34" t="s">
        <v>1357</v>
      </c>
      <c r="H432" s="34" t="s">
        <v>621</v>
      </c>
      <c r="I432" s="34" t="s">
        <v>1000</v>
      </c>
      <c r="J432" s="38">
        <v>500000</v>
      </c>
      <c r="K432" s="34">
        <v>1500000</v>
      </c>
      <c r="L432" s="34"/>
      <c r="M432" s="34"/>
      <c r="N432" s="33"/>
      <c r="O432" s="33"/>
      <c r="P432" s="33"/>
      <c r="Q432" s="34"/>
    </row>
    <row r="433" spans="2:17" ht="15.75" thickBot="1" x14ac:dyDescent="0.3">
      <c r="B433" s="35"/>
      <c r="C433" s="34"/>
      <c r="D433" s="34"/>
      <c r="E433" s="34"/>
      <c r="F433" s="38"/>
      <c r="G433" s="34"/>
      <c r="H433" s="34"/>
      <c r="I433" s="34" t="s">
        <v>19</v>
      </c>
      <c r="J433" s="38">
        <v>3675000</v>
      </c>
      <c r="K433" s="34">
        <v>46935000</v>
      </c>
      <c r="L433" s="34"/>
      <c r="M433" s="34"/>
      <c r="N433" s="33"/>
      <c r="O433" s="33"/>
      <c r="P433" s="33"/>
      <c r="Q433" s="34"/>
    </row>
    <row r="434" spans="2:17" ht="15.75" thickBot="1" x14ac:dyDescent="0.3">
      <c r="B434" s="35"/>
      <c r="C434" s="34"/>
      <c r="D434" s="34"/>
      <c r="E434" s="34"/>
      <c r="F434" s="38"/>
      <c r="G434" s="34"/>
      <c r="H434" s="34"/>
      <c r="I434" s="34"/>
      <c r="J434" s="38"/>
      <c r="K434" s="34"/>
      <c r="L434" s="34"/>
      <c r="M434" s="34"/>
      <c r="N434" s="33"/>
      <c r="O434" s="33"/>
      <c r="P434" s="33"/>
      <c r="Q434" s="34"/>
    </row>
    <row r="435" spans="2:17" ht="15.75" thickBot="1" x14ac:dyDescent="0.3">
      <c r="B435" s="48" t="s">
        <v>1358</v>
      </c>
    </row>
    <row r="436" spans="2:17" ht="15" customHeight="1" thickBot="1" x14ac:dyDescent="0.3">
      <c r="B436" s="86" t="s">
        <v>589</v>
      </c>
      <c r="C436" s="86" t="s">
        <v>0</v>
      </c>
      <c r="D436" s="86" t="s">
        <v>713</v>
      </c>
      <c r="E436" s="94" t="s">
        <v>67</v>
      </c>
      <c r="F436" s="95"/>
      <c r="G436" s="96"/>
      <c r="H436" s="86" t="s">
        <v>714</v>
      </c>
      <c r="I436" s="97" t="s">
        <v>8</v>
      </c>
      <c r="J436" s="85"/>
      <c r="K436" s="84" t="s">
        <v>9</v>
      </c>
      <c r="L436" s="85"/>
      <c r="M436" s="84" t="s">
        <v>10</v>
      </c>
      <c r="N436" s="93"/>
    </row>
    <row r="437" spans="2:17" ht="15.75" thickBot="1" x14ac:dyDescent="0.3">
      <c r="B437" s="58"/>
      <c r="C437" s="58"/>
      <c r="D437" s="58"/>
      <c r="E437" s="34" t="s">
        <v>68</v>
      </c>
      <c r="F437" s="34" t="s">
        <v>715</v>
      </c>
      <c r="G437" s="34" t="s">
        <v>716</v>
      </c>
      <c r="H437" s="58"/>
      <c r="I437" s="33" t="s">
        <v>11</v>
      </c>
      <c r="J437" s="33" t="s">
        <v>597</v>
      </c>
      <c r="K437" s="33" t="s">
        <v>11</v>
      </c>
      <c r="L437" s="33" t="s">
        <v>597</v>
      </c>
      <c r="M437" s="33" t="s">
        <v>11</v>
      </c>
      <c r="N437" s="34" t="s">
        <v>597</v>
      </c>
    </row>
    <row r="438" spans="2:17" ht="15.75" thickBot="1" x14ac:dyDescent="0.3">
      <c r="B438" s="35">
        <v>1</v>
      </c>
      <c r="C438" s="34">
        <v>2</v>
      </c>
      <c r="D438" s="34">
        <v>3</v>
      </c>
      <c r="E438" s="34">
        <v>4</v>
      </c>
      <c r="F438" s="34">
        <v>5</v>
      </c>
      <c r="G438" s="34">
        <v>6</v>
      </c>
      <c r="H438" s="34">
        <v>7</v>
      </c>
      <c r="I438" s="34">
        <v>8</v>
      </c>
      <c r="J438" s="34">
        <v>9</v>
      </c>
      <c r="K438" s="33">
        <v>10</v>
      </c>
      <c r="L438" s="33">
        <v>11</v>
      </c>
      <c r="M438" s="33">
        <v>12</v>
      </c>
      <c r="N438" s="34">
        <v>13</v>
      </c>
    </row>
    <row r="439" spans="2:17" ht="92.45" customHeight="1" thickBot="1" x14ac:dyDescent="0.3">
      <c r="B439" s="35">
        <v>1</v>
      </c>
      <c r="C439" s="34" t="s">
        <v>598</v>
      </c>
      <c r="D439" s="40">
        <v>45416</v>
      </c>
      <c r="E439" s="34"/>
      <c r="F439" s="34" t="s">
        <v>1359</v>
      </c>
      <c r="G439" s="34" t="s">
        <v>20</v>
      </c>
      <c r="H439" s="34" t="s">
        <v>1360</v>
      </c>
      <c r="I439" s="94" t="s">
        <v>1361</v>
      </c>
      <c r="J439" s="96"/>
      <c r="K439" s="33" t="s">
        <v>20</v>
      </c>
      <c r="L439" s="33" t="s">
        <v>20</v>
      </c>
      <c r="M439" s="33" t="s">
        <v>20</v>
      </c>
      <c r="N439" s="34" t="s">
        <v>20</v>
      </c>
    </row>
    <row r="440" spans="2:17" ht="115.5" thickBot="1" x14ac:dyDescent="0.3">
      <c r="B440" s="35">
        <v>2</v>
      </c>
      <c r="C440" s="34" t="s">
        <v>598</v>
      </c>
      <c r="D440" s="40">
        <v>45416</v>
      </c>
      <c r="E440" s="34"/>
      <c r="F440" s="34" t="s">
        <v>1359</v>
      </c>
      <c r="G440" s="34"/>
      <c r="H440" s="34" t="s">
        <v>1362</v>
      </c>
      <c r="I440" s="34" t="s">
        <v>20</v>
      </c>
      <c r="J440" s="34"/>
      <c r="K440" s="33">
        <v>2</v>
      </c>
      <c r="L440" s="33" t="s">
        <v>20</v>
      </c>
      <c r="M440" s="33">
        <v>2</v>
      </c>
      <c r="N440" s="34"/>
    </row>
    <row r="441" spans="2:17" ht="243" thickBot="1" x14ac:dyDescent="0.3">
      <c r="B441" s="35">
        <v>3</v>
      </c>
      <c r="C441" s="34" t="s">
        <v>598</v>
      </c>
      <c r="D441" s="40">
        <v>45421</v>
      </c>
      <c r="E441" s="34"/>
      <c r="F441" s="34"/>
      <c r="G441" s="34" t="s">
        <v>70</v>
      </c>
      <c r="H441" s="73" t="s">
        <v>1363</v>
      </c>
      <c r="I441" s="34" t="s">
        <v>20</v>
      </c>
      <c r="J441" s="34"/>
      <c r="K441" s="33">
        <v>-8</v>
      </c>
      <c r="L441" s="33" t="s">
        <v>20</v>
      </c>
      <c r="M441" s="33">
        <v>8</v>
      </c>
      <c r="N441" s="34"/>
    </row>
    <row r="442" spans="2:17" ht="90" thickBot="1" x14ac:dyDescent="0.3">
      <c r="B442" s="35">
        <v>4</v>
      </c>
      <c r="C442" s="34" t="s">
        <v>598</v>
      </c>
      <c r="D442" s="40">
        <v>45442</v>
      </c>
      <c r="E442" s="34"/>
      <c r="F442" s="34" t="s">
        <v>20</v>
      </c>
      <c r="G442" s="34" t="s">
        <v>70</v>
      </c>
      <c r="H442" s="34" t="s">
        <v>1364</v>
      </c>
      <c r="I442" s="34" t="s">
        <v>20</v>
      </c>
      <c r="J442" s="34" t="s">
        <v>20</v>
      </c>
      <c r="K442" s="33" t="s">
        <v>20</v>
      </c>
      <c r="L442" s="33" t="s">
        <v>20</v>
      </c>
      <c r="M442" s="33">
        <v>1</v>
      </c>
      <c r="N442" s="34"/>
    </row>
    <row r="443" spans="2:17" ht="15.75" thickBot="1" x14ac:dyDescent="0.3">
      <c r="B443" s="35"/>
      <c r="C443" s="34"/>
      <c r="D443" s="34"/>
      <c r="E443" s="34"/>
      <c r="F443" s="34"/>
      <c r="G443" s="34"/>
      <c r="H443" s="34" t="s">
        <v>19</v>
      </c>
      <c r="I443" s="34" t="s">
        <v>20</v>
      </c>
      <c r="J443" s="34" t="s">
        <v>20</v>
      </c>
      <c r="K443" s="33" t="s">
        <v>20</v>
      </c>
      <c r="L443" s="33" t="s">
        <v>20</v>
      </c>
      <c r="M443" s="33">
        <v>11</v>
      </c>
      <c r="N443" s="34"/>
    </row>
    <row r="444" spans="2:17" ht="17.25" thickBot="1" x14ac:dyDescent="0.3">
      <c r="B444" s="52" t="s">
        <v>1365</v>
      </c>
      <c r="C444" s="53" t="s">
        <v>779</v>
      </c>
    </row>
    <row r="445" spans="2:17" ht="117" customHeight="1" thickBot="1" x14ac:dyDescent="0.3">
      <c r="B445" s="86" t="s">
        <v>589</v>
      </c>
      <c r="C445" s="86" t="s">
        <v>0</v>
      </c>
      <c r="D445" s="86" t="s">
        <v>590</v>
      </c>
      <c r="E445" s="86" t="s">
        <v>1</v>
      </c>
      <c r="F445" s="86" t="s">
        <v>592</v>
      </c>
      <c r="G445" s="86" t="s">
        <v>593</v>
      </c>
      <c r="H445" s="86" t="s">
        <v>4</v>
      </c>
      <c r="I445" s="86" t="s">
        <v>594</v>
      </c>
      <c r="J445" s="86" t="s">
        <v>595</v>
      </c>
      <c r="K445" s="86" t="s">
        <v>596</v>
      </c>
      <c r="L445" s="97" t="s">
        <v>8</v>
      </c>
      <c r="M445" s="85"/>
      <c r="N445" s="84" t="s">
        <v>9</v>
      </c>
      <c r="O445" s="85"/>
      <c r="P445" s="84" t="s">
        <v>10</v>
      </c>
      <c r="Q445" s="85"/>
    </row>
    <row r="446" spans="2:17" ht="15.75" thickBot="1" x14ac:dyDescent="0.3">
      <c r="B446" s="58"/>
      <c r="C446" s="58"/>
      <c r="D446" s="58"/>
      <c r="E446" s="58"/>
      <c r="F446" s="58"/>
      <c r="G446" s="58"/>
      <c r="H446" s="58"/>
      <c r="I446" s="58"/>
      <c r="J446" s="58"/>
      <c r="K446" s="58"/>
      <c r="L446" s="33" t="s">
        <v>11</v>
      </c>
      <c r="M446" s="33" t="s">
        <v>597</v>
      </c>
      <c r="N446" s="33" t="s">
        <v>11</v>
      </c>
      <c r="O446" s="33" t="s">
        <v>597</v>
      </c>
      <c r="P446" s="33" t="s">
        <v>11</v>
      </c>
      <c r="Q446" s="34" t="s">
        <v>597</v>
      </c>
    </row>
    <row r="447" spans="2:17" ht="15.75" thickBot="1" x14ac:dyDescent="0.3">
      <c r="B447" s="35">
        <v>1</v>
      </c>
      <c r="C447" s="34">
        <v>2</v>
      </c>
      <c r="D447" s="34">
        <v>3</v>
      </c>
      <c r="E447" s="34">
        <v>4</v>
      </c>
      <c r="F447" s="34">
        <v>5</v>
      </c>
      <c r="G447" s="34">
        <v>6</v>
      </c>
      <c r="H447" s="34">
        <v>7</v>
      </c>
      <c r="I447" s="34">
        <v>8</v>
      </c>
      <c r="J447" s="34">
        <v>9</v>
      </c>
      <c r="K447" s="34">
        <v>10</v>
      </c>
      <c r="L447" s="34">
        <v>11</v>
      </c>
      <c r="M447" s="34">
        <v>12</v>
      </c>
      <c r="N447" s="33">
        <v>13</v>
      </c>
      <c r="O447" s="33">
        <v>14</v>
      </c>
      <c r="P447" s="33">
        <v>15</v>
      </c>
      <c r="Q447" s="34">
        <v>16</v>
      </c>
    </row>
    <row r="448" spans="2:17" ht="15.75" thickBot="1" x14ac:dyDescent="0.3">
      <c r="B448" s="35">
        <v>1</v>
      </c>
      <c r="C448" s="34" t="s">
        <v>598</v>
      </c>
      <c r="D448" s="34" t="s">
        <v>598</v>
      </c>
      <c r="E448" s="40">
        <v>45444</v>
      </c>
      <c r="F448" s="34" t="s">
        <v>38</v>
      </c>
      <c r="G448" s="36" t="e" cm="1">
        <f t="array" ref="G448">zslB ikdZ jksM nsgjknwu</f>
        <v>#NAME?</v>
      </c>
      <c r="H448" s="36" t="s">
        <v>1366</v>
      </c>
      <c r="I448" s="38" t="s">
        <v>316</v>
      </c>
      <c r="J448" s="69" t="s">
        <v>14</v>
      </c>
      <c r="K448" s="69" t="s">
        <v>14</v>
      </c>
      <c r="L448" s="38" t="s">
        <v>14</v>
      </c>
      <c r="M448" s="38" t="s">
        <v>14</v>
      </c>
      <c r="N448" s="39" t="s">
        <v>14</v>
      </c>
      <c r="O448" s="39" t="s">
        <v>14</v>
      </c>
      <c r="P448" s="39" t="s">
        <v>14</v>
      </c>
      <c r="Q448" s="38" t="s">
        <v>14</v>
      </c>
    </row>
    <row r="449" spans="2:17" ht="15.75" thickBot="1" x14ac:dyDescent="0.3">
      <c r="B449" s="35">
        <v>2</v>
      </c>
      <c r="C449" s="34" t="s">
        <v>598</v>
      </c>
      <c r="D449" s="34" t="s">
        <v>598</v>
      </c>
      <c r="E449" s="42">
        <v>45444</v>
      </c>
      <c r="F449" s="34" t="s">
        <v>678</v>
      </c>
      <c r="G449" s="36" t="s">
        <v>1367</v>
      </c>
      <c r="H449" s="36" t="s">
        <v>25</v>
      </c>
      <c r="I449" s="36" t="s">
        <v>1368</v>
      </c>
      <c r="J449" s="69">
        <v>20000</v>
      </c>
      <c r="K449" s="69">
        <v>980000</v>
      </c>
      <c r="L449" s="38" t="s">
        <v>14</v>
      </c>
      <c r="M449" s="38" t="s">
        <v>14</v>
      </c>
      <c r="N449" s="39" t="s">
        <v>14</v>
      </c>
      <c r="O449" s="39" t="s">
        <v>14</v>
      </c>
      <c r="P449" s="39" t="s">
        <v>14</v>
      </c>
      <c r="Q449" s="38" t="s">
        <v>14</v>
      </c>
    </row>
    <row r="450" spans="2:17" ht="26.25" thickBot="1" x14ac:dyDescent="0.3">
      <c r="B450" s="35">
        <v>3</v>
      </c>
      <c r="C450" s="34" t="s">
        <v>598</v>
      </c>
      <c r="D450" s="34" t="s">
        <v>598</v>
      </c>
      <c r="E450" s="42">
        <v>45444</v>
      </c>
      <c r="F450" s="34" t="s">
        <v>1252</v>
      </c>
      <c r="G450" s="36" t="s">
        <v>1369</v>
      </c>
      <c r="H450" s="36" t="s">
        <v>25</v>
      </c>
      <c r="I450" s="36" t="s">
        <v>1370</v>
      </c>
      <c r="J450" s="69">
        <v>500000</v>
      </c>
      <c r="K450" s="69">
        <v>10000000</v>
      </c>
      <c r="L450" s="38" t="s">
        <v>14</v>
      </c>
      <c r="M450" s="38" t="s">
        <v>14</v>
      </c>
      <c r="N450" s="39" t="s">
        <v>14</v>
      </c>
      <c r="O450" s="39" t="s">
        <v>14</v>
      </c>
      <c r="P450" s="39" t="s">
        <v>14</v>
      </c>
      <c r="Q450" s="38" t="s">
        <v>14</v>
      </c>
    </row>
    <row r="451" spans="2:17" ht="26.25" thickBot="1" x14ac:dyDescent="0.3">
      <c r="B451" s="35">
        <v>4</v>
      </c>
      <c r="C451" s="34" t="s">
        <v>598</v>
      </c>
      <c r="D451" s="34" t="s">
        <v>598</v>
      </c>
      <c r="E451" s="42">
        <v>45444</v>
      </c>
      <c r="F451" s="34" t="s">
        <v>1371</v>
      </c>
      <c r="G451" s="36" t="s">
        <v>1372</v>
      </c>
      <c r="H451" s="36" t="s">
        <v>1373</v>
      </c>
      <c r="I451" s="36" t="s">
        <v>869</v>
      </c>
      <c r="J451" s="69">
        <v>100000</v>
      </c>
      <c r="K451" s="69">
        <v>400000</v>
      </c>
      <c r="L451" s="38" t="s">
        <v>14</v>
      </c>
      <c r="M451" s="38" t="s">
        <v>14</v>
      </c>
      <c r="N451" s="39" t="s">
        <v>14</v>
      </c>
      <c r="O451" s="39" t="s">
        <v>14</v>
      </c>
      <c r="P451" s="39" t="s">
        <v>14</v>
      </c>
      <c r="Q451" s="38" t="s">
        <v>14</v>
      </c>
    </row>
    <row r="452" spans="2:17" ht="15.75" thickBot="1" x14ac:dyDescent="0.3">
      <c r="B452" s="35">
        <v>5</v>
      </c>
      <c r="C452" s="34" t="s">
        <v>598</v>
      </c>
      <c r="D452" s="34" t="s">
        <v>598</v>
      </c>
      <c r="E452" s="42">
        <v>45445</v>
      </c>
      <c r="F452" s="38" t="s">
        <v>1374</v>
      </c>
      <c r="G452" s="36" t="s">
        <v>1375</v>
      </c>
      <c r="H452" s="36" t="s">
        <v>40</v>
      </c>
      <c r="I452" s="36" t="s">
        <v>877</v>
      </c>
      <c r="J452" s="69" t="s">
        <v>14</v>
      </c>
      <c r="K452" s="69">
        <v>2000000</v>
      </c>
      <c r="L452" s="38" t="s">
        <v>14</v>
      </c>
      <c r="M452" s="38" t="s">
        <v>14</v>
      </c>
      <c r="N452" s="39" t="s">
        <v>14</v>
      </c>
      <c r="O452" s="61" t="s">
        <v>20</v>
      </c>
      <c r="P452" s="39" t="s">
        <v>14</v>
      </c>
      <c r="Q452" s="38" t="s">
        <v>14</v>
      </c>
    </row>
    <row r="453" spans="2:17" ht="26.25" thickBot="1" x14ac:dyDescent="0.3">
      <c r="B453" s="35">
        <v>6</v>
      </c>
      <c r="C453" s="34" t="s">
        <v>598</v>
      </c>
      <c r="D453" s="34" t="s">
        <v>598</v>
      </c>
      <c r="E453" s="42">
        <v>45447</v>
      </c>
      <c r="F453" s="34" t="s">
        <v>1376</v>
      </c>
      <c r="G453" s="36" t="s">
        <v>1377</v>
      </c>
      <c r="H453" s="36" t="s">
        <v>1378</v>
      </c>
      <c r="I453" s="36" t="s">
        <v>918</v>
      </c>
      <c r="J453" s="69">
        <v>500000</v>
      </c>
      <c r="K453" s="69">
        <v>9500000</v>
      </c>
      <c r="L453" s="38" t="s">
        <v>14</v>
      </c>
      <c r="M453" s="38" t="s">
        <v>14</v>
      </c>
      <c r="N453" s="39" t="s">
        <v>14</v>
      </c>
      <c r="O453" s="39" t="s">
        <v>14</v>
      </c>
      <c r="P453" s="39" t="s">
        <v>14</v>
      </c>
      <c r="Q453" s="38" t="s">
        <v>14</v>
      </c>
    </row>
    <row r="454" spans="2:17" ht="26.25" thickBot="1" x14ac:dyDescent="0.3">
      <c r="B454" s="35">
        <v>7</v>
      </c>
      <c r="C454" s="34" t="s">
        <v>598</v>
      </c>
      <c r="D454" s="34" t="s">
        <v>598</v>
      </c>
      <c r="E454" s="42">
        <v>45447</v>
      </c>
      <c r="F454" s="34" t="s">
        <v>281</v>
      </c>
      <c r="G454" s="36" t="s">
        <v>1379</v>
      </c>
      <c r="H454" s="36" t="s">
        <v>40</v>
      </c>
      <c r="I454" s="36" t="s">
        <v>1380</v>
      </c>
      <c r="J454" s="69">
        <v>0</v>
      </c>
      <c r="K454" s="69">
        <v>50000</v>
      </c>
      <c r="L454" s="38" t="s">
        <v>14</v>
      </c>
      <c r="M454" s="38" t="s">
        <v>14</v>
      </c>
      <c r="N454" s="39" t="s">
        <v>14</v>
      </c>
      <c r="O454" s="39" t="s">
        <v>14</v>
      </c>
      <c r="P454" s="39" t="s">
        <v>14</v>
      </c>
      <c r="Q454" s="38" t="s">
        <v>14</v>
      </c>
    </row>
    <row r="455" spans="2:17" ht="26.25" thickBot="1" x14ac:dyDescent="0.3">
      <c r="B455" s="35">
        <v>8</v>
      </c>
      <c r="C455" s="34" t="s">
        <v>598</v>
      </c>
      <c r="D455" s="34" t="s">
        <v>598</v>
      </c>
      <c r="E455" s="42">
        <v>45447</v>
      </c>
      <c r="F455" s="34" t="s">
        <v>1381</v>
      </c>
      <c r="G455" s="36" t="s">
        <v>1382</v>
      </c>
      <c r="H455" s="36" t="s">
        <v>40</v>
      </c>
      <c r="I455" s="36" t="s">
        <v>1143</v>
      </c>
      <c r="J455" s="69">
        <v>0</v>
      </c>
      <c r="K455" s="69">
        <v>1500000</v>
      </c>
      <c r="L455" s="38" t="s">
        <v>14</v>
      </c>
      <c r="M455" s="38" t="s">
        <v>14</v>
      </c>
      <c r="N455" s="39" t="s">
        <v>14</v>
      </c>
      <c r="O455" s="39" t="s">
        <v>14</v>
      </c>
      <c r="P455" s="39" t="s">
        <v>14</v>
      </c>
      <c r="Q455" s="38" t="s">
        <v>14</v>
      </c>
    </row>
    <row r="456" spans="2:17" ht="26.25" thickBot="1" x14ac:dyDescent="0.3">
      <c r="B456" s="35">
        <v>9</v>
      </c>
      <c r="C456" s="34" t="s">
        <v>598</v>
      </c>
      <c r="D456" s="34" t="s">
        <v>598</v>
      </c>
      <c r="E456" s="42">
        <v>45448</v>
      </c>
      <c r="F456" s="34" t="s">
        <v>1383</v>
      </c>
      <c r="G456" s="36" t="s">
        <v>1384</v>
      </c>
      <c r="H456" s="36" t="s">
        <v>40</v>
      </c>
      <c r="I456" s="36" t="s">
        <v>1143</v>
      </c>
      <c r="J456" s="69">
        <v>0</v>
      </c>
      <c r="K456" s="69">
        <v>5000000</v>
      </c>
      <c r="L456" s="38" t="s">
        <v>14</v>
      </c>
      <c r="M456" s="38" t="s">
        <v>14</v>
      </c>
      <c r="N456" s="39" t="s">
        <v>14</v>
      </c>
      <c r="O456" s="39" t="s">
        <v>14</v>
      </c>
      <c r="P456" s="39" t="s">
        <v>14</v>
      </c>
      <c r="Q456" s="38" t="s">
        <v>14</v>
      </c>
    </row>
    <row r="457" spans="2:17" ht="26.25" thickBot="1" x14ac:dyDescent="0.3">
      <c r="B457" s="35">
        <v>10</v>
      </c>
      <c r="C457" s="34" t="s">
        <v>598</v>
      </c>
      <c r="D457" s="34" t="s">
        <v>598</v>
      </c>
      <c r="E457" s="42">
        <v>45448</v>
      </c>
      <c r="F457" s="34" t="s">
        <v>925</v>
      </c>
      <c r="G457" s="36" t="s">
        <v>1385</v>
      </c>
      <c r="H457" s="36" t="s">
        <v>40</v>
      </c>
      <c r="I457" s="36" t="s">
        <v>459</v>
      </c>
      <c r="J457" s="69">
        <v>0</v>
      </c>
      <c r="K457" s="69">
        <v>2000000</v>
      </c>
      <c r="L457" s="38" t="s">
        <v>14</v>
      </c>
      <c r="M457" s="38" t="s">
        <v>14</v>
      </c>
      <c r="N457" s="39" t="s">
        <v>14</v>
      </c>
      <c r="O457" s="39" t="s">
        <v>14</v>
      </c>
      <c r="P457" s="39" t="s">
        <v>14</v>
      </c>
      <c r="Q457" s="38" t="s">
        <v>14</v>
      </c>
    </row>
    <row r="458" spans="2:17" ht="26.25" thickBot="1" x14ac:dyDescent="0.3">
      <c r="B458" s="35">
        <v>11</v>
      </c>
      <c r="C458" s="34" t="s">
        <v>598</v>
      </c>
      <c r="D458" s="34" t="s">
        <v>598</v>
      </c>
      <c r="E458" s="42">
        <v>45448</v>
      </c>
      <c r="F458" s="34" t="s">
        <v>1386</v>
      </c>
      <c r="G458" s="36" t="s">
        <v>1387</v>
      </c>
      <c r="H458" s="36" t="s">
        <v>1108</v>
      </c>
      <c r="I458" s="36" t="s">
        <v>941</v>
      </c>
      <c r="J458" s="69">
        <v>0</v>
      </c>
      <c r="K458" s="69">
        <v>0</v>
      </c>
      <c r="L458" s="38"/>
      <c r="M458" s="38"/>
      <c r="N458" s="39"/>
      <c r="O458" s="39"/>
      <c r="P458" s="39"/>
      <c r="Q458" s="38"/>
    </row>
    <row r="459" spans="2:17" ht="39" thickBot="1" x14ac:dyDescent="0.3">
      <c r="B459" s="35">
        <v>12</v>
      </c>
      <c r="C459" s="34" t="s">
        <v>598</v>
      </c>
      <c r="D459" s="34" t="s">
        <v>598</v>
      </c>
      <c r="E459" s="42">
        <v>45448</v>
      </c>
      <c r="F459" s="34" t="s">
        <v>1388</v>
      </c>
      <c r="G459" s="36" t="s">
        <v>1126</v>
      </c>
      <c r="H459" s="36" t="s">
        <v>1108</v>
      </c>
      <c r="I459" s="36" t="s">
        <v>941</v>
      </c>
      <c r="J459" s="69">
        <v>50000</v>
      </c>
      <c r="K459" s="69">
        <v>150000</v>
      </c>
      <c r="L459" s="38" t="s">
        <v>14</v>
      </c>
      <c r="M459" s="38" t="s">
        <v>14</v>
      </c>
      <c r="N459" s="39" t="s">
        <v>14</v>
      </c>
      <c r="O459" s="39" t="s">
        <v>14</v>
      </c>
      <c r="P459" s="39" t="s">
        <v>14</v>
      </c>
      <c r="Q459" s="38" t="s">
        <v>14</v>
      </c>
    </row>
    <row r="460" spans="2:17" ht="26.25" thickBot="1" x14ac:dyDescent="0.3">
      <c r="B460" s="35">
        <v>13</v>
      </c>
      <c r="C460" s="34" t="s">
        <v>598</v>
      </c>
      <c r="D460" s="34" t="s">
        <v>598</v>
      </c>
      <c r="E460" s="42">
        <v>45448</v>
      </c>
      <c r="F460" s="34" t="s">
        <v>1389</v>
      </c>
      <c r="G460" s="36" t="s">
        <v>1390</v>
      </c>
      <c r="H460" s="36" t="s">
        <v>1366</v>
      </c>
      <c r="I460" s="36" t="s">
        <v>316</v>
      </c>
      <c r="J460" s="69">
        <v>0</v>
      </c>
      <c r="K460" s="69">
        <v>0</v>
      </c>
      <c r="L460" s="38" t="s">
        <v>14</v>
      </c>
      <c r="M460" s="38" t="s">
        <v>14</v>
      </c>
      <c r="N460" s="39" t="s">
        <v>14</v>
      </c>
      <c r="O460" s="39" t="s">
        <v>14</v>
      </c>
      <c r="P460" s="39" t="s">
        <v>14</v>
      </c>
      <c r="Q460" s="38" t="s">
        <v>14</v>
      </c>
    </row>
    <row r="461" spans="2:17" ht="26.25" thickBot="1" x14ac:dyDescent="0.3">
      <c r="B461" s="35">
        <v>14</v>
      </c>
      <c r="C461" s="34" t="s">
        <v>598</v>
      </c>
      <c r="D461" s="34" t="s">
        <v>598</v>
      </c>
      <c r="E461" s="42">
        <v>45450</v>
      </c>
      <c r="F461" s="34" t="s">
        <v>1391</v>
      </c>
      <c r="G461" s="36" t="s">
        <v>1392</v>
      </c>
      <c r="H461" s="36" t="s">
        <v>1366</v>
      </c>
      <c r="I461" s="36" t="s">
        <v>124</v>
      </c>
      <c r="J461" s="69">
        <v>0</v>
      </c>
      <c r="K461" s="69">
        <v>0</v>
      </c>
      <c r="L461" s="38" t="s">
        <v>14</v>
      </c>
      <c r="M461" s="38" t="s">
        <v>14</v>
      </c>
      <c r="N461" s="39" t="s">
        <v>14</v>
      </c>
      <c r="O461" s="39" t="s">
        <v>14</v>
      </c>
      <c r="P461" s="39" t="s">
        <v>14</v>
      </c>
      <c r="Q461" s="38" t="s">
        <v>14</v>
      </c>
    </row>
    <row r="462" spans="2:17" ht="26.25" thickBot="1" x14ac:dyDescent="0.3">
      <c r="B462" s="35">
        <v>15</v>
      </c>
      <c r="C462" s="34" t="s">
        <v>598</v>
      </c>
      <c r="D462" s="34" t="s">
        <v>598</v>
      </c>
      <c r="E462" s="42">
        <v>45450</v>
      </c>
      <c r="F462" s="34" t="s">
        <v>1393</v>
      </c>
      <c r="G462" s="36" t="s">
        <v>1394</v>
      </c>
      <c r="H462" s="36" t="s">
        <v>151</v>
      </c>
      <c r="I462" s="36" t="s">
        <v>524</v>
      </c>
      <c r="J462" s="69">
        <v>20000</v>
      </c>
      <c r="K462" s="69">
        <v>1980000</v>
      </c>
      <c r="L462" s="38" t="s">
        <v>14</v>
      </c>
      <c r="M462" s="38" t="s">
        <v>14</v>
      </c>
      <c r="N462" s="39" t="s">
        <v>14</v>
      </c>
      <c r="O462" s="39" t="s">
        <v>14</v>
      </c>
      <c r="P462" s="39" t="s">
        <v>14</v>
      </c>
      <c r="Q462" s="38" t="s">
        <v>14</v>
      </c>
    </row>
    <row r="463" spans="2:17" ht="15.75" thickBot="1" x14ac:dyDescent="0.3">
      <c r="B463" s="35">
        <v>16</v>
      </c>
      <c r="C463" s="34" t="s">
        <v>598</v>
      </c>
      <c r="D463" s="34" t="s">
        <v>598</v>
      </c>
      <c r="E463" s="42">
        <v>45450</v>
      </c>
      <c r="F463" s="34" t="s">
        <v>1395</v>
      </c>
      <c r="G463" s="36" t="s">
        <v>1396</v>
      </c>
      <c r="H463" s="36" t="s">
        <v>1366</v>
      </c>
      <c r="I463" s="36" t="s">
        <v>1143</v>
      </c>
      <c r="J463" s="69">
        <v>0</v>
      </c>
      <c r="K463" s="69">
        <v>0</v>
      </c>
      <c r="L463" s="38"/>
      <c r="M463" s="38"/>
      <c r="N463" s="39"/>
      <c r="O463" s="39"/>
      <c r="P463" s="39"/>
      <c r="Q463" s="38"/>
    </row>
    <row r="464" spans="2:17" ht="57" thickBot="1" x14ac:dyDescent="0.3">
      <c r="B464" s="35">
        <v>17</v>
      </c>
      <c r="C464" s="34" t="s">
        <v>598</v>
      </c>
      <c r="D464" s="34" t="s">
        <v>598</v>
      </c>
      <c r="E464" s="65">
        <v>45450</v>
      </c>
      <c r="F464" s="34" t="s">
        <v>1397</v>
      </c>
      <c r="G464" s="34" t="s">
        <v>1398</v>
      </c>
      <c r="H464" s="74" t="s">
        <v>1399</v>
      </c>
      <c r="I464" s="34" t="s">
        <v>1400</v>
      </c>
      <c r="J464" s="75">
        <v>0</v>
      </c>
      <c r="K464" s="69">
        <v>0</v>
      </c>
      <c r="L464" s="38" t="s">
        <v>14</v>
      </c>
      <c r="M464" s="38" t="s">
        <v>14</v>
      </c>
      <c r="N464" s="39" t="s">
        <v>14</v>
      </c>
      <c r="O464" s="39" t="s">
        <v>14</v>
      </c>
      <c r="P464" s="39" t="s">
        <v>14</v>
      </c>
      <c r="Q464" s="38" t="s">
        <v>14</v>
      </c>
    </row>
    <row r="465" spans="2:17" ht="39" thickBot="1" x14ac:dyDescent="0.3">
      <c r="B465" s="35">
        <v>18</v>
      </c>
      <c r="C465" s="34" t="s">
        <v>598</v>
      </c>
      <c r="D465" s="34" t="s">
        <v>598</v>
      </c>
      <c r="E465" s="40">
        <v>45451</v>
      </c>
      <c r="F465" s="34" t="s">
        <v>1150</v>
      </c>
      <c r="G465" s="34" t="s">
        <v>1401</v>
      </c>
      <c r="H465" s="34" t="s">
        <v>25</v>
      </c>
      <c r="I465" s="34" t="s">
        <v>124</v>
      </c>
      <c r="J465" s="69">
        <v>200000</v>
      </c>
      <c r="K465" s="69">
        <v>100000</v>
      </c>
      <c r="L465" s="38" t="s">
        <v>14</v>
      </c>
      <c r="M465" s="38" t="s">
        <v>14</v>
      </c>
      <c r="N465" s="39" t="s">
        <v>14</v>
      </c>
      <c r="O465" s="39" t="s">
        <v>14</v>
      </c>
      <c r="P465" s="39" t="s">
        <v>14</v>
      </c>
      <c r="Q465" s="38" t="s">
        <v>14</v>
      </c>
    </row>
    <row r="466" spans="2:17" ht="39" thickBot="1" x14ac:dyDescent="0.3">
      <c r="B466" s="35">
        <v>19</v>
      </c>
      <c r="C466" s="34" t="s">
        <v>598</v>
      </c>
      <c r="D466" s="34" t="s">
        <v>598</v>
      </c>
      <c r="E466" s="40">
        <v>45451</v>
      </c>
      <c r="F466" s="34" t="s">
        <v>1402</v>
      </c>
      <c r="G466" s="36" t="s">
        <v>1403</v>
      </c>
      <c r="H466" s="34" t="s">
        <v>1366</v>
      </c>
      <c r="I466" s="34" t="s">
        <v>896</v>
      </c>
      <c r="J466" s="69">
        <v>0</v>
      </c>
      <c r="K466" s="69">
        <v>0</v>
      </c>
      <c r="L466" s="38" t="s">
        <v>14</v>
      </c>
      <c r="M466" s="38" t="s">
        <v>14</v>
      </c>
      <c r="N466" s="39" t="s">
        <v>14</v>
      </c>
      <c r="O466" s="39" t="s">
        <v>14</v>
      </c>
      <c r="P466" s="39" t="s">
        <v>14</v>
      </c>
      <c r="Q466" s="38" t="s">
        <v>14</v>
      </c>
    </row>
    <row r="467" spans="2:17" ht="15.75" thickBot="1" x14ac:dyDescent="0.3">
      <c r="B467" s="35">
        <v>20</v>
      </c>
      <c r="C467" s="34" t="s">
        <v>657</v>
      </c>
      <c r="D467" s="34" t="s">
        <v>598</v>
      </c>
      <c r="E467" s="40">
        <v>45451</v>
      </c>
      <c r="F467" s="38" t="s">
        <v>1404</v>
      </c>
      <c r="G467" s="38" t="s">
        <v>1405</v>
      </c>
      <c r="H467" s="34" t="s">
        <v>40</v>
      </c>
      <c r="I467" s="34" t="s">
        <v>1149</v>
      </c>
      <c r="J467" s="69">
        <v>400000</v>
      </c>
      <c r="K467" s="69">
        <v>600000</v>
      </c>
      <c r="L467" s="34" t="s">
        <v>14</v>
      </c>
      <c r="M467" s="34" t="s">
        <v>14</v>
      </c>
      <c r="N467" s="33" t="s">
        <v>14</v>
      </c>
      <c r="O467" s="33" t="s">
        <v>14</v>
      </c>
      <c r="P467" s="33" t="s">
        <v>14</v>
      </c>
      <c r="Q467" s="34" t="s">
        <v>14</v>
      </c>
    </row>
    <row r="468" spans="2:17" ht="15.75" thickBot="1" x14ac:dyDescent="0.3">
      <c r="B468" s="35">
        <v>21</v>
      </c>
      <c r="C468" s="34" t="s">
        <v>657</v>
      </c>
      <c r="D468" s="34" t="s">
        <v>598</v>
      </c>
      <c r="E468" s="40">
        <v>45452</v>
      </c>
      <c r="F468" s="38" t="s">
        <v>1406</v>
      </c>
      <c r="G468" s="38" t="s">
        <v>1407</v>
      </c>
      <c r="H468" s="34" t="s">
        <v>629</v>
      </c>
      <c r="I468" s="34" t="s">
        <v>316</v>
      </c>
      <c r="J468" s="69">
        <v>500000</v>
      </c>
      <c r="K468" s="69">
        <v>1500000</v>
      </c>
      <c r="L468" s="34" t="s">
        <v>14</v>
      </c>
      <c r="M468" s="34" t="s">
        <v>14</v>
      </c>
      <c r="N468" s="33" t="s">
        <v>14</v>
      </c>
      <c r="O468" s="33" t="s">
        <v>14</v>
      </c>
      <c r="P468" s="33" t="s">
        <v>14</v>
      </c>
      <c r="Q468" s="34" t="s">
        <v>14</v>
      </c>
    </row>
    <row r="469" spans="2:17" ht="15.75" thickBot="1" x14ac:dyDescent="0.3">
      <c r="B469" s="35">
        <v>22</v>
      </c>
      <c r="C469" s="34" t="s">
        <v>657</v>
      </c>
      <c r="D469" s="34" t="s">
        <v>598</v>
      </c>
      <c r="E469" s="40">
        <v>45452</v>
      </c>
      <c r="F469" s="38" t="s">
        <v>1408</v>
      </c>
      <c r="G469" s="38" t="s">
        <v>1409</v>
      </c>
      <c r="H469" s="34" t="s">
        <v>1410</v>
      </c>
      <c r="I469" s="38" t="s">
        <v>316</v>
      </c>
      <c r="J469" s="69">
        <v>300000</v>
      </c>
      <c r="K469" s="69">
        <v>2000000</v>
      </c>
      <c r="L469" s="34" t="s">
        <v>14</v>
      </c>
      <c r="M469" s="34" t="s">
        <v>14</v>
      </c>
      <c r="N469" s="33" t="s">
        <v>14</v>
      </c>
      <c r="O469" s="33" t="s">
        <v>14</v>
      </c>
      <c r="P469" s="33" t="s">
        <v>14</v>
      </c>
      <c r="Q469" s="34" t="s">
        <v>14</v>
      </c>
    </row>
    <row r="470" spans="2:17" ht="15.75" thickBot="1" x14ac:dyDescent="0.3">
      <c r="B470" s="35">
        <v>23</v>
      </c>
      <c r="C470" s="34" t="s">
        <v>657</v>
      </c>
      <c r="D470" s="34" t="s">
        <v>598</v>
      </c>
      <c r="E470" s="40">
        <v>45452</v>
      </c>
      <c r="F470" s="38" t="s">
        <v>1411</v>
      </c>
      <c r="G470" s="38" t="s">
        <v>1412</v>
      </c>
      <c r="H470" s="38" t="s">
        <v>1366</v>
      </c>
      <c r="I470" s="34" t="s">
        <v>316</v>
      </c>
      <c r="J470" s="69">
        <v>0</v>
      </c>
      <c r="K470" s="69">
        <v>0</v>
      </c>
      <c r="L470" s="38" t="s">
        <v>14</v>
      </c>
      <c r="M470" s="38" t="s">
        <v>14</v>
      </c>
      <c r="N470" s="39" t="s">
        <v>14</v>
      </c>
      <c r="O470" s="39" t="s">
        <v>14</v>
      </c>
      <c r="P470" s="39" t="s">
        <v>14</v>
      </c>
      <c r="Q470" s="38" t="s">
        <v>14</v>
      </c>
    </row>
    <row r="471" spans="2:17" ht="26.25" thickBot="1" x14ac:dyDescent="0.3">
      <c r="B471" s="35">
        <v>24</v>
      </c>
      <c r="C471" s="34" t="s">
        <v>657</v>
      </c>
      <c r="D471" s="34" t="s">
        <v>598</v>
      </c>
      <c r="E471" s="40">
        <v>45452</v>
      </c>
      <c r="F471" s="38" t="s">
        <v>1413</v>
      </c>
      <c r="G471" s="38" t="s">
        <v>1414</v>
      </c>
      <c r="H471" s="34" t="s">
        <v>1366</v>
      </c>
      <c r="I471" s="34" t="s">
        <v>941</v>
      </c>
      <c r="J471" s="69">
        <v>0</v>
      </c>
      <c r="K471" s="69">
        <v>0</v>
      </c>
      <c r="L471" s="38" t="s">
        <v>14</v>
      </c>
      <c r="M471" s="38" t="s">
        <v>14</v>
      </c>
      <c r="N471" s="39" t="s">
        <v>14</v>
      </c>
      <c r="O471" s="39" t="s">
        <v>14</v>
      </c>
      <c r="P471" s="39" t="s">
        <v>14</v>
      </c>
      <c r="Q471" s="38" t="s">
        <v>14</v>
      </c>
    </row>
    <row r="472" spans="2:17" ht="26.25" thickBot="1" x14ac:dyDescent="0.3">
      <c r="B472" s="35">
        <v>25</v>
      </c>
      <c r="C472" s="34" t="s">
        <v>657</v>
      </c>
      <c r="D472" s="34" t="s">
        <v>598</v>
      </c>
      <c r="E472" s="42">
        <v>45453</v>
      </c>
      <c r="F472" s="38" t="s">
        <v>1415</v>
      </c>
      <c r="G472" s="38" t="s">
        <v>1416</v>
      </c>
      <c r="H472" s="34" t="s">
        <v>1417</v>
      </c>
      <c r="I472" s="34" t="s">
        <v>941</v>
      </c>
      <c r="J472" s="69">
        <v>0</v>
      </c>
      <c r="K472" s="69">
        <v>0</v>
      </c>
      <c r="L472" s="38" t="s">
        <v>14</v>
      </c>
      <c r="M472" s="38" t="s">
        <v>14</v>
      </c>
      <c r="N472" s="39" t="s">
        <v>14</v>
      </c>
      <c r="O472" s="39" t="s">
        <v>14</v>
      </c>
      <c r="P472" s="39" t="s">
        <v>14</v>
      </c>
      <c r="Q472" s="38" t="s">
        <v>14</v>
      </c>
    </row>
    <row r="473" spans="2:17" ht="26.25" thickBot="1" x14ac:dyDescent="0.3">
      <c r="B473" s="35">
        <v>26</v>
      </c>
      <c r="C473" s="34" t="s">
        <v>657</v>
      </c>
      <c r="D473" s="34" t="s">
        <v>598</v>
      </c>
      <c r="E473" s="42">
        <v>45454</v>
      </c>
      <c r="F473" s="38" t="s">
        <v>1418</v>
      </c>
      <c r="G473" s="38" t="s">
        <v>1419</v>
      </c>
      <c r="H473" s="34" t="s">
        <v>25</v>
      </c>
      <c r="I473" s="34" t="s">
        <v>267</v>
      </c>
      <c r="J473" s="69">
        <v>200000</v>
      </c>
      <c r="K473" s="69">
        <v>600000</v>
      </c>
      <c r="L473" s="38" t="s">
        <v>14</v>
      </c>
      <c r="M473" s="38" t="s">
        <v>14</v>
      </c>
      <c r="N473" s="39" t="s">
        <v>14</v>
      </c>
      <c r="O473" s="39" t="s">
        <v>14</v>
      </c>
      <c r="P473" s="39" t="s">
        <v>14</v>
      </c>
      <c r="Q473" s="38" t="s">
        <v>14</v>
      </c>
    </row>
    <row r="474" spans="2:17" ht="26.25" thickBot="1" x14ac:dyDescent="0.3">
      <c r="B474" s="35">
        <v>27</v>
      </c>
      <c r="C474" s="34" t="s">
        <v>657</v>
      </c>
      <c r="D474" s="34" t="s">
        <v>598</v>
      </c>
      <c r="E474" s="42">
        <v>45454</v>
      </c>
      <c r="F474" s="38" t="s">
        <v>159</v>
      </c>
      <c r="G474" s="38" t="s">
        <v>1420</v>
      </c>
      <c r="H474" s="34" t="s">
        <v>40</v>
      </c>
      <c r="I474" s="34" t="s">
        <v>1421</v>
      </c>
      <c r="J474" s="69">
        <v>50000</v>
      </c>
      <c r="K474" s="69">
        <v>450000</v>
      </c>
      <c r="L474" s="38" t="s">
        <v>14</v>
      </c>
      <c r="M474" s="38" t="s">
        <v>14</v>
      </c>
      <c r="N474" s="39" t="s">
        <v>14</v>
      </c>
      <c r="O474" s="39" t="s">
        <v>14</v>
      </c>
      <c r="P474" s="39" t="s">
        <v>14</v>
      </c>
      <c r="Q474" s="38" t="s">
        <v>14</v>
      </c>
    </row>
    <row r="475" spans="2:17" ht="15.75" thickBot="1" x14ac:dyDescent="0.3">
      <c r="B475" s="35">
        <v>28</v>
      </c>
      <c r="C475" s="34" t="s">
        <v>657</v>
      </c>
      <c r="D475" s="34" t="s">
        <v>598</v>
      </c>
      <c r="E475" s="42">
        <v>45454</v>
      </c>
      <c r="F475" s="38" t="s">
        <v>1290</v>
      </c>
      <c r="G475" s="38" t="s">
        <v>1422</v>
      </c>
      <c r="H475" s="38" t="s">
        <v>40</v>
      </c>
      <c r="I475" s="34" t="s">
        <v>1423</v>
      </c>
      <c r="J475" s="69">
        <v>20000</v>
      </c>
      <c r="K475" s="69">
        <v>480000</v>
      </c>
      <c r="L475" s="38" t="s">
        <v>14</v>
      </c>
      <c r="M475" s="38" t="s">
        <v>14</v>
      </c>
      <c r="N475" s="39" t="s">
        <v>14</v>
      </c>
      <c r="O475" s="39" t="s">
        <v>14</v>
      </c>
      <c r="P475" s="39" t="s">
        <v>14</v>
      </c>
      <c r="Q475" s="38" t="s">
        <v>14</v>
      </c>
    </row>
    <row r="476" spans="2:17" ht="26.25" thickBot="1" x14ac:dyDescent="0.3">
      <c r="B476" s="35">
        <v>29</v>
      </c>
      <c r="C476" s="34" t="s">
        <v>657</v>
      </c>
      <c r="D476" s="34" t="s">
        <v>598</v>
      </c>
      <c r="E476" s="42">
        <v>45454</v>
      </c>
      <c r="F476" s="38" t="s">
        <v>252</v>
      </c>
      <c r="G476" s="38" t="s">
        <v>1424</v>
      </c>
      <c r="H476" s="34" t="s">
        <v>1163</v>
      </c>
      <c r="I476" s="34" t="s">
        <v>267</v>
      </c>
      <c r="J476" s="69">
        <v>500000</v>
      </c>
      <c r="K476" s="69">
        <v>1500000</v>
      </c>
      <c r="L476" s="38" t="s">
        <v>14</v>
      </c>
      <c r="M476" s="38" t="s">
        <v>14</v>
      </c>
      <c r="N476" s="39" t="s">
        <v>14</v>
      </c>
      <c r="O476" s="39" t="s">
        <v>14</v>
      </c>
      <c r="P476" s="39" t="s">
        <v>14</v>
      </c>
      <c r="Q476" s="38" t="s">
        <v>14</v>
      </c>
    </row>
    <row r="477" spans="2:17" ht="26.25" thickBot="1" x14ac:dyDescent="0.3">
      <c r="B477" s="35">
        <v>30</v>
      </c>
      <c r="C477" s="34" t="s">
        <v>657</v>
      </c>
      <c r="D477" s="34" t="s">
        <v>598</v>
      </c>
      <c r="E477" s="42">
        <v>45454</v>
      </c>
      <c r="F477" s="38" t="s">
        <v>1259</v>
      </c>
      <c r="G477" s="38" t="s">
        <v>1425</v>
      </c>
      <c r="H477" s="34" t="s">
        <v>629</v>
      </c>
      <c r="I477" s="34" t="s">
        <v>887</v>
      </c>
      <c r="J477" s="69">
        <v>250000</v>
      </c>
      <c r="K477" s="69">
        <v>50000</v>
      </c>
      <c r="L477" s="38" t="s">
        <v>14</v>
      </c>
      <c r="M477" s="38" t="s">
        <v>14</v>
      </c>
      <c r="N477" s="39" t="s">
        <v>14</v>
      </c>
      <c r="O477" s="39" t="s">
        <v>14</v>
      </c>
      <c r="P477" s="39" t="s">
        <v>14</v>
      </c>
      <c r="Q477" s="38" t="s">
        <v>14</v>
      </c>
    </row>
    <row r="478" spans="2:17" ht="26.25" thickBot="1" x14ac:dyDescent="0.3">
      <c r="B478" s="35">
        <v>31</v>
      </c>
      <c r="C478" s="34" t="s">
        <v>657</v>
      </c>
      <c r="D478" s="34" t="s">
        <v>657</v>
      </c>
      <c r="E478" s="42">
        <v>45454</v>
      </c>
      <c r="F478" s="38" t="s">
        <v>1426</v>
      </c>
      <c r="G478" s="38" t="s">
        <v>1427</v>
      </c>
      <c r="H478" s="34" t="s">
        <v>1428</v>
      </c>
      <c r="I478" s="34" t="s">
        <v>1149</v>
      </c>
      <c r="J478" s="69">
        <v>300000</v>
      </c>
      <c r="K478" s="69">
        <v>1700000</v>
      </c>
      <c r="L478" s="38" t="s">
        <v>14</v>
      </c>
      <c r="M478" s="38" t="s">
        <v>14</v>
      </c>
      <c r="N478" s="39" t="s">
        <v>14</v>
      </c>
      <c r="O478" s="39" t="s">
        <v>14</v>
      </c>
      <c r="P478" s="39" t="s">
        <v>14</v>
      </c>
      <c r="Q478" s="38" t="s">
        <v>14</v>
      </c>
    </row>
    <row r="479" spans="2:17" ht="26.25" thickBot="1" x14ac:dyDescent="0.3">
      <c r="B479" s="35">
        <v>32</v>
      </c>
      <c r="C479" s="34" t="s">
        <v>657</v>
      </c>
      <c r="D479" s="34" t="s">
        <v>657</v>
      </c>
      <c r="E479" s="42">
        <v>45455</v>
      </c>
      <c r="F479" s="38" t="s">
        <v>1429</v>
      </c>
      <c r="G479" s="38" t="s">
        <v>1430</v>
      </c>
      <c r="H479" s="34" t="s">
        <v>1410</v>
      </c>
      <c r="I479" s="34" t="s">
        <v>1431</v>
      </c>
      <c r="J479" s="69">
        <v>50000</v>
      </c>
      <c r="K479" s="69">
        <v>450000</v>
      </c>
      <c r="L479" s="38"/>
      <c r="M479" s="38"/>
      <c r="N479" s="39"/>
      <c r="O479" s="39"/>
      <c r="P479" s="39"/>
      <c r="Q479" s="38"/>
    </row>
    <row r="480" spans="2:17" ht="15.75" thickBot="1" x14ac:dyDescent="0.3">
      <c r="B480" s="35">
        <v>33</v>
      </c>
      <c r="C480" s="34" t="s">
        <v>657</v>
      </c>
      <c r="D480" s="34" t="s">
        <v>657</v>
      </c>
      <c r="E480" s="42">
        <v>45455</v>
      </c>
      <c r="F480" s="38" t="s">
        <v>1432</v>
      </c>
      <c r="G480" s="38" t="s">
        <v>1433</v>
      </c>
      <c r="H480" s="34" t="s">
        <v>40</v>
      </c>
      <c r="I480" s="38" t="s">
        <v>1434</v>
      </c>
      <c r="J480" s="69">
        <v>0</v>
      </c>
      <c r="K480" s="69">
        <v>0</v>
      </c>
      <c r="L480" s="38"/>
      <c r="M480" s="38"/>
      <c r="N480" s="39"/>
      <c r="O480" s="39"/>
      <c r="P480" s="39"/>
      <c r="Q480" s="38"/>
    </row>
    <row r="481" spans="2:17" ht="26.25" thickBot="1" x14ac:dyDescent="0.3">
      <c r="B481" s="35">
        <v>34</v>
      </c>
      <c r="C481" s="34" t="s">
        <v>657</v>
      </c>
      <c r="D481" s="34" t="s">
        <v>657</v>
      </c>
      <c r="E481" s="42">
        <v>45455</v>
      </c>
      <c r="F481" s="38" t="s">
        <v>1435</v>
      </c>
      <c r="G481" s="38" t="s">
        <v>1436</v>
      </c>
      <c r="H481" s="34" t="s">
        <v>1410</v>
      </c>
      <c r="I481" s="34" t="s">
        <v>524</v>
      </c>
      <c r="J481" s="69">
        <v>600000</v>
      </c>
      <c r="K481" s="69">
        <v>2400000</v>
      </c>
      <c r="L481" s="38" t="s">
        <v>14</v>
      </c>
      <c r="M481" s="38" t="s">
        <v>14</v>
      </c>
      <c r="N481" s="39" t="s">
        <v>14</v>
      </c>
      <c r="O481" s="39" t="s">
        <v>14</v>
      </c>
      <c r="P481" s="39" t="s">
        <v>14</v>
      </c>
      <c r="Q481" s="38" t="s">
        <v>14</v>
      </c>
    </row>
    <row r="482" spans="2:17" ht="26.25" thickBot="1" x14ac:dyDescent="0.3">
      <c r="B482" s="35">
        <v>35</v>
      </c>
      <c r="C482" s="34" t="s">
        <v>657</v>
      </c>
      <c r="D482" s="34" t="s">
        <v>657</v>
      </c>
      <c r="E482" s="42">
        <v>45455</v>
      </c>
      <c r="F482" s="38" t="s">
        <v>1437</v>
      </c>
      <c r="G482" s="38" t="s">
        <v>1438</v>
      </c>
      <c r="H482" s="34" t="s">
        <v>1439</v>
      </c>
      <c r="I482" s="57" t="s">
        <v>1149</v>
      </c>
      <c r="J482" s="69">
        <v>0</v>
      </c>
      <c r="K482" s="69">
        <v>0</v>
      </c>
      <c r="L482" s="38" t="s">
        <v>14</v>
      </c>
      <c r="M482" s="38" t="s">
        <v>14</v>
      </c>
      <c r="N482" s="39" t="s">
        <v>14</v>
      </c>
      <c r="O482" s="39" t="s">
        <v>14</v>
      </c>
      <c r="P482" s="39" t="s">
        <v>14</v>
      </c>
      <c r="Q482" s="38" t="s">
        <v>14</v>
      </c>
    </row>
    <row r="483" spans="2:17" ht="15.75" thickBot="1" x14ac:dyDescent="0.3">
      <c r="B483" s="35">
        <v>36</v>
      </c>
      <c r="C483" s="34" t="s">
        <v>657</v>
      </c>
      <c r="D483" s="34" t="s">
        <v>657</v>
      </c>
      <c r="E483" s="42">
        <v>45455</v>
      </c>
      <c r="F483" s="38" t="s">
        <v>905</v>
      </c>
      <c r="G483" s="38" t="s">
        <v>1440</v>
      </c>
      <c r="H483" s="34" t="s">
        <v>25</v>
      </c>
      <c r="I483" s="34" t="s">
        <v>862</v>
      </c>
      <c r="J483" s="69">
        <v>400000</v>
      </c>
      <c r="K483" s="69">
        <v>1600000</v>
      </c>
      <c r="L483" s="38" t="s">
        <v>14</v>
      </c>
      <c r="M483" s="38" t="s">
        <v>14</v>
      </c>
      <c r="N483" s="39" t="s">
        <v>14</v>
      </c>
      <c r="O483" s="39" t="s">
        <v>14</v>
      </c>
      <c r="P483" s="39" t="s">
        <v>14</v>
      </c>
      <c r="Q483" s="38" t="s">
        <v>14</v>
      </c>
    </row>
    <row r="484" spans="2:17" ht="26.25" thickBot="1" x14ac:dyDescent="0.3">
      <c r="B484" s="35">
        <v>37</v>
      </c>
      <c r="C484" s="34" t="s">
        <v>657</v>
      </c>
      <c r="D484" s="34" t="s">
        <v>657</v>
      </c>
      <c r="E484" s="42">
        <v>45455</v>
      </c>
      <c r="F484" s="38" t="s">
        <v>304</v>
      </c>
      <c r="G484" s="38" t="s">
        <v>1441</v>
      </c>
      <c r="H484" s="34" t="s">
        <v>151</v>
      </c>
      <c r="I484" s="34" t="s">
        <v>1442</v>
      </c>
      <c r="J484" s="69">
        <v>10000</v>
      </c>
      <c r="K484" s="69">
        <v>1990000</v>
      </c>
      <c r="L484" s="38" t="s">
        <v>14</v>
      </c>
      <c r="M484" s="38" t="s">
        <v>14</v>
      </c>
      <c r="N484" s="39" t="s">
        <v>14</v>
      </c>
      <c r="O484" s="39" t="s">
        <v>14</v>
      </c>
      <c r="P484" s="39" t="s">
        <v>14</v>
      </c>
      <c r="Q484" s="38" t="s">
        <v>14</v>
      </c>
    </row>
    <row r="485" spans="2:17" ht="26.25" thickBot="1" x14ac:dyDescent="0.3">
      <c r="B485" s="35">
        <v>38</v>
      </c>
      <c r="C485" s="34" t="s">
        <v>657</v>
      </c>
      <c r="D485" s="34" t="s">
        <v>657</v>
      </c>
      <c r="E485" s="42">
        <v>45455</v>
      </c>
      <c r="F485" s="38" t="s">
        <v>1395</v>
      </c>
      <c r="G485" s="38" t="s">
        <v>1443</v>
      </c>
      <c r="H485" s="34" t="s">
        <v>629</v>
      </c>
      <c r="I485" s="34" t="s">
        <v>941</v>
      </c>
      <c r="J485" s="69">
        <v>20000</v>
      </c>
      <c r="K485" s="69">
        <v>480000</v>
      </c>
      <c r="L485" s="38" t="s">
        <v>14</v>
      </c>
      <c r="M485" s="38" t="s">
        <v>14</v>
      </c>
      <c r="N485" s="39" t="s">
        <v>14</v>
      </c>
      <c r="O485" s="39" t="s">
        <v>14</v>
      </c>
      <c r="P485" s="39" t="s">
        <v>14</v>
      </c>
      <c r="Q485" s="38" t="s">
        <v>14</v>
      </c>
    </row>
    <row r="486" spans="2:17" ht="26.25" thickBot="1" x14ac:dyDescent="0.3">
      <c r="B486" s="35">
        <v>39</v>
      </c>
      <c r="C486" s="34" t="s">
        <v>657</v>
      </c>
      <c r="D486" s="34" t="s">
        <v>657</v>
      </c>
      <c r="E486" s="42">
        <v>45456</v>
      </c>
      <c r="F486" s="38" t="s">
        <v>297</v>
      </c>
      <c r="G486" s="38" t="s">
        <v>1444</v>
      </c>
      <c r="H486" s="34" t="s">
        <v>1417</v>
      </c>
      <c r="I486" s="34" t="s">
        <v>1445</v>
      </c>
      <c r="J486" s="69">
        <v>10000</v>
      </c>
      <c r="K486" s="69">
        <v>490000</v>
      </c>
      <c r="L486" s="38" t="s">
        <v>14</v>
      </c>
      <c r="M486" s="38" t="s">
        <v>14</v>
      </c>
      <c r="N486" s="39" t="s">
        <v>14</v>
      </c>
      <c r="O486" s="39" t="s">
        <v>14</v>
      </c>
      <c r="P486" s="39" t="s">
        <v>14</v>
      </c>
      <c r="Q486" s="38" t="s">
        <v>14</v>
      </c>
    </row>
    <row r="487" spans="2:17" ht="26.25" thickBot="1" x14ac:dyDescent="0.3">
      <c r="B487" s="35">
        <v>40</v>
      </c>
      <c r="C487" s="34" t="s">
        <v>657</v>
      </c>
      <c r="D487" s="34" t="s">
        <v>657</v>
      </c>
      <c r="E487" s="42">
        <v>45457</v>
      </c>
      <c r="F487" s="38" t="s">
        <v>1426</v>
      </c>
      <c r="G487" s="38" t="s">
        <v>1446</v>
      </c>
      <c r="H487" s="34" t="s">
        <v>1146</v>
      </c>
      <c r="I487" s="34" t="s">
        <v>1149</v>
      </c>
      <c r="J487" s="69">
        <v>10000</v>
      </c>
      <c r="K487" s="69">
        <v>990000</v>
      </c>
      <c r="L487" s="38" t="s">
        <v>14</v>
      </c>
      <c r="M487" s="38" t="s">
        <v>14</v>
      </c>
      <c r="N487" s="39" t="s">
        <v>14</v>
      </c>
      <c r="O487" s="39" t="s">
        <v>14</v>
      </c>
      <c r="P487" s="39" t="s">
        <v>14</v>
      </c>
      <c r="Q487" s="38" t="s">
        <v>14</v>
      </c>
    </row>
    <row r="488" spans="2:17" ht="39" thickBot="1" x14ac:dyDescent="0.3">
      <c r="B488" s="35">
        <v>41</v>
      </c>
      <c r="C488" s="34" t="s">
        <v>657</v>
      </c>
      <c r="D488" s="34" t="s">
        <v>657</v>
      </c>
      <c r="E488" s="42">
        <v>45457</v>
      </c>
      <c r="F488" s="38" t="s">
        <v>627</v>
      </c>
      <c r="G488" s="38" t="s">
        <v>1447</v>
      </c>
      <c r="H488" s="34" t="s">
        <v>1448</v>
      </c>
      <c r="I488" s="34" t="s">
        <v>524</v>
      </c>
      <c r="J488" s="69">
        <v>40000</v>
      </c>
      <c r="K488" s="69">
        <v>360000</v>
      </c>
      <c r="L488" s="38" t="s">
        <v>14</v>
      </c>
      <c r="M488" s="38" t="s">
        <v>14</v>
      </c>
      <c r="N488" s="39" t="s">
        <v>14</v>
      </c>
      <c r="O488" s="39" t="s">
        <v>14</v>
      </c>
      <c r="P488" s="39" t="s">
        <v>14</v>
      </c>
      <c r="Q488" s="38" t="s">
        <v>14</v>
      </c>
    </row>
    <row r="489" spans="2:17" ht="15.75" thickBot="1" x14ac:dyDescent="0.3">
      <c r="B489" s="35">
        <v>42</v>
      </c>
      <c r="C489" s="34" t="s">
        <v>657</v>
      </c>
      <c r="D489" s="34" t="s">
        <v>657</v>
      </c>
      <c r="E489" s="42">
        <v>45457</v>
      </c>
      <c r="F489" s="38" t="s">
        <v>1449</v>
      </c>
      <c r="G489" s="38" t="s">
        <v>1450</v>
      </c>
      <c r="H489" s="34" t="s">
        <v>1146</v>
      </c>
      <c r="I489" s="34" t="s">
        <v>1149</v>
      </c>
      <c r="J489" s="69">
        <v>100000</v>
      </c>
      <c r="K489" s="69">
        <v>1900000</v>
      </c>
      <c r="L489" s="38" t="s">
        <v>14</v>
      </c>
      <c r="M489" s="38" t="s">
        <v>14</v>
      </c>
      <c r="N489" s="39" t="s">
        <v>14</v>
      </c>
      <c r="O489" s="39" t="s">
        <v>14</v>
      </c>
      <c r="P489" s="39" t="s">
        <v>14</v>
      </c>
      <c r="Q489" s="38" t="s">
        <v>14</v>
      </c>
    </row>
    <row r="490" spans="2:17" ht="26.25" thickBot="1" x14ac:dyDescent="0.3">
      <c r="B490" s="35">
        <v>43</v>
      </c>
      <c r="C490" s="34" t="s">
        <v>657</v>
      </c>
      <c r="D490" s="34" t="s">
        <v>657</v>
      </c>
      <c r="E490" s="42">
        <v>45457</v>
      </c>
      <c r="F490" s="38" t="s">
        <v>256</v>
      </c>
      <c r="G490" s="38" t="s">
        <v>1451</v>
      </c>
      <c r="H490" s="34" t="s">
        <v>1146</v>
      </c>
      <c r="I490" s="34" t="s">
        <v>1158</v>
      </c>
      <c r="J490" s="76">
        <v>0</v>
      </c>
      <c r="K490" s="69">
        <v>0</v>
      </c>
      <c r="L490" s="38"/>
      <c r="M490" s="38"/>
      <c r="N490" s="39"/>
      <c r="O490" s="39"/>
      <c r="P490" s="39"/>
      <c r="Q490" s="38"/>
    </row>
    <row r="491" spans="2:17" ht="26.25" thickBot="1" x14ac:dyDescent="0.3">
      <c r="B491" s="35">
        <v>44</v>
      </c>
      <c r="C491" s="34" t="s">
        <v>657</v>
      </c>
      <c r="D491" s="34" t="s">
        <v>657</v>
      </c>
      <c r="E491" s="42">
        <v>45457</v>
      </c>
      <c r="F491" s="38" t="s">
        <v>298</v>
      </c>
      <c r="G491" s="38" t="s">
        <v>1452</v>
      </c>
      <c r="H491" s="34" t="s">
        <v>1453</v>
      </c>
      <c r="I491" s="34" t="s">
        <v>1445</v>
      </c>
      <c r="J491" s="69">
        <v>0</v>
      </c>
      <c r="K491" s="69">
        <v>0</v>
      </c>
      <c r="L491" s="38" t="s">
        <v>14</v>
      </c>
      <c r="M491" s="38" t="s">
        <v>14</v>
      </c>
      <c r="N491" s="39" t="s">
        <v>14</v>
      </c>
      <c r="O491" s="39" t="s">
        <v>14</v>
      </c>
      <c r="P491" s="39" t="s">
        <v>14</v>
      </c>
      <c r="Q491" s="38" t="s">
        <v>14</v>
      </c>
    </row>
    <row r="492" spans="2:17" ht="39" thickBot="1" x14ac:dyDescent="0.3">
      <c r="B492" s="35">
        <v>45</v>
      </c>
      <c r="C492" s="34" t="s">
        <v>657</v>
      </c>
      <c r="D492" s="34" t="s">
        <v>657</v>
      </c>
      <c r="E492" s="42">
        <v>45458</v>
      </c>
      <c r="F492" s="38" t="s">
        <v>1454</v>
      </c>
      <c r="G492" s="38" t="s">
        <v>1455</v>
      </c>
      <c r="H492" s="34" t="s">
        <v>1146</v>
      </c>
      <c r="I492" s="34" t="s">
        <v>1149</v>
      </c>
      <c r="J492" s="69">
        <v>10000</v>
      </c>
      <c r="K492" s="69">
        <v>40000</v>
      </c>
      <c r="L492" s="38" t="s">
        <v>14</v>
      </c>
      <c r="M492" s="38" t="s">
        <v>14</v>
      </c>
      <c r="N492" s="39" t="s">
        <v>14</v>
      </c>
      <c r="O492" s="39" t="s">
        <v>14</v>
      </c>
      <c r="P492" s="39" t="s">
        <v>14</v>
      </c>
      <c r="Q492" s="38" t="s">
        <v>14</v>
      </c>
    </row>
    <row r="493" spans="2:17" ht="26.25" thickBot="1" x14ac:dyDescent="0.3">
      <c r="B493" s="35">
        <v>46</v>
      </c>
      <c r="C493" s="34" t="s">
        <v>657</v>
      </c>
      <c r="D493" s="34" t="s">
        <v>657</v>
      </c>
      <c r="E493" s="42">
        <v>45458</v>
      </c>
      <c r="F493" s="38" t="s">
        <v>305</v>
      </c>
      <c r="G493" s="38" t="s">
        <v>1456</v>
      </c>
      <c r="H493" s="34" t="s">
        <v>1410</v>
      </c>
      <c r="I493" s="34" t="s">
        <v>1456</v>
      </c>
      <c r="J493" s="69">
        <v>200000</v>
      </c>
      <c r="K493" s="69">
        <v>4800000</v>
      </c>
      <c r="L493" s="38" t="s">
        <v>14</v>
      </c>
      <c r="M493" s="38" t="s">
        <v>14</v>
      </c>
      <c r="N493" s="39" t="s">
        <v>14</v>
      </c>
      <c r="O493" s="39" t="s">
        <v>14</v>
      </c>
      <c r="P493" s="39" t="s">
        <v>14</v>
      </c>
      <c r="Q493" s="38" t="s">
        <v>14</v>
      </c>
    </row>
    <row r="494" spans="2:17" ht="15.75" thickBot="1" x14ac:dyDescent="0.3">
      <c r="B494" s="35">
        <v>47</v>
      </c>
      <c r="C494" s="34" t="s">
        <v>657</v>
      </c>
      <c r="D494" s="34" t="s">
        <v>657</v>
      </c>
      <c r="E494" s="42">
        <v>45458</v>
      </c>
      <c r="F494" s="38" t="s">
        <v>1457</v>
      </c>
      <c r="G494" s="38" t="s">
        <v>1458</v>
      </c>
      <c r="H494" s="34" t="s">
        <v>1146</v>
      </c>
      <c r="I494" s="34" t="s">
        <v>1459</v>
      </c>
      <c r="J494" s="69">
        <v>10000</v>
      </c>
      <c r="K494" s="76">
        <v>40000</v>
      </c>
      <c r="L494" s="38" t="s">
        <v>14</v>
      </c>
      <c r="M494" s="38" t="s">
        <v>14</v>
      </c>
      <c r="N494" s="39" t="s">
        <v>14</v>
      </c>
      <c r="O494" s="39" t="s">
        <v>14</v>
      </c>
      <c r="P494" s="39" t="s">
        <v>14</v>
      </c>
      <c r="Q494" s="38" t="s">
        <v>14</v>
      </c>
    </row>
    <row r="495" spans="2:17" ht="15.75" thickBot="1" x14ac:dyDescent="0.3">
      <c r="B495" s="35">
        <v>48</v>
      </c>
      <c r="C495" s="34" t="s">
        <v>657</v>
      </c>
      <c r="D495" s="34" t="s">
        <v>657</v>
      </c>
      <c r="E495" s="42">
        <v>45458</v>
      </c>
      <c r="F495" s="38" t="s">
        <v>1259</v>
      </c>
      <c r="G495" s="38" t="s">
        <v>1460</v>
      </c>
      <c r="H495" s="34" t="s">
        <v>1146</v>
      </c>
      <c r="I495" s="34" t="s">
        <v>1461</v>
      </c>
      <c r="J495" s="77">
        <v>20000</v>
      </c>
      <c r="K495" s="69">
        <v>80000</v>
      </c>
      <c r="L495" s="38" t="s">
        <v>14</v>
      </c>
      <c r="M495" s="38" t="s">
        <v>14</v>
      </c>
      <c r="N495" s="39" t="s">
        <v>14</v>
      </c>
      <c r="O495" s="39" t="s">
        <v>14</v>
      </c>
      <c r="P495" s="39" t="s">
        <v>14</v>
      </c>
      <c r="Q495" s="38" t="s">
        <v>14</v>
      </c>
    </row>
    <row r="496" spans="2:17" ht="15.75" thickBot="1" x14ac:dyDescent="0.3">
      <c r="B496" s="35">
        <v>49</v>
      </c>
      <c r="C496" s="34" t="s">
        <v>657</v>
      </c>
      <c r="D496" s="34" t="s">
        <v>657</v>
      </c>
      <c r="E496" s="42">
        <v>45458</v>
      </c>
      <c r="F496" s="38" t="s">
        <v>1462</v>
      </c>
      <c r="G496" s="38" t="s">
        <v>1460</v>
      </c>
      <c r="H496" s="34" t="s">
        <v>1146</v>
      </c>
      <c r="I496" s="34" t="s">
        <v>1463</v>
      </c>
      <c r="J496" s="69">
        <v>5000</v>
      </c>
      <c r="K496" s="69">
        <v>15000</v>
      </c>
      <c r="L496" s="38" t="s">
        <v>14</v>
      </c>
      <c r="M496" s="38" t="s">
        <v>14</v>
      </c>
      <c r="N496" s="39" t="s">
        <v>14</v>
      </c>
      <c r="O496" s="39" t="s">
        <v>14</v>
      </c>
      <c r="P496" s="39" t="s">
        <v>14</v>
      </c>
      <c r="Q496" s="38" t="s">
        <v>14</v>
      </c>
    </row>
    <row r="497" spans="2:17" ht="26.25" thickBot="1" x14ac:dyDescent="0.3">
      <c r="B497" s="35">
        <v>50</v>
      </c>
      <c r="C497" s="34" t="s">
        <v>657</v>
      </c>
      <c r="D497" s="34" t="s">
        <v>657</v>
      </c>
      <c r="E497" s="42">
        <v>45458</v>
      </c>
      <c r="F497" s="38" t="s">
        <v>1464</v>
      </c>
      <c r="G497" s="38" t="s">
        <v>1465</v>
      </c>
      <c r="H497" s="34" t="s">
        <v>1410</v>
      </c>
      <c r="I497" s="34" t="s">
        <v>1466</v>
      </c>
      <c r="J497" s="69">
        <v>10000</v>
      </c>
      <c r="K497" s="69">
        <v>90000</v>
      </c>
      <c r="L497" s="38" t="s">
        <v>14</v>
      </c>
      <c r="M497" s="38" t="s">
        <v>14</v>
      </c>
      <c r="N497" s="39" t="s">
        <v>14</v>
      </c>
      <c r="O497" s="39" t="s">
        <v>14</v>
      </c>
      <c r="P497" s="39" t="s">
        <v>14</v>
      </c>
      <c r="Q497" s="38" t="s">
        <v>14</v>
      </c>
    </row>
    <row r="498" spans="2:17" ht="26.25" thickBot="1" x14ac:dyDescent="0.3">
      <c r="B498" s="35">
        <v>51</v>
      </c>
      <c r="C498" s="34" t="s">
        <v>657</v>
      </c>
      <c r="D498" s="34" t="s">
        <v>657</v>
      </c>
      <c r="E498" s="42">
        <v>45458</v>
      </c>
      <c r="F498" s="38" t="s">
        <v>162</v>
      </c>
      <c r="G498" s="38" t="s">
        <v>1460</v>
      </c>
      <c r="H498" s="34" t="s">
        <v>1467</v>
      </c>
      <c r="I498" s="34" t="s">
        <v>1468</v>
      </c>
      <c r="J498" s="69">
        <v>0</v>
      </c>
      <c r="K498" s="69">
        <v>0</v>
      </c>
      <c r="L498" s="38" t="s">
        <v>14</v>
      </c>
      <c r="M498" s="38" t="s">
        <v>14</v>
      </c>
      <c r="N498" s="39" t="s">
        <v>14</v>
      </c>
      <c r="O498" s="39" t="s">
        <v>14</v>
      </c>
      <c r="P498" s="39" t="s">
        <v>14</v>
      </c>
      <c r="Q498" s="38" t="s">
        <v>14</v>
      </c>
    </row>
    <row r="499" spans="2:17" ht="26.25" thickBot="1" x14ac:dyDescent="0.3">
      <c r="B499" s="35">
        <v>52</v>
      </c>
      <c r="C499" s="34" t="s">
        <v>657</v>
      </c>
      <c r="D499" s="34" t="s">
        <v>657</v>
      </c>
      <c r="E499" s="42">
        <v>45459</v>
      </c>
      <c r="F499" s="38" t="s">
        <v>1469</v>
      </c>
      <c r="G499" s="38" t="s">
        <v>1470</v>
      </c>
      <c r="H499" s="34" t="s">
        <v>1471</v>
      </c>
      <c r="I499" s="34" t="s">
        <v>1472</v>
      </c>
      <c r="J499" s="69">
        <v>0</v>
      </c>
      <c r="K499" s="69">
        <v>0</v>
      </c>
      <c r="L499" s="38" t="s">
        <v>14</v>
      </c>
      <c r="M499" s="38" t="s">
        <v>14</v>
      </c>
      <c r="N499" s="39" t="s">
        <v>14</v>
      </c>
      <c r="O499" s="39" t="s">
        <v>14</v>
      </c>
      <c r="P499" s="39" t="s">
        <v>14</v>
      </c>
      <c r="Q499" s="38" t="s">
        <v>14</v>
      </c>
    </row>
    <row r="500" spans="2:17" ht="26.25" thickBot="1" x14ac:dyDescent="0.3">
      <c r="B500" s="35">
        <v>53</v>
      </c>
      <c r="C500" s="34" t="s">
        <v>657</v>
      </c>
      <c r="D500" s="34" t="s">
        <v>657</v>
      </c>
      <c r="E500" s="42">
        <v>45459</v>
      </c>
      <c r="F500" s="38" t="s">
        <v>1473</v>
      </c>
      <c r="G500" s="38" t="s">
        <v>1474</v>
      </c>
      <c r="H500" s="34" t="s">
        <v>1471</v>
      </c>
      <c r="I500" s="34" t="s">
        <v>1149</v>
      </c>
      <c r="J500" s="69">
        <v>0</v>
      </c>
      <c r="K500" s="69">
        <v>0</v>
      </c>
      <c r="L500" s="38"/>
      <c r="M500" s="38"/>
      <c r="N500" s="39"/>
      <c r="O500" s="39"/>
      <c r="P500" s="39"/>
      <c r="Q500" s="38"/>
    </row>
    <row r="501" spans="2:17" ht="15.75" thickBot="1" x14ac:dyDescent="0.3">
      <c r="B501" s="35">
        <v>54</v>
      </c>
      <c r="C501" s="34" t="s">
        <v>657</v>
      </c>
      <c r="D501" s="34" t="s">
        <v>657</v>
      </c>
      <c r="E501" s="42">
        <v>45459</v>
      </c>
      <c r="F501" s="38"/>
      <c r="G501" s="38" t="s">
        <v>1475</v>
      </c>
      <c r="H501" s="34" t="s">
        <v>1155</v>
      </c>
      <c r="I501" s="34"/>
      <c r="J501" s="69"/>
      <c r="K501" s="69"/>
      <c r="L501" s="38" t="s">
        <v>14</v>
      </c>
      <c r="M501" s="38" t="s">
        <v>14</v>
      </c>
      <c r="N501" s="39" t="s">
        <v>14</v>
      </c>
      <c r="O501" s="39" t="s">
        <v>14</v>
      </c>
      <c r="P501" s="39" t="s">
        <v>14</v>
      </c>
      <c r="Q501" s="38" t="s">
        <v>14</v>
      </c>
    </row>
    <row r="502" spans="2:17" ht="39" thickBot="1" x14ac:dyDescent="0.3">
      <c r="B502" s="35">
        <v>55</v>
      </c>
      <c r="C502" s="34" t="s">
        <v>657</v>
      </c>
      <c r="D502" s="34" t="s">
        <v>657</v>
      </c>
      <c r="E502" s="42">
        <v>45459</v>
      </c>
      <c r="F502" s="38" t="s">
        <v>1476</v>
      </c>
      <c r="G502" s="38" t="s">
        <v>1477</v>
      </c>
      <c r="H502" s="34" t="s">
        <v>25</v>
      </c>
      <c r="I502" s="34" t="s">
        <v>1478</v>
      </c>
      <c r="J502" s="77">
        <v>400000</v>
      </c>
      <c r="K502" s="69">
        <v>100000</v>
      </c>
      <c r="L502" s="38" t="s">
        <v>14</v>
      </c>
      <c r="M502" s="38" t="s">
        <v>14</v>
      </c>
      <c r="N502" s="39" t="s">
        <v>14</v>
      </c>
      <c r="O502" s="39" t="s">
        <v>14</v>
      </c>
      <c r="P502" s="39" t="s">
        <v>14</v>
      </c>
      <c r="Q502" s="38" t="s">
        <v>14</v>
      </c>
    </row>
    <row r="503" spans="2:17" ht="15.75" thickBot="1" x14ac:dyDescent="0.3">
      <c r="B503" s="35">
        <v>56</v>
      </c>
      <c r="C503" s="34" t="s">
        <v>657</v>
      </c>
      <c r="D503" s="34" t="s">
        <v>657</v>
      </c>
      <c r="E503" s="42">
        <v>45459</v>
      </c>
      <c r="F503" s="38" t="s">
        <v>1479</v>
      </c>
      <c r="G503" s="38" t="s">
        <v>1480</v>
      </c>
      <c r="H503" s="34" t="s">
        <v>629</v>
      </c>
      <c r="I503" s="34" t="s">
        <v>458</v>
      </c>
      <c r="J503" s="69">
        <v>0</v>
      </c>
      <c r="K503" s="69">
        <v>0</v>
      </c>
      <c r="L503" s="38" t="s">
        <v>14</v>
      </c>
      <c r="M503" s="38" t="s">
        <v>14</v>
      </c>
      <c r="N503" s="39" t="s">
        <v>14</v>
      </c>
      <c r="O503" s="39" t="s">
        <v>14</v>
      </c>
      <c r="P503" s="39" t="s">
        <v>14</v>
      </c>
      <c r="Q503" s="38" t="s">
        <v>14</v>
      </c>
    </row>
    <row r="504" spans="2:17" ht="15.75" thickBot="1" x14ac:dyDescent="0.3">
      <c r="B504" s="35">
        <v>57</v>
      </c>
      <c r="C504" s="34" t="s">
        <v>657</v>
      </c>
      <c r="D504" s="34" t="s">
        <v>657</v>
      </c>
      <c r="E504" s="42">
        <v>45459</v>
      </c>
      <c r="F504" s="38" t="s">
        <v>1481</v>
      </c>
      <c r="G504" s="38" t="s">
        <v>1482</v>
      </c>
      <c r="H504" s="34" t="s">
        <v>40</v>
      </c>
      <c r="I504" s="34" t="s">
        <v>1483</v>
      </c>
      <c r="J504" s="69">
        <v>30000</v>
      </c>
      <c r="K504" s="69">
        <v>970000</v>
      </c>
      <c r="L504" s="38" t="s">
        <v>14</v>
      </c>
      <c r="M504" s="38" t="s">
        <v>14</v>
      </c>
      <c r="N504" s="39" t="s">
        <v>14</v>
      </c>
      <c r="O504" s="39" t="s">
        <v>14</v>
      </c>
      <c r="P504" s="39" t="s">
        <v>14</v>
      </c>
      <c r="Q504" s="38" t="s">
        <v>14</v>
      </c>
    </row>
    <row r="505" spans="2:17" ht="39" thickBot="1" x14ac:dyDescent="0.3">
      <c r="B505" s="35">
        <v>58</v>
      </c>
      <c r="C505" s="34" t="s">
        <v>657</v>
      </c>
      <c r="D505" s="34" t="s">
        <v>657</v>
      </c>
      <c r="E505" s="42">
        <v>45460</v>
      </c>
      <c r="F505" s="38" t="s">
        <v>1337</v>
      </c>
      <c r="G505" s="38" t="s">
        <v>1403</v>
      </c>
      <c r="H505" s="34" t="s">
        <v>629</v>
      </c>
      <c r="I505" s="34" t="s">
        <v>1230</v>
      </c>
      <c r="J505" s="69">
        <v>90000</v>
      </c>
      <c r="K505" s="69">
        <v>10000</v>
      </c>
      <c r="L505" s="38" t="s">
        <v>14</v>
      </c>
      <c r="M505" s="38" t="s">
        <v>14</v>
      </c>
      <c r="N505" s="39" t="s">
        <v>14</v>
      </c>
      <c r="O505" s="39" t="s">
        <v>14</v>
      </c>
      <c r="P505" s="39" t="s">
        <v>14</v>
      </c>
      <c r="Q505" s="38" t="s">
        <v>14</v>
      </c>
    </row>
    <row r="506" spans="2:17" ht="26.25" thickBot="1" x14ac:dyDescent="0.3">
      <c r="B506" s="35">
        <v>59</v>
      </c>
      <c r="C506" s="34" t="s">
        <v>657</v>
      </c>
      <c r="D506" s="34" t="s">
        <v>657</v>
      </c>
      <c r="E506" s="42">
        <v>45460</v>
      </c>
      <c r="F506" s="38" t="s">
        <v>1484</v>
      </c>
      <c r="G506" s="38" t="s">
        <v>1485</v>
      </c>
      <c r="H506" s="34" t="s">
        <v>1146</v>
      </c>
      <c r="I506" s="34" t="s">
        <v>1171</v>
      </c>
      <c r="J506" s="69">
        <v>5000</v>
      </c>
      <c r="K506" s="69">
        <v>45000</v>
      </c>
      <c r="L506" s="38" t="s">
        <v>14</v>
      </c>
      <c r="M506" s="38" t="s">
        <v>14</v>
      </c>
      <c r="N506" s="39" t="s">
        <v>14</v>
      </c>
      <c r="O506" s="39" t="s">
        <v>14</v>
      </c>
      <c r="P506" s="39" t="s">
        <v>14</v>
      </c>
      <c r="Q506" s="38" t="s">
        <v>14</v>
      </c>
    </row>
    <row r="507" spans="2:17" ht="15.75" thickBot="1" x14ac:dyDescent="0.3">
      <c r="B507" s="35">
        <v>60</v>
      </c>
      <c r="C507" s="34" t="s">
        <v>657</v>
      </c>
      <c r="D507" s="34" t="s">
        <v>657</v>
      </c>
      <c r="E507" s="42">
        <v>45460</v>
      </c>
      <c r="F507" s="38" t="s">
        <v>286</v>
      </c>
      <c r="G507" s="38" t="s">
        <v>1005</v>
      </c>
      <c r="H507" s="34" t="s">
        <v>1146</v>
      </c>
      <c r="I507" s="34" t="s">
        <v>1149</v>
      </c>
      <c r="J507" s="69">
        <v>10000</v>
      </c>
      <c r="K507" s="69">
        <v>40000</v>
      </c>
      <c r="L507" s="38" t="s">
        <v>14</v>
      </c>
      <c r="M507" s="38" t="s">
        <v>14</v>
      </c>
      <c r="N507" s="39" t="s">
        <v>14</v>
      </c>
      <c r="O507" s="39" t="s">
        <v>14</v>
      </c>
      <c r="P507" s="39" t="s">
        <v>14</v>
      </c>
      <c r="Q507" s="38" t="s">
        <v>14</v>
      </c>
    </row>
    <row r="508" spans="2:17" ht="26.25" thickBot="1" x14ac:dyDescent="0.3">
      <c r="B508" s="35">
        <v>61</v>
      </c>
      <c r="C508" s="34" t="s">
        <v>657</v>
      </c>
      <c r="D508" s="34" t="s">
        <v>657</v>
      </c>
      <c r="E508" s="42">
        <v>45460</v>
      </c>
      <c r="F508" s="38" t="s">
        <v>118</v>
      </c>
      <c r="G508" s="38" t="s">
        <v>1486</v>
      </c>
      <c r="H508" s="34" t="s">
        <v>1146</v>
      </c>
      <c r="I508" s="34" t="s">
        <v>1461</v>
      </c>
      <c r="J508" s="69">
        <v>10000</v>
      </c>
      <c r="K508" s="69">
        <v>490000</v>
      </c>
      <c r="L508" s="38" t="s">
        <v>14</v>
      </c>
      <c r="M508" s="38" t="s">
        <v>14</v>
      </c>
      <c r="N508" s="39" t="s">
        <v>14</v>
      </c>
      <c r="O508" s="39" t="s">
        <v>14</v>
      </c>
      <c r="P508" s="39" t="s">
        <v>14</v>
      </c>
      <c r="Q508" s="38" t="s">
        <v>14</v>
      </c>
    </row>
    <row r="509" spans="2:17" ht="26.25" thickBot="1" x14ac:dyDescent="0.3">
      <c r="B509" s="35">
        <v>62</v>
      </c>
      <c r="C509" s="34" t="s">
        <v>657</v>
      </c>
      <c r="D509" s="34" t="s">
        <v>657</v>
      </c>
      <c r="E509" s="42">
        <v>45460</v>
      </c>
      <c r="F509" s="38" t="s">
        <v>1487</v>
      </c>
      <c r="G509" s="38" t="s">
        <v>1488</v>
      </c>
      <c r="H509" s="34" t="s">
        <v>25</v>
      </c>
      <c r="I509" s="34" t="s">
        <v>1489</v>
      </c>
      <c r="J509" s="69">
        <v>200000</v>
      </c>
      <c r="K509" s="69">
        <v>9800000</v>
      </c>
      <c r="L509" s="38" t="s">
        <v>14</v>
      </c>
      <c r="M509" s="38" t="s">
        <v>14</v>
      </c>
      <c r="N509" s="39" t="s">
        <v>14</v>
      </c>
      <c r="O509" s="39" t="s">
        <v>14</v>
      </c>
      <c r="P509" s="39" t="s">
        <v>14</v>
      </c>
      <c r="Q509" s="38" t="s">
        <v>14</v>
      </c>
    </row>
    <row r="510" spans="2:17" ht="26.25" thickBot="1" x14ac:dyDescent="0.3">
      <c r="B510" s="35">
        <v>63</v>
      </c>
      <c r="C510" s="34" t="s">
        <v>657</v>
      </c>
      <c r="D510" s="34" t="s">
        <v>657</v>
      </c>
      <c r="E510" s="42">
        <v>45460</v>
      </c>
      <c r="F510" s="38" t="s">
        <v>194</v>
      </c>
      <c r="G510" s="38" t="s">
        <v>1488</v>
      </c>
      <c r="H510" s="38" t="s">
        <v>1146</v>
      </c>
      <c r="I510" s="34" t="s">
        <v>1490</v>
      </c>
      <c r="J510" s="69">
        <v>10000</v>
      </c>
      <c r="K510" s="69">
        <v>490000</v>
      </c>
      <c r="L510" s="38" t="s">
        <v>14</v>
      </c>
      <c r="M510" s="38" t="s">
        <v>14</v>
      </c>
      <c r="N510" s="39" t="s">
        <v>14</v>
      </c>
      <c r="O510" s="39" t="s">
        <v>14</v>
      </c>
      <c r="P510" s="39" t="s">
        <v>14</v>
      </c>
      <c r="Q510" s="38" t="s">
        <v>14</v>
      </c>
    </row>
    <row r="511" spans="2:17" ht="26.25" thickBot="1" x14ac:dyDescent="0.3">
      <c r="B511" s="35">
        <v>64</v>
      </c>
      <c r="C511" s="34" t="s">
        <v>657</v>
      </c>
      <c r="D511" s="34" t="s">
        <v>657</v>
      </c>
      <c r="E511" s="42">
        <v>45460</v>
      </c>
      <c r="F511" s="38" t="s">
        <v>162</v>
      </c>
      <c r="G511" s="38" t="s">
        <v>1491</v>
      </c>
      <c r="H511" s="34" t="s">
        <v>629</v>
      </c>
      <c r="I511" s="34" t="s">
        <v>188</v>
      </c>
      <c r="J511" s="69">
        <v>10000</v>
      </c>
      <c r="K511" s="69">
        <v>40000</v>
      </c>
      <c r="L511" s="38" t="s">
        <v>14</v>
      </c>
      <c r="M511" s="38" t="s">
        <v>14</v>
      </c>
      <c r="N511" s="39" t="s">
        <v>14</v>
      </c>
      <c r="O511" s="39" t="s">
        <v>14</v>
      </c>
      <c r="P511" s="39" t="s">
        <v>14</v>
      </c>
      <c r="Q511" s="38" t="s">
        <v>14</v>
      </c>
    </row>
    <row r="512" spans="2:17" ht="39" thickBot="1" x14ac:dyDescent="0.3">
      <c r="B512" s="35">
        <v>65</v>
      </c>
      <c r="C512" s="34" t="s">
        <v>657</v>
      </c>
      <c r="D512" s="34" t="s">
        <v>657</v>
      </c>
      <c r="E512" s="42">
        <v>45460</v>
      </c>
      <c r="F512" s="38" t="s">
        <v>1492</v>
      </c>
      <c r="G512" s="38" t="s">
        <v>1493</v>
      </c>
      <c r="H512" s="34" t="s">
        <v>629</v>
      </c>
      <c r="I512" s="34" t="s">
        <v>882</v>
      </c>
      <c r="J512" s="69">
        <v>0</v>
      </c>
      <c r="K512" s="69">
        <v>0</v>
      </c>
      <c r="L512" s="38" t="s">
        <v>14</v>
      </c>
      <c r="M512" s="38" t="s">
        <v>14</v>
      </c>
      <c r="N512" s="39" t="s">
        <v>14</v>
      </c>
      <c r="O512" s="39" t="s">
        <v>14</v>
      </c>
      <c r="P512" s="39" t="s">
        <v>14</v>
      </c>
      <c r="Q512" s="38" t="s">
        <v>14</v>
      </c>
    </row>
    <row r="513" spans="2:17" ht="26.25" thickBot="1" x14ac:dyDescent="0.3">
      <c r="B513" s="35">
        <v>66</v>
      </c>
      <c r="C513" s="34" t="s">
        <v>657</v>
      </c>
      <c r="D513" s="34" t="s">
        <v>657</v>
      </c>
      <c r="E513" s="42">
        <v>45460</v>
      </c>
      <c r="F513" s="38" t="s">
        <v>1494</v>
      </c>
      <c r="G513" s="38" t="s">
        <v>1495</v>
      </c>
      <c r="H513" s="38" t="s">
        <v>629</v>
      </c>
      <c r="I513" s="34" t="s">
        <v>882</v>
      </c>
      <c r="J513" s="69">
        <v>0</v>
      </c>
      <c r="K513" s="69">
        <v>0</v>
      </c>
      <c r="L513" s="38" t="s">
        <v>14</v>
      </c>
      <c r="M513" s="38" t="s">
        <v>14</v>
      </c>
      <c r="N513" s="39" t="s">
        <v>14</v>
      </c>
      <c r="O513" s="39" t="s">
        <v>14</v>
      </c>
      <c r="P513" s="39" t="s">
        <v>14</v>
      </c>
      <c r="Q513" s="38" t="s">
        <v>14</v>
      </c>
    </row>
    <row r="514" spans="2:17" ht="26.25" thickBot="1" x14ac:dyDescent="0.3">
      <c r="B514" s="35">
        <v>67</v>
      </c>
      <c r="C514" s="34" t="s">
        <v>657</v>
      </c>
      <c r="D514" s="34" t="s">
        <v>657</v>
      </c>
      <c r="E514" s="42">
        <v>45460</v>
      </c>
      <c r="F514" s="38" t="s">
        <v>1496</v>
      </c>
      <c r="G514" s="38" t="s">
        <v>1497</v>
      </c>
      <c r="H514" s="34" t="s">
        <v>629</v>
      </c>
      <c r="I514" s="34" t="s">
        <v>188</v>
      </c>
      <c r="J514" s="69">
        <v>5000</v>
      </c>
      <c r="K514" s="69">
        <v>45000</v>
      </c>
      <c r="L514" s="38" t="s">
        <v>14</v>
      </c>
      <c r="M514" s="38" t="s">
        <v>14</v>
      </c>
      <c r="N514" s="39" t="s">
        <v>14</v>
      </c>
      <c r="O514" s="39" t="s">
        <v>14</v>
      </c>
      <c r="P514" s="39" t="s">
        <v>14</v>
      </c>
      <c r="Q514" s="38" t="s">
        <v>14</v>
      </c>
    </row>
    <row r="515" spans="2:17" ht="26.25" thickBot="1" x14ac:dyDescent="0.3">
      <c r="B515" s="35">
        <v>68</v>
      </c>
      <c r="C515" s="34" t="s">
        <v>657</v>
      </c>
      <c r="D515" s="34" t="s">
        <v>657</v>
      </c>
      <c r="E515" s="42">
        <v>45461</v>
      </c>
      <c r="F515" s="38" t="s">
        <v>1498</v>
      </c>
      <c r="G515" s="38" t="s">
        <v>1499</v>
      </c>
      <c r="H515" s="34" t="s">
        <v>629</v>
      </c>
      <c r="I515" s="34" t="s">
        <v>937</v>
      </c>
      <c r="J515" s="69">
        <v>80000</v>
      </c>
      <c r="K515" s="69">
        <v>1920000</v>
      </c>
      <c r="L515" s="38" t="s">
        <v>14</v>
      </c>
      <c r="M515" s="38" t="s">
        <v>14</v>
      </c>
      <c r="N515" s="39" t="s">
        <v>14</v>
      </c>
      <c r="O515" s="39" t="s">
        <v>14</v>
      </c>
      <c r="P515" s="39" t="s">
        <v>14</v>
      </c>
      <c r="Q515" s="38" t="s">
        <v>14</v>
      </c>
    </row>
    <row r="516" spans="2:17" ht="26.25" thickBot="1" x14ac:dyDescent="0.3">
      <c r="B516" s="35">
        <v>69</v>
      </c>
      <c r="C516" s="34" t="s">
        <v>657</v>
      </c>
      <c r="D516" s="34" t="s">
        <v>657</v>
      </c>
      <c r="E516" s="42">
        <v>45461</v>
      </c>
      <c r="F516" s="38" t="s">
        <v>1500</v>
      </c>
      <c r="G516" s="38" t="s">
        <v>1501</v>
      </c>
      <c r="H516" s="34" t="s">
        <v>1146</v>
      </c>
      <c r="I516" s="34" t="s">
        <v>459</v>
      </c>
      <c r="J516" s="69">
        <v>5000</v>
      </c>
      <c r="K516" s="69">
        <v>45000</v>
      </c>
      <c r="L516" s="38" t="s">
        <v>14</v>
      </c>
      <c r="M516" s="38" t="s">
        <v>14</v>
      </c>
      <c r="N516" s="39" t="s">
        <v>14</v>
      </c>
      <c r="O516" s="39" t="s">
        <v>14</v>
      </c>
      <c r="P516" s="39" t="s">
        <v>14</v>
      </c>
      <c r="Q516" s="38" t="s">
        <v>14</v>
      </c>
    </row>
    <row r="517" spans="2:17" ht="39" thickBot="1" x14ac:dyDescent="0.3">
      <c r="B517" s="35">
        <v>70</v>
      </c>
      <c r="C517" s="34" t="s">
        <v>657</v>
      </c>
      <c r="D517" s="34" t="s">
        <v>657</v>
      </c>
      <c r="E517" s="42">
        <v>45461</v>
      </c>
      <c r="F517" s="38" t="s">
        <v>1502</v>
      </c>
      <c r="G517" s="38" t="s">
        <v>1503</v>
      </c>
      <c r="H517" s="34" t="s">
        <v>40</v>
      </c>
      <c r="I517" s="34" t="s">
        <v>862</v>
      </c>
      <c r="J517" s="69">
        <v>200000</v>
      </c>
      <c r="K517" s="69">
        <v>800000</v>
      </c>
      <c r="L517" s="38" t="s">
        <v>14</v>
      </c>
      <c r="M517" s="38" t="s">
        <v>14</v>
      </c>
      <c r="N517" s="39" t="s">
        <v>14</v>
      </c>
      <c r="O517" s="39" t="s">
        <v>14</v>
      </c>
      <c r="P517" s="39" t="s">
        <v>14</v>
      </c>
      <c r="Q517" s="38" t="s">
        <v>14</v>
      </c>
    </row>
    <row r="518" spans="2:17" ht="26.25" thickBot="1" x14ac:dyDescent="0.3">
      <c r="B518" s="35">
        <v>71</v>
      </c>
      <c r="C518" s="34" t="s">
        <v>657</v>
      </c>
      <c r="D518" s="34" t="s">
        <v>657</v>
      </c>
      <c r="E518" s="42">
        <v>45461</v>
      </c>
      <c r="F518" s="38" t="s">
        <v>129</v>
      </c>
      <c r="G518" s="38" t="s">
        <v>1504</v>
      </c>
      <c r="H518" s="34" t="s">
        <v>14</v>
      </c>
      <c r="I518" s="34" t="s">
        <v>14</v>
      </c>
      <c r="J518" s="75" t="s">
        <v>14</v>
      </c>
      <c r="K518" s="75" t="s">
        <v>14</v>
      </c>
      <c r="L518" s="38" t="s">
        <v>14</v>
      </c>
      <c r="M518" s="38" t="s">
        <v>14</v>
      </c>
      <c r="N518" s="39" t="s">
        <v>14</v>
      </c>
      <c r="O518" s="39" t="s">
        <v>14</v>
      </c>
      <c r="P518" s="39" t="s">
        <v>14</v>
      </c>
      <c r="Q518" s="38" t="s">
        <v>14</v>
      </c>
    </row>
    <row r="519" spans="2:17" ht="51.75" thickBot="1" x14ac:dyDescent="0.3">
      <c r="B519" s="35">
        <v>72</v>
      </c>
      <c r="C519" s="34" t="s">
        <v>657</v>
      </c>
      <c r="D519" s="34" t="s">
        <v>657</v>
      </c>
      <c r="E519" s="42">
        <v>45461</v>
      </c>
      <c r="F519" s="38" t="s">
        <v>1207</v>
      </c>
      <c r="G519" s="38" t="s">
        <v>1505</v>
      </c>
      <c r="H519" s="34" t="s">
        <v>40</v>
      </c>
      <c r="I519" s="34" t="s">
        <v>459</v>
      </c>
      <c r="J519" s="69">
        <v>5000</v>
      </c>
      <c r="K519" s="69">
        <v>45000</v>
      </c>
      <c r="L519" s="38" t="s">
        <v>14</v>
      </c>
      <c r="M519" s="38" t="s">
        <v>14</v>
      </c>
      <c r="N519" s="39" t="s">
        <v>14</v>
      </c>
      <c r="O519" s="39" t="s">
        <v>14</v>
      </c>
      <c r="P519" s="39" t="s">
        <v>14</v>
      </c>
      <c r="Q519" s="38" t="s">
        <v>14</v>
      </c>
    </row>
    <row r="520" spans="2:17" ht="51.75" thickBot="1" x14ac:dyDescent="0.3">
      <c r="B520" s="35">
        <v>73</v>
      </c>
      <c r="C520" s="34" t="s">
        <v>657</v>
      </c>
      <c r="D520" s="34" t="s">
        <v>657</v>
      </c>
      <c r="E520" s="42">
        <v>45462</v>
      </c>
      <c r="F520" s="38" t="s">
        <v>1506</v>
      </c>
      <c r="G520" s="38" t="s">
        <v>1507</v>
      </c>
      <c r="H520" s="34" t="s">
        <v>629</v>
      </c>
      <c r="I520" s="34" t="s">
        <v>188</v>
      </c>
      <c r="J520" s="69">
        <v>5000</v>
      </c>
      <c r="K520" s="69">
        <v>45000</v>
      </c>
      <c r="L520" s="38" t="s">
        <v>14</v>
      </c>
      <c r="M520" s="38" t="s">
        <v>14</v>
      </c>
      <c r="N520" s="39" t="s">
        <v>14</v>
      </c>
      <c r="O520" s="39" t="s">
        <v>14</v>
      </c>
      <c r="P520" s="39" t="s">
        <v>14</v>
      </c>
      <c r="Q520" s="38" t="s">
        <v>14</v>
      </c>
    </row>
    <row r="521" spans="2:17" ht="26.25" thickBot="1" x14ac:dyDescent="0.3">
      <c r="B521" s="35">
        <v>74</v>
      </c>
      <c r="C521" s="34" t="s">
        <v>657</v>
      </c>
      <c r="D521" s="34" t="s">
        <v>657</v>
      </c>
      <c r="E521" s="42">
        <v>45462</v>
      </c>
      <c r="F521" s="38" t="s">
        <v>1508</v>
      </c>
      <c r="G521" s="38" t="s">
        <v>1509</v>
      </c>
      <c r="H521" s="38" t="s">
        <v>1510</v>
      </c>
      <c r="I521" s="34" t="s">
        <v>882</v>
      </c>
      <c r="J521" s="75" t="s">
        <v>14</v>
      </c>
      <c r="K521" s="75" t="s">
        <v>14</v>
      </c>
      <c r="L521" s="38" t="s">
        <v>14</v>
      </c>
      <c r="M521" s="38" t="s">
        <v>14</v>
      </c>
      <c r="N521" s="39" t="s">
        <v>14</v>
      </c>
      <c r="O521" s="39" t="s">
        <v>14</v>
      </c>
      <c r="P521" s="39" t="s">
        <v>14</v>
      </c>
      <c r="Q521" s="38" t="s">
        <v>14</v>
      </c>
    </row>
    <row r="522" spans="2:17" ht="26.25" thickBot="1" x14ac:dyDescent="0.3">
      <c r="B522" s="35">
        <v>75</v>
      </c>
      <c r="C522" s="34" t="s">
        <v>657</v>
      </c>
      <c r="D522" s="34" t="s">
        <v>657</v>
      </c>
      <c r="E522" s="42">
        <v>45462</v>
      </c>
      <c r="F522" s="38" t="s">
        <v>1511</v>
      </c>
      <c r="G522" s="38" t="s">
        <v>1512</v>
      </c>
      <c r="H522" s="34" t="s">
        <v>629</v>
      </c>
      <c r="I522" s="38" t="s">
        <v>267</v>
      </c>
      <c r="J522" s="69">
        <v>50000</v>
      </c>
      <c r="K522" s="69">
        <v>450000</v>
      </c>
      <c r="L522" s="38" t="s">
        <v>14</v>
      </c>
      <c r="M522" s="38" t="s">
        <v>14</v>
      </c>
      <c r="N522" s="39" t="s">
        <v>14</v>
      </c>
      <c r="O522" s="39" t="s">
        <v>14</v>
      </c>
      <c r="P522" s="39" t="s">
        <v>14</v>
      </c>
      <c r="Q522" s="38" t="s">
        <v>14</v>
      </c>
    </row>
    <row r="523" spans="2:17" ht="26.25" thickBot="1" x14ac:dyDescent="0.3">
      <c r="B523" s="35">
        <v>76</v>
      </c>
      <c r="C523" s="34" t="s">
        <v>657</v>
      </c>
      <c r="D523" s="34" t="s">
        <v>657</v>
      </c>
      <c r="E523" s="42">
        <v>45462</v>
      </c>
      <c r="F523" s="38" t="s">
        <v>168</v>
      </c>
      <c r="G523" s="38" t="s">
        <v>1513</v>
      </c>
      <c r="H523" s="34" t="s">
        <v>14</v>
      </c>
      <c r="I523" s="34" t="s">
        <v>882</v>
      </c>
      <c r="J523" s="75" t="s">
        <v>14</v>
      </c>
      <c r="K523" s="75" t="s">
        <v>14</v>
      </c>
      <c r="L523" s="38" t="s">
        <v>14</v>
      </c>
      <c r="M523" s="38" t="s">
        <v>14</v>
      </c>
      <c r="N523" s="39" t="s">
        <v>14</v>
      </c>
      <c r="O523" s="39" t="s">
        <v>14</v>
      </c>
      <c r="P523" s="39" t="s">
        <v>14</v>
      </c>
      <c r="Q523" s="38" t="s">
        <v>14</v>
      </c>
    </row>
    <row r="524" spans="2:17" ht="39" thickBot="1" x14ac:dyDescent="0.3">
      <c r="B524" s="35">
        <v>77</v>
      </c>
      <c r="C524" s="34" t="s">
        <v>657</v>
      </c>
      <c r="D524" s="34" t="s">
        <v>657</v>
      </c>
      <c r="E524" s="42">
        <v>45469</v>
      </c>
      <c r="F524" s="38" t="s">
        <v>1514</v>
      </c>
      <c r="G524" s="38" t="s">
        <v>1515</v>
      </c>
      <c r="H524" s="34" t="s">
        <v>629</v>
      </c>
      <c r="I524" s="34" t="s">
        <v>124</v>
      </c>
      <c r="J524" s="69">
        <v>800000</v>
      </c>
      <c r="K524" s="69">
        <v>9200000</v>
      </c>
      <c r="L524" s="38" t="s">
        <v>14</v>
      </c>
      <c r="M524" s="38" t="s">
        <v>14</v>
      </c>
      <c r="N524" s="39" t="s">
        <v>14</v>
      </c>
      <c r="O524" s="39" t="s">
        <v>14</v>
      </c>
      <c r="P524" s="39" t="s">
        <v>14</v>
      </c>
      <c r="Q524" s="38" t="s">
        <v>14</v>
      </c>
    </row>
    <row r="525" spans="2:17" ht="26.25" thickBot="1" x14ac:dyDescent="0.3">
      <c r="B525" s="35">
        <v>78</v>
      </c>
      <c r="C525" s="34" t="s">
        <v>657</v>
      </c>
      <c r="D525" s="34" t="s">
        <v>657</v>
      </c>
      <c r="E525" s="42">
        <v>45463</v>
      </c>
      <c r="F525" s="38" t="s">
        <v>1516</v>
      </c>
      <c r="G525" s="38" t="s">
        <v>1517</v>
      </c>
      <c r="H525" s="34" t="s">
        <v>1200</v>
      </c>
      <c r="I525" s="38" t="s">
        <v>1518</v>
      </c>
      <c r="J525" s="69">
        <v>0</v>
      </c>
      <c r="K525" s="69">
        <v>0</v>
      </c>
      <c r="L525" s="38" t="s">
        <v>14</v>
      </c>
      <c r="M525" s="38" t="s">
        <v>14</v>
      </c>
      <c r="N525" s="39" t="s">
        <v>14</v>
      </c>
      <c r="O525" s="39" t="s">
        <v>14</v>
      </c>
      <c r="P525" s="39" t="s">
        <v>14</v>
      </c>
      <c r="Q525" s="38" t="s">
        <v>14</v>
      </c>
    </row>
    <row r="526" spans="2:17" ht="39" thickBot="1" x14ac:dyDescent="0.3">
      <c r="B526" s="35">
        <v>79</v>
      </c>
      <c r="C526" s="34" t="s">
        <v>657</v>
      </c>
      <c r="D526" s="34" t="s">
        <v>657</v>
      </c>
      <c r="E526" s="42">
        <v>45464</v>
      </c>
      <c r="F526" s="38" t="s">
        <v>1339</v>
      </c>
      <c r="G526" s="38" t="s">
        <v>1519</v>
      </c>
      <c r="H526" s="34" t="s">
        <v>1146</v>
      </c>
      <c r="I526" s="34" t="s">
        <v>1143</v>
      </c>
      <c r="J526" s="69">
        <v>10000</v>
      </c>
      <c r="K526" s="69">
        <v>90000</v>
      </c>
      <c r="L526" s="38" t="s">
        <v>14</v>
      </c>
      <c r="M526" s="38" t="s">
        <v>14</v>
      </c>
      <c r="N526" s="39" t="s">
        <v>14</v>
      </c>
      <c r="O526" s="39" t="s">
        <v>14</v>
      </c>
      <c r="P526" s="39" t="s">
        <v>14</v>
      </c>
      <c r="Q526" s="38" t="s">
        <v>14</v>
      </c>
    </row>
    <row r="527" spans="2:17" ht="39" thickBot="1" x14ac:dyDescent="0.3">
      <c r="B527" s="35">
        <v>80</v>
      </c>
      <c r="C527" s="34" t="s">
        <v>657</v>
      </c>
      <c r="D527" s="34" t="s">
        <v>657</v>
      </c>
      <c r="E527" s="42">
        <v>45466</v>
      </c>
      <c r="F527" s="38" t="s">
        <v>1520</v>
      </c>
      <c r="G527" s="38" t="s">
        <v>1521</v>
      </c>
      <c r="H527" s="34" t="s">
        <v>1522</v>
      </c>
      <c r="I527" s="34" t="s">
        <v>1189</v>
      </c>
      <c r="J527" s="69">
        <v>20000</v>
      </c>
      <c r="K527" s="69">
        <v>980000</v>
      </c>
      <c r="L527" s="38" t="s">
        <v>14</v>
      </c>
      <c r="M527" s="38" t="s">
        <v>14</v>
      </c>
      <c r="N527" s="39" t="s">
        <v>14</v>
      </c>
      <c r="O527" s="39" t="s">
        <v>14</v>
      </c>
      <c r="P527" s="39" t="s">
        <v>14</v>
      </c>
      <c r="Q527" s="38" t="s">
        <v>14</v>
      </c>
    </row>
    <row r="528" spans="2:17" ht="39" thickBot="1" x14ac:dyDescent="0.3">
      <c r="B528" s="35">
        <v>81</v>
      </c>
      <c r="C528" s="34" t="s">
        <v>657</v>
      </c>
      <c r="D528" s="34" t="s">
        <v>657</v>
      </c>
      <c r="E528" s="42">
        <v>45466</v>
      </c>
      <c r="F528" s="38" t="s">
        <v>1523</v>
      </c>
      <c r="G528" s="38" t="s">
        <v>1524</v>
      </c>
      <c r="H528" s="34" t="s">
        <v>25</v>
      </c>
      <c r="I528" s="34" t="s">
        <v>1171</v>
      </c>
      <c r="J528" s="69">
        <v>50000</v>
      </c>
      <c r="K528" s="69">
        <v>950000</v>
      </c>
      <c r="L528" s="38" t="s">
        <v>14</v>
      </c>
      <c r="M528" s="38" t="s">
        <v>14</v>
      </c>
      <c r="N528" s="39" t="s">
        <v>14</v>
      </c>
      <c r="O528" s="39" t="s">
        <v>14</v>
      </c>
      <c r="P528" s="39" t="s">
        <v>14</v>
      </c>
      <c r="Q528" s="38" t="s">
        <v>14</v>
      </c>
    </row>
    <row r="529" spans="2:17" ht="26.25" thickBot="1" x14ac:dyDescent="0.3">
      <c r="B529" s="35">
        <v>82</v>
      </c>
      <c r="C529" s="34" t="s">
        <v>657</v>
      </c>
      <c r="D529" s="34" t="s">
        <v>657</v>
      </c>
      <c r="E529" s="42">
        <v>45467</v>
      </c>
      <c r="F529" s="38" t="s">
        <v>1525</v>
      </c>
      <c r="G529" s="38" t="s">
        <v>1526</v>
      </c>
      <c r="H529" s="34" t="s">
        <v>629</v>
      </c>
      <c r="I529" s="34" t="s">
        <v>882</v>
      </c>
      <c r="J529" s="69">
        <v>0</v>
      </c>
      <c r="K529" s="69">
        <v>0</v>
      </c>
      <c r="L529" s="38" t="s">
        <v>14</v>
      </c>
      <c r="M529" s="38" t="s">
        <v>14</v>
      </c>
      <c r="N529" s="39" t="s">
        <v>14</v>
      </c>
      <c r="O529" s="39" t="s">
        <v>14</v>
      </c>
      <c r="P529" s="39" t="s">
        <v>14</v>
      </c>
      <c r="Q529" s="38" t="s">
        <v>14</v>
      </c>
    </row>
    <row r="530" spans="2:17" ht="26.25" thickBot="1" x14ac:dyDescent="0.3">
      <c r="B530" s="35">
        <v>83</v>
      </c>
      <c r="C530" s="34" t="s">
        <v>657</v>
      </c>
      <c r="D530" s="34" t="s">
        <v>657</v>
      </c>
      <c r="E530" s="42">
        <v>45467</v>
      </c>
      <c r="F530" s="38" t="s">
        <v>184</v>
      </c>
      <c r="G530" s="38" t="s">
        <v>1527</v>
      </c>
      <c r="H530" s="34" t="s">
        <v>25</v>
      </c>
      <c r="I530" s="34" t="s">
        <v>874</v>
      </c>
      <c r="J530" s="77">
        <v>4800000</v>
      </c>
      <c r="K530" s="69">
        <v>20000</v>
      </c>
      <c r="L530" s="38" t="s">
        <v>14</v>
      </c>
      <c r="M530" s="38" t="s">
        <v>14</v>
      </c>
      <c r="N530" s="39" t="s">
        <v>14</v>
      </c>
      <c r="O530" s="39" t="s">
        <v>14</v>
      </c>
      <c r="P530" s="39" t="s">
        <v>14</v>
      </c>
      <c r="Q530" s="38" t="s">
        <v>14</v>
      </c>
    </row>
    <row r="531" spans="2:17" ht="39" thickBot="1" x14ac:dyDescent="0.3">
      <c r="B531" s="35">
        <v>84</v>
      </c>
      <c r="C531" s="34" t="s">
        <v>657</v>
      </c>
      <c r="D531" s="34" t="s">
        <v>657</v>
      </c>
      <c r="E531" s="42">
        <v>45468</v>
      </c>
      <c r="F531" s="38" t="s">
        <v>1528</v>
      </c>
      <c r="G531" s="38" t="s">
        <v>1529</v>
      </c>
      <c r="H531" s="34" t="s">
        <v>629</v>
      </c>
      <c r="I531" s="34" t="s">
        <v>1530</v>
      </c>
      <c r="J531" s="69">
        <v>50000</v>
      </c>
      <c r="K531" s="69">
        <v>45000</v>
      </c>
      <c r="L531" s="38" t="s">
        <v>14</v>
      </c>
      <c r="M531" s="38" t="s">
        <v>14</v>
      </c>
      <c r="N531" s="39" t="s">
        <v>14</v>
      </c>
      <c r="O531" s="39" t="s">
        <v>14</v>
      </c>
      <c r="P531" s="39" t="s">
        <v>14</v>
      </c>
      <c r="Q531" s="38" t="s">
        <v>14</v>
      </c>
    </row>
    <row r="532" spans="2:17" ht="26.25" thickBot="1" x14ac:dyDescent="0.3">
      <c r="B532" s="35">
        <v>85</v>
      </c>
      <c r="C532" s="34" t="s">
        <v>657</v>
      </c>
      <c r="D532" s="34" t="s">
        <v>657</v>
      </c>
      <c r="E532" s="42">
        <v>45471</v>
      </c>
      <c r="F532" s="38" t="s">
        <v>1531</v>
      </c>
      <c r="G532" s="38" t="s">
        <v>1532</v>
      </c>
      <c r="H532" s="34" t="s">
        <v>882</v>
      </c>
      <c r="I532" s="34" t="s">
        <v>1533</v>
      </c>
      <c r="J532" s="69">
        <v>5000</v>
      </c>
      <c r="K532" s="69">
        <v>45000</v>
      </c>
      <c r="L532" s="38" t="s">
        <v>14</v>
      </c>
      <c r="M532" s="38" t="s">
        <v>14</v>
      </c>
      <c r="N532" s="39" t="s">
        <v>14</v>
      </c>
      <c r="O532" s="39" t="s">
        <v>14</v>
      </c>
      <c r="P532" s="39" t="s">
        <v>14</v>
      </c>
      <c r="Q532" s="38" t="s">
        <v>14</v>
      </c>
    </row>
    <row r="533" spans="2:17" ht="39" thickBot="1" x14ac:dyDescent="0.3">
      <c r="B533" s="35">
        <v>86</v>
      </c>
      <c r="C533" s="34" t="s">
        <v>657</v>
      </c>
      <c r="D533" s="34" t="s">
        <v>657</v>
      </c>
      <c r="E533" s="42">
        <v>45472</v>
      </c>
      <c r="F533" s="38" t="s">
        <v>1534</v>
      </c>
      <c r="G533" s="38" t="s">
        <v>1535</v>
      </c>
      <c r="H533" s="34" t="s">
        <v>1536</v>
      </c>
      <c r="I533" s="34" t="s">
        <v>1149</v>
      </c>
      <c r="J533" s="69">
        <v>5000</v>
      </c>
      <c r="K533" s="69">
        <v>495000</v>
      </c>
      <c r="L533" s="38" t="s">
        <v>14</v>
      </c>
      <c r="M533" s="38" t="s">
        <v>14</v>
      </c>
      <c r="N533" s="39" t="s">
        <v>14</v>
      </c>
      <c r="O533" s="39" t="s">
        <v>14</v>
      </c>
      <c r="P533" s="39" t="s">
        <v>14</v>
      </c>
      <c r="Q533" s="38" t="s">
        <v>14</v>
      </c>
    </row>
    <row r="534" spans="2:17" ht="24.6" customHeight="1" x14ac:dyDescent="0.25">
      <c r="B534" s="86">
        <v>87</v>
      </c>
      <c r="C534" s="86" t="s">
        <v>657</v>
      </c>
      <c r="D534" s="86" t="s">
        <v>657</v>
      </c>
      <c r="E534" s="98">
        <v>45472</v>
      </c>
      <c r="F534" s="86" t="s">
        <v>832</v>
      </c>
      <c r="G534" s="86" t="s">
        <v>1537</v>
      </c>
      <c r="H534" s="86" t="s">
        <v>1200</v>
      </c>
      <c r="I534" s="86" t="s">
        <v>1538</v>
      </c>
      <c r="J534" s="100">
        <v>10000</v>
      </c>
      <c r="K534" s="100">
        <v>2590000</v>
      </c>
      <c r="L534" s="86" t="s">
        <v>14</v>
      </c>
      <c r="M534" s="86" t="s">
        <v>14</v>
      </c>
      <c r="N534" s="87" t="s">
        <v>14</v>
      </c>
      <c r="O534" s="88" t="s">
        <v>14</v>
      </c>
      <c r="P534" s="88" t="s">
        <v>14</v>
      </c>
      <c r="Q534" s="89" t="s">
        <v>14</v>
      </c>
    </row>
    <row r="535" spans="2:17" ht="15.75" thickBot="1" x14ac:dyDescent="0.3">
      <c r="B535" s="58"/>
      <c r="C535" s="58"/>
      <c r="D535" s="58"/>
      <c r="E535" s="99"/>
      <c r="F535" s="58"/>
      <c r="G535" s="58"/>
      <c r="H535" s="58"/>
      <c r="I535" s="58"/>
      <c r="J535" s="101"/>
      <c r="K535" s="101"/>
      <c r="L535" s="58"/>
      <c r="M535" s="58"/>
      <c r="N535" s="90"/>
      <c r="O535" s="91"/>
      <c r="P535" s="91"/>
      <c r="Q535" s="92"/>
    </row>
    <row r="536" spans="2:17" ht="26.25" thickBot="1" x14ac:dyDescent="0.3">
      <c r="B536" s="35">
        <v>88</v>
      </c>
      <c r="C536" s="34" t="s">
        <v>657</v>
      </c>
      <c r="D536" s="34" t="s">
        <v>657</v>
      </c>
      <c r="E536" s="42">
        <v>45473</v>
      </c>
      <c r="F536" s="38" t="s">
        <v>1539</v>
      </c>
      <c r="G536" s="38" t="s">
        <v>1540</v>
      </c>
      <c r="H536" s="34" t="s">
        <v>882</v>
      </c>
      <c r="I536" s="38" t="s">
        <v>131</v>
      </c>
      <c r="J536" s="69">
        <v>0</v>
      </c>
      <c r="K536" s="69">
        <v>0</v>
      </c>
      <c r="L536" s="38" t="s">
        <v>14</v>
      </c>
      <c r="M536" s="38" t="s">
        <v>14</v>
      </c>
      <c r="N536" s="39" t="s">
        <v>14</v>
      </c>
      <c r="O536" s="39" t="s">
        <v>14</v>
      </c>
      <c r="P536" s="39" t="s">
        <v>14</v>
      </c>
      <c r="Q536" s="38" t="s">
        <v>14</v>
      </c>
    </row>
    <row r="537" spans="2:17" ht="14.45" customHeight="1" x14ac:dyDescent="0.25">
      <c r="B537" s="86"/>
      <c r="C537" s="86"/>
      <c r="D537" s="86"/>
      <c r="E537" s="86"/>
      <c r="F537" s="86"/>
      <c r="G537" s="86"/>
      <c r="H537" s="86"/>
      <c r="I537" s="86" t="s">
        <v>19</v>
      </c>
      <c r="J537" s="86" t="s">
        <v>1541</v>
      </c>
      <c r="K537" s="86">
        <v>88015000</v>
      </c>
      <c r="L537" s="86"/>
      <c r="M537" s="86"/>
      <c r="N537" s="87"/>
      <c r="O537" s="88"/>
      <c r="P537" s="88"/>
      <c r="Q537" s="89"/>
    </row>
    <row r="538" spans="2:17" ht="15.75" thickBot="1" x14ac:dyDescent="0.3">
      <c r="B538" s="58"/>
      <c r="C538" s="58"/>
      <c r="D538" s="58"/>
      <c r="E538" s="58"/>
      <c r="F538" s="58"/>
      <c r="G538" s="58"/>
      <c r="H538" s="58"/>
      <c r="I538" s="58"/>
      <c r="J538" s="58"/>
      <c r="K538" s="58"/>
      <c r="L538" s="58"/>
      <c r="M538" s="58"/>
      <c r="N538" s="90"/>
      <c r="O538" s="91"/>
      <c r="P538" s="91"/>
      <c r="Q538" s="92"/>
    </row>
    <row r="539" spans="2:17" x14ac:dyDescent="0.25">
      <c r="B539" s="48" t="s">
        <v>700</v>
      </c>
    </row>
    <row r="540" spans="2:17" ht="15.75" thickBot="1" x14ac:dyDescent="0.3">
      <c r="B540" s="49" t="s">
        <v>998</v>
      </c>
    </row>
    <row r="541" spans="2:17" ht="117" customHeight="1" thickBot="1" x14ac:dyDescent="0.3">
      <c r="B541" s="86" t="s">
        <v>589</v>
      </c>
      <c r="C541" s="86" t="s">
        <v>0</v>
      </c>
      <c r="D541" s="86" t="s">
        <v>590</v>
      </c>
      <c r="E541" s="86" t="s">
        <v>1</v>
      </c>
      <c r="F541" s="86" t="s">
        <v>592</v>
      </c>
      <c r="G541" s="86" t="s">
        <v>702</v>
      </c>
      <c r="H541" s="86" t="s">
        <v>4</v>
      </c>
      <c r="I541" s="86" t="s">
        <v>703</v>
      </c>
      <c r="J541" s="86" t="s">
        <v>595</v>
      </c>
      <c r="K541" s="86" t="s">
        <v>596</v>
      </c>
      <c r="L541" s="97" t="s">
        <v>8</v>
      </c>
      <c r="M541" s="85"/>
      <c r="N541" s="84" t="s">
        <v>9</v>
      </c>
      <c r="O541" s="85"/>
      <c r="P541" s="84" t="s">
        <v>10</v>
      </c>
      <c r="Q541" s="93"/>
    </row>
    <row r="542" spans="2:17" ht="15.75" thickBot="1" x14ac:dyDescent="0.3">
      <c r="B542" s="58"/>
      <c r="C542" s="58"/>
      <c r="D542" s="58"/>
      <c r="E542" s="58"/>
      <c r="F542" s="58"/>
      <c r="G542" s="58"/>
      <c r="H542" s="58"/>
      <c r="I542" s="58"/>
      <c r="J542" s="58"/>
      <c r="K542" s="58"/>
      <c r="L542" s="33" t="s">
        <v>11</v>
      </c>
      <c r="M542" s="33" t="s">
        <v>597</v>
      </c>
      <c r="N542" s="33" t="s">
        <v>11</v>
      </c>
      <c r="O542" s="33" t="s">
        <v>597</v>
      </c>
      <c r="P542" s="33" t="s">
        <v>11</v>
      </c>
      <c r="Q542" s="34" t="s">
        <v>597</v>
      </c>
    </row>
    <row r="543" spans="2:17" ht="15.75" thickBot="1" x14ac:dyDescent="0.3">
      <c r="B543" s="35">
        <v>1</v>
      </c>
      <c r="C543" s="34">
        <v>2</v>
      </c>
      <c r="D543" s="34">
        <v>3</v>
      </c>
      <c r="E543" s="34">
        <v>4</v>
      </c>
      <c r="F543" s="34">
        <v>5</v>
      </c>
      <c r="G543" s="34">
        <v>6</v>
      </c>
      <c r="H543" s="34">
        <v>7</v>
      </c>
      <c r="I543" s="34">
        <v>8</v>
      </c>
      <c r="J543" s="34">
        <v>9</v>
      </c>
      <c r="K543" s="34">
        <v>10</v>
      </c>
      <c r="L543" s="34">
        <v>11</v>
      </c>
      <c r="M543" s="34">
        <v>12</v>
      </c>
      <c r="N543" s="33">
        <v>13</v>
      </c>
      <c r="O543" s="33">
        <v>14</v>
      </c>
      <c r="P543" s="33">
        <v>15</v>
      </c>
      <c r="Q543" s="34">
        <v>16</v>
      </c>
    </row>
    <row r="544" spans="2:17" ht="15.75" thickBot="1" x14ac:dyDescent="0.3">
      <c r="B544" s="35">
        <v>1</v>
      </c>
      <c r="C544" s="34" t="s">
        <v>598</v>
      </c>
      <c r="D544" s="34" t="s">
        <v>598</v>
      </c>
      <c r="E544" s="40">
        <v>45444</v>
      </c>
      <c r="F544" s="34" t="s">
        <v>1542</v>
      </c>
      <c r="G544" s="34" t="s">
        <v>1017</v>
      </c>
      <c r="H544" s="34" t="s">
        <v>40</v>
      </c>
      <c r="I544" s="34" t="s">
        <v>1000</v>
      </c>
      <c r="J544" s="34">
        <v>100000</v>
      </c>
      <c r="K544" s="34">
        <v>1900000</v>
      </c>
      <c r="L544" s="34" t="s">
        <v>14</v>
      </c>
      <c r="M544" s="34" t="s">
        <v>14</v>
      </c>
      <c r="N544" s="33" t="s">
        <v>14</v>
      </c>
      <c r="O544" s="33" t="s">
        <v>14</v>
      </c>
      <c r="P544" s="33" t="s">
        <v>14</v>
      </c>
      <c r="Q544" s="34" t="s">
        <v>14</v>
      </c>
    </row>
    <row r="545" spans="2:17" ht="15.75" thickBot="1" x14ac:dyDescent="0.3">
      <c r="B545" s="35">
        <v>2</v>
      </c>
      <c r="C545" s="34" t="s">
        <v>598</v>
      </c>
      <c r="D545" s="34" t="s">
        <v>598</v>
      </c>
      <c r="E545" s="40">
        <v>45444</v>
      </c>
      <c r="F545" s="34" t="s">
        <v>264</v>
      </c>
      <c r="G545" s="34" t="s">
        <v>1289</v>
      </c>
      <c r="H545" s="34" t="s">
        <v>40</v>
      </c>
      <c r="I545" s="34" t="s">
        <v>1000</v>
      </c>
      <c r="J545" s="34">
        <v>200000</v>
      </c>
      <c r="K545" s="34">
        <v>300000</v>
      </c>
      <c r="L545" s="34" t="s">
        <v>14</v>
      </c>
      <c r="M545" s="34" t="s">
        <v>14</v>
      </c>
      <c r="N545" s="33" t="s">
        <v>14</v>
      </c>
      <c r="O545" s="33" t="s">
        <v>14</v>
      </c>
      <c r="P545" s="33" t="s">
        <v>14</v>
      </c>
      <c r="Q545" s="34" t="s">
        <v>14</v>
      </c>
    </row>
    <row r="546" spans="2:17" ht="26.25" thickBot="1" x14ac:dyDescent="0.3">
      <c r="B546" s="35">
        <v>3</v>
      </c>
      <c r="C546" s="34" t="s">
        <v>598</v>
      </c>
      <c r="D546" s="34" t="s">
        <v>598</v>
      </c>
      <c r="E546" s="34" t="s">
        <v>1543</v>
      </c>
      <c r="F546" s="34" t="s">
        <v>1544</v>
      </c>
      <c r="G546" s="34" t="s">
        <v>1545</v>
      </c>
      <c r="H546" s="34" t="s">
        <v>40</v>
      </c>
      <c r="I546" s="34" t="s">
        <v>1000</v>
      </c>
      <c r="J546" s="34">
        <v>100000</v>
      </c>
      <c r="K546" s="34">
        <v>300000</v>
      </c>
      <c r="L546" s="34" t="s">
        <v>14</v>
      </c>
      <c r="M546" s="34" t="s">
        <v>14</v>
      </c>
      <c r="N546" s="33" t="s">
        <v>14</v>
      </c>
      <c r="O546" s="33" t="s">
        <v>14</v>
      </c>
      <c r="P546" s="33" t="s">
        <v>14</v>
      </c>
      <c r="Q546" s="34" t="s">
        <v>14</v>
      </c>
    </row>
    <row r="547" spans="2:17" ht="15.75" thickBot="1" x14ac:dyDescent="0.3">
      <c r="B547" s="35">
        <v>4</v>
      </c>
      <c r="C547" s="34" t="s">
        <v>598</v>
      </c>
      <c r="D547" s="34" t="s">
        <v>598</v>
      </c>
      <c r="E547" s="40">
        <v>45444</v>
      </c>
      <c r="F547" s="34" t="s">
        <v>146</v>
      </c>
      <c r="G547" s="34" t="s">
        <v>1208</v>
      </c>
      <c r="H547" s="34" t="s">
        <v>40</v>
      </c>
      <c r="I547" s="34" t="s">
        <v>1000</v>
      </c>
      <c r="J547" s="34">
        <v>100000</v>
      </c>
      <c r="K547" s="34">
        <v>900000</v>
      </c>
      <c r="L547" s="34" t="s">
        <v>14</v>
      </c>
      <c r="M547" s="34" t="s">
        <v>14</v>
      </c>
      <c r="N547" s="33" t="s">
        <v>14</v>
      </c>
      <c r="O547" s="33" t="s">
        <v>14</v>
      </c>
      <c r="P547" s="33" t="s">
        <v>14</v>
      </c>
      <c r="Q547" s="34" t="s">
        <v>14</v>
      </c>
    </row>
    <row r="548" spans="2:17" ht="26.25" thickBot="1" x14ac:dyDescent="0.3">
      <c r="B548" s="35">
        <v>5</v>
      </c>
      <c r="C548" s="34" t="s">
        <v>598</v>
      </c>
      <c r="D548" s="34" t="s">
        <v>598</v>
      </c>
      <c r="E548" s="40">
        <v>45444</v>
      </c>
      <c r="F548" s="34" t="s">
        <v>39</v>
      </c>
      <c r="G548" s="34" t="s">
        <v>1546</v>
      </c>
      <c r="H548" s="34" t="s">
        <v>40</v>
      </c>
      <c r="I548" s="34" t="s">
        <v>1000</v>
      </c>
      <c r="J548" s="34">
        <v>50000</v>
      </c>
      <c r="K548" s="34">
        <v>1950000</v>
      </c>
      <c r="L548" s="34" t="s">
        <v>14</v>
      </c>
      <c r="M548" s="34" t="s">
        <v>14</v>
      </c>
      <c r="N548" s="33" t="s">
        <v>14</v>
      </c>
      <c r="O548" s="33" t="s">
        <v>14</v>
      </c>
      <c r="P548" s="33" t="s">
        <v>14</v>
      </c>
      <c r="Q548" s="34" t="s">
        <v>14</v>
      </c>
    </row>
    <row r="549" spans="2:17" ht="26.25" thickBot="1" x14ac:dyDescent="0.3">
      <c r="B549" s="35">
        <v>6</v>
      </c>
      <c r="C549" s="34" t="s">
        <v>598</v>
      </c>
      <c r="D549" s="34" t="s">
        <v>598</v>
      </c>
      <c r="E549" s="40">
        <v>45444</v>
      </c>
      <c r="F549" s="34" t="s">
        <v>688</v>
      </c>
      <c r="G549" s="34" t="s">
        <v>1547</v>
      </c>
      <c r="H549" s="34" t="s">
        <v>40</v>
      </c>
      <c r="I549" s="34" t="s">
        <v>1000</v>
      </c>
      <c r="J549" s="34">
        <v>50000</v>
      </c>
      <c r="K549" s="34">
        <v>150000</v>
      </c>
      <c r="L549" s="34" t="s">
        <v>14</v>
      </c>
      <c r="M549" s="34" t="s">
        <v>14</v>
      </c>
      <c r="N549" s="33" t="s">
        <v>14</v>
      </c>
      <c r="O549" s="33" t="s">
        <v>14</v>
      </c>
      <c r="P549" s="33" t="s">
        <v>14</v>
      </c>
      <c r="Q549" s="34" t="s">
        <v>14</v>
      </c>
    </row>
    <row r="550" spans="2:17" ht="15.75" thickBot="1" x14ac:dyDescent="0.3">
      <c r="B550" s="35">
        <v>7</v>
      </c>
      <c r="C550" s="34" t="s">
        <v>598</v>
      </c>
      <c r="D550" s="34" t="s">
        <v>598</v>
      </c>
      <c r="E550" s="40">
        <v>45444</v>
      </c>
      <c r="F550" s="34" t="s">
        <v>1548</v>
      </c>
      <c r="G550" s="34" t="s">
        <v>1549</v>
      </c>
      <c r="H550" s="34" t="s">
        <v>40</v>
      </c>
      <c r="I550" s="34" t="s">
        <v>1000</v>
      </c>
      <c r="J550" s="34">
        <v>200000</v>
      </c>
      <c r="K550" s="34">
        <v>100000</v>
      </c>
      <c r="L550" s="34" t="s">
        <v>14</v>
      </c>
      <c r="M550" s="34" t="s">
        <v>14</v>
      </c>
      <c r="N550" s="33" t="s">
        <v>14</v>
      </c>
      <c r="O550" s="33" t="s">
        <v>14</v>
      </c>
      <c r="P550" s="33" t="s">
        <v>14</v>
      </c>
      <c r="Q550" s="34" t="s">
        <v>14</v>
      </c>
    </row>
    <row r="551" spans="2:17" ht="15.75" thickBot="1" x14ac:dyDescent="0.3">
      <c r="B551" s="35">
        <v>8</v>
      </c>
      <c r="C551" s="34" t="s">
        <v>598</v>
      </c>
      <c r="D551" s="34" t="s">
        <v>598</v>
      </c>
      <c r="E551" s="40">
        <v>45445</v>
      </c>
      <c r="F551" s="34" t="s">
        <v>1550</v>
      </c>
      <c r="G551" s="34" t="s">
        <v>1551</v>
      </c>
      <c r="H551" s="34" t="s">
        <v>40</v>
      </c>
      <c r="I551" s="34" t="s">
        <v>1000</v>
      </c>
      <c r="J551" s="34">
        <v>200000</v>
      </c>
      <c r="K551" s="34">
        <v>1800000</v>
      </c>
      <c r="L551" s="34" t="s">
        <v>14</v>
      </c>
      <c r="M551" s="34" t="s">
        <v>14</v>
      </c>
      <c r="N551" s="33" t="s">
        <v>14</v>
      </c>
      <c r="O551" s="33" t="s">
        <v>14</v>
      </c>
      <c r="P551" s="33" t="s">
        <v>14</v>
      </c>
      <c r="Q551" s="34" t="s">
        <v>14</v>
      </c>
    </row>
    <row r="552" spans="2:17" ht="26.25" thickBot="1" x14ac:dyDescent="0.3">
      <c r="B552" s="35">
        <v>9</v>
      </c>
      <c r="C552" s="34" t="s">
        <v>598</v>
      </c>
      <c r="D552" s="34" t="s">
        <v>598</v>
      </c>
      <c r="E552" s="40">
        <v>45446</v>
      </c>
      <c r="F552" s="34" t="s">
        <v>1457</v>
      </c>
      <c r="G552" s="34" t="s">
        <v>1552</v>
      </c>
      <c r="H552" s="34" t="s">
        <v>40</v>
      </c>
      <c r="I552" s="34" t="s">
        <v>1000</v>
      </c>
      <c r="J552" s="34">
        <v>500000</v>
      </c>
      <c r="K552" s="34">
        <v>1500000</v>
      </c>
      <c r="L552" s="34" t="s">
        <v>14</v>
      </c>
      <c r="M552" s="34" t="s">
        <v>14</v>
      </c>
      <c r="N552" s="33" t="s">
        <v>14</v>
      </c>
      <c r="O552" s="33" t="s">
        <v>14</v>
      </c>
      <c r="P552" s="33" t="s">
        <v>14</v>
      </c>
      <c r="Q552" s="34" t="s">
        <v>14</v>
      </c>
    </row>
    <row r="553" spans="2:17" ht="26.25" thickBot="1" x14ac:dyDescent="0.3">
      <c r="B553" s="35">
        <v>10</v>
      </c>
      <c r="C553" s="34" t="s">
        <v>598</v>
      </c>
      <c r="D553" s="34" t="s">
        <v>598</v>
      </c>
      <c r="E553" s="40">
        <v>45449</v>
      </c>
      <c r="F553" s="34" t="s">
        <v>1553</v>
      </c>
      <c r="G553" s="34" t="s">
        <v>1554</v>
      </c>
      <c r="H553" s="34" t="s">
        <v>40</v>
      </c>
      <c r="I553" s="34" t="s">
        <v>1000</v>
      </c>
      <c r="J553" s="34">
        <v>50000</v>
      </c>
      <c r="K553" s="34">
        <v>950000</v>
      </c>
      <c r="L553" s="34" t="s">
        <v>14</v>
      </c>
      <c r="M553" s="34" t="s">
        <v>14</v>
      </c>
      <c r="N553" s="33" t="s">
        <v>14</v>
      </c>
      <c r="O553" s="33" t="s">
        <v>14</v>
      </c>
      <c r="P553" s="33" t="s">
        <v>14</v>
      </c>
      <c r="Q553" s="34" t="s">
        <v>14</v>
      </c>
    </row>
    <row r="554" spans="2:17" ht="26.25" thickBot="1" x14ac:dyDescent="0.3">
      <c r="B554" s="35">
        <v>11</v>
      </c>
      <c r="C554" s="34" t="s">
        <v>598</v>
      </c>
      <c r="D554" s="34" t="s">
        <v>598</v>
      </c>
      <c r="E554" s="40">
        <v>45450</v>
      </c>
      <c r="F554" s="34" t="s">
        <v>1555</v>
      </c>
      <c r="G554" s="34" t="s">
        <v>1424</v>
      </c>
      <c r="H554" s="34" t="s">
        <v>40</v>
      </c>
      <c r="I554" s="34" t="s">
        <v>1000</v>
      </c>
      <c r="J554" s="34">
        <v>100000</v>
      </c>
      <c r="K554" s="34">
        <v>400000</v>
      </c>
      <c r="L554" s="34" t="s">
        <v>14</v>
      </c>
      <c r="M554" s="34" t="s">
        <v>14</v>
      </c>
      <c r="N554" s="33" t="s">
        <v>14</v>
      </c>
      <c r="O554" s="33" t="s">
        <v>14</v>
      </c>
      <c r="P554" s="33" t="s">
        <v>14</v>
      </c>
      <c r="Q554" s="34" t="s">
        <v>14</v>
      </c>
    </row>
    <row r="555" spans="2:17" ht="15.75" thickBot="1" x14ac:dyDescent="0.3">
      <c r="B555" s="35">
        <v>12</v>
      </c>
      <c r="C555" s="34" t="s">
        <v>598</v>
      </c>
      <c r="D555" s="34" t="s">
        <v>598</v>
      </c>
      <c r="E555" s="40">
        <v>45452</v>
      </c>
      <c r="F555" s="34" t="s">
        <v>1556</v>
      </c>
      <c r="G555" s="34" t="s">
        <v>1557</v>
      </c>
      <c r="H555" s="34" t="s">
        <v>40</v>
      </c>
      <c r="I555" s="34" t="s">
        <v>1000</v>
      </c>
      <c r="J555" s="34">
        <v>200000</v>
      </c>
      <c r="K555" s="34">
        <v>300000</v>
      </c>
      <c r="L555" s="34" t="s">
        <v>14</v>
      </c>
      <c r="M555" s="34" t="s">
        <v>14</v>
      </c>
      <c r="N555" s="33" t="s">
        <v>14</v>
      </c>
      <c r="O555" s="33" t="s">
        <v>14</v>
      </c>
      <c r="P555" s="33" t="s">
        <v>14</v>
      </c>
      <c r="Q555" s="34" t="s">
        <v>14</v>
      </c>
    </row>
    <row r="556" spans="2:17" ht="51.75" thickBot="1" x14ac:dyDescent="0.3">
      <c r="B556" s="35">
        <v>13</v>
      </c>
      <c r="C556" s="34" t="s">
        <v>598</v>
      </c>
      <c r="D556" s="34" t="s">
        <v>598</v>
      </c>
      <c r="E556" s="40">
        <v>45452</v>
      </c>
      <c r="F556" s="34" t="s">
        <v>1376</v>
      </c>
      <c r="G556" s="34" t="s">
        <v>1558</v>
      </c>
      <c r="H556" s="34" t="s">
        <v>1366</v>
      </c>
      <c r="I556" s="34" t="s">
        <v>1000</v>
      </c>
      <c r="J556" s="34">
        <v>0</v>
      </c>
      <c r="K556" s="34">
        <v>0</v>
      </c>
      <c r="L556" s="34" t="s">
        <v>14</v>
      </c>
      <c r="M556" s="34" t="s">
        <v>14</v>
      </c>
      <c r="N556" s="33" t="s">
        <v>14</v>
      </c>
      <c r="O556" s="33" t="s">
        <v>14</v>
      </c>
      <c r="P556" s="33" t="s">
        <v>14</v>
      </c>
      <c r="Q556" s="34" t="s">
        <v>14</v>
      </c>
    </row>
    <row r="557" spans="2:17" ht="15.75" thickBot="1" x14ac:dyDescent="0.3">
      <c r="B557" s="35">
        <v>14</v>
      </c>
      <c r="C557" s="34" t="s">
        <v>598</v>
      </c>
      <c r="D557" s="34" t="s">
        <v>598</v>
      </c>
      <c r="E557" s="40">
        <v>45453</v>
      </c>
      <c r="F557" s="34" t="s">
        <v>150</v>
      </c>
      <c r="G557" s="34" t="s">
        <v>1559</v>
      </c>
      <c r="H557" s="34" t="s">
        <v>40</v>
      </c>
      <c r="I557" s="34" t="s">
        <v>1000</v>
      </c>
      <c r="J557" s="34">
        <v>200000</v>
      </c>
      <c r="K557" s="34">
        <v>800000</v>
      </c>
      <c r="L557" s="34" t="s">
        <v>14</v>
      </c>
      <c r="M557" s="34" t="s">
        <v>14</v>
      </c>
      <c r="N557" s="33" t="s">
        <v>14</v>
      </c>
      <c r="O557" s="33" t="s">
        <v>14</v>
      </c>
      <c r="P557" s="33" t="s">
        <v>14</v>
      </c>
      <c r="Q557" s="34" t="s">
        <v>14</v>
      </c>
    </row>
    <row r="558" spans="2:17" ht="15.75" thickBot="1" x14ac:dyDescent="0.3">
      <c r="B558" s="35">
        <v>15</v>
      </c>
      <c r="C558" s="34" t="s">
        <v>598</v>
      </c>
      <c r="D558" s="34" t="s">
        <v>598</v>
      </c>
      <c r="E558" s="40">
        <v>45453</v>
      </c>
      <c r="F558" s="34" t="s">
        <v>690</v>
      </c>
      <c r="G558" s="34" t="s">
        <v>1560</v>
      </c>
      <c r="H558" s="34" t="s">
        <v>40</v>
      </c>
      <c r="I558" s="34" t="s">
        <v>1000</v>
      </c>
      <c r="J558" s="34">
        <v>50000</v>
      </c>
      <c r="K558" s="34">
        <v>150000</v>
      </c>
      <c r="L558" s="34" t="s">
        <v>14</v>
      </c>
      <c r="M558" s="34" t="s">
        <v>14</v>
      </c>
      <c r="N558" s="33" t="s">
        <v>14</v>
      </c>
      <c r="O558" s="33" t="s">
        <v>14</v>
      </c>
      <c r="P558" s="33" t="s">
        <v>14</v>
      </c>
      <c r="Q558" s="34" t="s">
        <v>14</v>
      </c>
    </row>
    <row r="559" spans="2:17" ht="15.75" thickBot="1" x14ac:dyDescent="0.3">
      <c r="B559" s="35">
        <v>16</v>
      </c>
      <c r="C559" s="34" t="s">
        <v>598</v>
      </c>
      <c r="D559" s="34" t="s">
        <v>598</v>
      </c>
      <c r="E559" s="40">
        <v>45453</v>
      </c>
      <c r="F559" s="34" t="s">
        <v>1561</v>
      </c>
      <c r="G559" s="34" t="s">
        <v>1562</v>
      </c>
      <c r="H559" s="34" t="s">
        <v>40</v>
      </c>
      <c r="I559" s="34" t="s">
        <v>1000</v>
      </c>
      <c r="J559" s="34">
        <v>5000</v>
      </c>
      <c r="K559" s="34">
        <v>995000</v>
      </c>
      <c r="L559" s="34" t="s">
        <v>14</v>
      </c>
      <c r="M559" s="34" t="s">
        <v>14</v>
      </c>
      <c r="N559" s="33" t="s">
        <v>14</v>
      </c>
      <c r="O559" s="33" t="s">
        <v>14</v>
      </c>
      <c r="P559" s="33" t="s">
        <v>14</v>
      </c>
      <c r="Q559" s="34" t="s">
        <v>14</v>
      </c>
    </row>
    <row r="560" spans="2:17" ht="15.75" thickBot="1" x14ac:dyDescent="0.3">
      <c r="B560" s="35">
        <v>17</v>
      </c>
      <c r="C560" s="34" t="s">
        <v>598</v>
      </c>
      <c r="D560" s="34" t="s">
        <v>598</v>
      </c>
      <c r="E560" s="40">
        <v>45454</v>
      </c>
      <c r="F560" s="34" t="s">
        <v>1563</v>
      </c>
      <c r="G560" s="34" t="s">
        <v>1460</v>
      </c>
      <c r="H560" s="34" t="s">
        <v>40</v>
      </c>
      <c r="I560" s="34" t="s">
        <v>1000</v>
      </c>
      <c r="J560" s="34">
        <v>200000</v>
      </c>
      <c r="K560" s="34">
        <v>1800000</v>
      </c>
      <c r="L560" s="34" t="s">
        <v>14</v>
      </c>
      <c r="M560" s="34" t="s">
        <v>14</v>
      </c>
      <c r="N560" s="33" t="s">
        <v>14</v>
      </c>
      <c r="O560" s="33" t="s">
        <v>14</v>
      </c>
      <c r="P560" s="33" t="s">
        <v>14</v>
      </c>
      <c r="Q560" s="34" t="s">
        <v>14</v>
      </c>
    </row>
    <row r="561" spans="2:17" ht="15.75" thickBot="1" x14ac:dyDescent="0.3">
      <c r="B561" s="35">
        <v>18</v>
      </c>
      <c r="C561" s="34" t="s">
        <v>598</v>
      </c>
      <c r="D561" s="34" t="s">
        <v>598</v>
      </c>
      <c r="E561" s="40">
        <v>45454</v>
      </c>
      <c r="F561" s="34" t="s">
        <v>834</v>
      </c>
      <c r="G561" s="34" t="s">
        <v>1549</v>
      </c>
      <c r="H561" s="34" t="s">
        <v>40</v>
      </c>
      <c r="I561" s="34" t="s">
        <v>1000</v>
      </c>
      <c r="J561" s="34">
        <v>50000</v>
      </c>
      <c r="K561" s="34">
        <v>150000</v>
      </c>
      <c r="L561" s="34" t="s">
        <v>14</v>
      </c>
      <c r="M561" s="34" t="s">
        <v>14</v>
      </c>
      <c r="N561" s="33" t="s">
        <v>14</v>
      </c>
      <c r="O561" s="33" t="s">
        <v>14</v>
      </c>
      <c r="P561" s="33" t="s">
        <v>14</v>
      </c>
      <c r="Q561" s="34" t="s">
        <v>14</v>
      </c>
    </row>
    <row r="562" spans="2:17" ht="15.75" thickBot="1" x14ac:dyDescent="0.3">
      <c r="B562" s="35">
        <v>19</v>
      </c>
      <c r="C562" s="34" t="s">
        <v>598</v>
      </c>
      <c r="D562" s="34" t="s">
        <v>598</v>
      </c>
      <c r="E562" s="40">
        <v>45454</v>
      </c>
      <c r="F562" s="34" t="s">
        <v>1564</v>
      </c>
      <c r="G562" s="34" t="s">
        <v>1549</v>
      </c>
      <c r="H562" s="34" t="s">
        <v>40</v>
      </c>
      <c r="I562" s="34" t="s">
        <v>1000</v>
      </c>
      <c r="J562" s="34">
        <v>100000</v>
      </c>
      <c r="K562" s="34">
        <v>200000</v>
      </c>
      <c r="L562" s="34" t="s">
        <v>14</v>
      </c>
      <c r="M562" s="34" t="s">
        <v>14</v>
      </c>
      <c r="N562" s="33" t="s">
        <v>14</v>
      </c>
      <c r="O562" s="33" t="s">
        <v>14</v>
      </c>
      <c r="P562" s="33" t="s">
        <v>14</v>
      </c>
      <c r="Q562" s="34" t="s">
        <v>14</v>
      </c>
    </row>
    <row r="563" spans="2:17" ht="15.75" thickBot="1" x14ac:dyDescent="0.3">
      <c r="B563" s="35">
        <v>20</v>
      </c>
      <c r="C563" s="34" t="s">
        <v>598</v>
      </c>
      <c r="D563" s="34" t="s">
        <v>598</v>
      </c>
      <c r="E563" s="40">
        <v>45455</v>
      </c>
      <c r="F563" s="34" t="s">
        <v>133</v>
      </c>
      <c r="G563" s="34" t="s">
        <v>1565</v>
      </c>
      <c r="H563" s="34" t="s">
        <v>40</v>
      </c>
      <c r="I563" s="34" t="s">
        <v>1000</v>
      </c>
      <c r="J563" s="34">
        <v>500000</v>
      </c>
      <c r="K563" s="34">
        <v>300000</v>
      </c>
      <c r="L563" s="34" t="s">
        <v>14</v>
      </c>
      <c r="M563" s="34" t="s">
        <v>14</v>
      </c>
      <c r="N563" s="33" t="s">
        <v>14</v>
      </c>
      <c r="O563" s="33" t="s">
        <v>14</v>
      </c>
      <c r="P563" s="33" t="s">
        <v>14</v>
      </c>
      <c r="Q563" s="34" t="s">
        <v>14</v>
      </c>
    </row>
    <row r="564" spans="2:17" ht="15.75" thickBot="1" x14ac:dyDescent="0.3">
      <c r="B564" s="35">
        <v>21</v>
      </c>
      <c r="C564" s="34" t="s">
        <v>598</v>
      </c>
      <c r="D564" s="34" t="s">
        <v>598</v>
      </c>
      <c r="E564" s="40">
        <v>45455</v>
      </c>
      <c r="F564" s="34" t="s">
        <v>37</v>
      </c>
      <c r="G564" s="34" t="s">
        <v>1566</v>
      </c>
      <c r="H564" s="34" t="s">
        <v>40</v>
      </c>
      <c r="I564" s="34" t="s">
        <v>1000</v>
      </c>
      <c r="J564" s="34">
        <v>300000</v>
      </c>
      <c r="K564" s="34">
        <v>1500000</v>
      </c>
      <c r="L564" s="34" t="s">
        <v>14</v>
      </c>
      <c r="M564" s="34" t="s">
        <v>14</v>
      </c>
      <c r="N564" s="33" t="s">
        <v>14</v>
      </c>
      <c r="O564" s="33" t="s">
        <v>14</v>
      </c>
      <c r="P564" s="33" t="s">
        <v>14</v>
      </c>
      <c r="Q564" s="34" t="s">
        <v>14</v>
      </c>
    </row>
    <row r="565" spans="2:17" ht="39" thickBot="1" x14ac:dyDescent="0.3">
      <c r="B565" s="35">
        <v>22</v>
      </c>
      <c r="C565" s="34" t="s">
        <v>598</v>
      </c>
      <c r="D565" s="34" t="s">
        <v>598</v>
      </c>
      <c r="E565" s="40">
        <v>45456</v>
      </c>
      <c r="F565" s="34" t="s">
        <v>136</v>
      </c>
      <c r="G565" s="34" t="s">
        <v>1567</v>
      </c>
      <c r="H565" s="34" t="s">
        <v>40</v>
      </c>
      <c r="I565" s="34" t="s">
        <v>1568</v>
      </c>
      <c r="J565" s="34">
        <v>0</v>
      </c>
      <c r="K565" s="34">
        <v>0</v>
      </c>
      <c r="L565" s="34" t="s">
        <v>14</v>
      </c>
      <c r="M565" s="34" t="s">
        <v>14</v>
      </c>
      <c r="N565" s="33" t="s">
        <v>14</v>
      </c>
      <c r="O565" s="33" t="s">
        <v>14</v>
      </c>
      <c r="P565" s="33" t="s">
        <v>14</v>
      </c>
      <c r="Q565" s="34" t="s">
        <v>14</v>
      </c>
    </row>
    <row r="566" spans="2:17" ht="26.25" thickBot="1" x14ac:dyDescent="0.3">
      <c r="B566" s="35">
        <v>23</v>
      </c>
      <c r="C566" s="34" t="s">
        <v>598</v>
      </c>
      <c r="D566" s="34" t="s">
        <v>598</v>
      </c>
      <c r="E566" s="40">
        <v>45457</v>
      </c>
      <c r="F566" s="34" t="s">
        <v>234</v>
      </c>
      <c r="G566" s="34" t="s">
        <v>1451</v>
      </c>
      <c r="H566" s="34" t="s">
        <v>1146</v>
      </c>
      <c r="I566" s="34" t="s">
        <v>1569</v>
      </c>
      <c r="J566" s="34">
        <v>5000</v>
      </c>
      <c r="K566" s="34">
        <v>145000</v>
      </c>
      <c r="L566" s="34" t="s">
        <v>14</v>
      </c>
      <c r="M566" s="34" t="s">
        <v>14</v>
      </c>
      <c r="N566" s="33" t="s">
        <v>14</v>
      </c>
      <c r="O566" s="33" t="s">
        <v>14</v>
      </c>
      <c r="P566" s="33" t="s">
        <v>14</v>
      </c>
      <c r="Q566" s="34" t="s">
        <v>14</v>
      </c>
    </row>
    <row r="567" spans="2:17" ht="15.75" thickBot="1" x14ac:dyDescent="0.3">
      <c r="B567" s="35">
        <v>24</v>
      </c>
      <c r="C567" s="34" t="s">
        <v>598</v>
      </c>
      <c r="D567" s="34" t="s">
        <v>598</v>
      </c>
      <c r="E567" s="40">
        <v>45459</v>
      </c>
      <c r="F567" s="34" t="s">
        <v>129</v>
      </c>
      <c r="G567" s="34" t="s">
        <v>1570</v>
      </c>
      <c r="H567" s="34" t="s">
        <v>40</v>
      </c>
      <c r="I567" s="34" t="s">
        <v>1571</v>
      </c>
      <c r="J567" s="34">
        <v>200000</v>
      </c>
      <c r="K567" s="34">
        <v>800000</v>
      </c>
      <c r="L567" s="34" t="s">
        <v>14</v>
      </c>
      <c r="M567" s="34" t="s">
        <v>14</v>
      </c>
      <c r="N567" s="33" t="s">
        <v>14</v>
      </c>
      <c r="O567" s="33" t="s">
        <v>14</v>
      </c>
      <c r="P567" s="33" t="s">
        <v>14</v>
      </c>
      <c r="Q567" s="34" t="s">
        <v>14</v>
      </c>
    </row>
    <row r="568" spans="2:17" ht="15.75" thickBot="1" x14ac:dyDescent="0.3">
      <c r="B568" s="35">
        <v>25</v>
      </c>
      <c r="C568" s="34" t="s">
        <v>598</v>
      </c>
      <c r="D568" s="34" t="s">
        <v>598</v>
      </c>
      <c r="E568" s="40">
        <v>45459</v>
      </c>
      <c r="F568" s="34" t="s">
        <v>1572</v>
      </c>
      <c r="G568" s="34" t="s">
        <v>1573</v>
      </c>
      <c r="H568" s="34" t="s">
        <v>1574</v>
      </c>
      <c r="I568" s="34" t="s">
        <v>1575</v>
      </c>
      <c r="J568" s="34">
        <v>50000</v>
      </c>
      <c r="K568" s="34">
        <v>450000</v>
      </c>
      <c r="L568" s="34" t="s">
        <v>14</v>
      </c>
      <c r="M568" s="34" t="s">
        <v>14</v>
      </c>
      <c r="N568" s="33" t="s">
        <v>14</v>
      </c>
      <c r="O568" s="33" t="s">
        <v>14</v>
      </c>
      <c r="P568" s="33" t="s">
        <v>14</v>
      </c>
      <c r="Q568" s="34" t="s">
        <v>14</v>
      </c>
    </row>
    <row r="569" spans="2:17" ht="15.75" thickBot="1" x14ac:dyDescent="0.3">
      <c r="B569" s="35">
        <v>26</v>
      </c>
      <c r="C569" s="34" t="s">
        <v>598</v>
      </c>
      <c r="D569" s="34" t="s">
        <v>598</v>
      </c>
      <c r="E569" s="40">
        <v>45460</v>
      </c>
      <c r="F569" s="34" t="s">
        <v>1576</v>
      </c>
      <c r="G569" s="34" t="s">
        <v>1577</v>
      </c>
      <c r="H569" s="34" t="s">
        <v>1146</v>
      </c>
      <c r="I569" s="34" t="s">
        <v>1578</v>
      </c>
      <c r="J569" s="34">
        <v>200000</v>
      </c>
      <c r="K569" s="34">
        <v>300000</v>
      </c>
      <c r="L569" s="34" t="s">
        <v>14</v>
      </c>
      <c r="M569" s="34" t="s">
        <v>14</v>
      </c>
      <c r="N569" s="33" t="s">
        <v>14</v>
      </c>
      <c r="O569" s="33" t="s">
        <v>14</v>
      </c>
      <c r="P569" s="33" t="s">
        <v>14</v>
      </c>
      <c r="Q569" s="34" t="s">
        <v>14</v>
      </c>
    </row>
    <row r="570" spans="2:17" ht="39" thickBot="1" x14ac:dyDescent="0.3">
      <c r="B570" s="35">
        <v>27</v>
      </c>
      <c r="C570" s="34" t="s">
        <v>598</v>
      </c>
      <c r="D570" s="34" t="s">
        <v>598</v>
      </c>
      <c r="E570" s="40">
        <v>45460</v>
      </c>
      <c r="F570" s="34" t="s">
        <v>285</v>
      </c>
      <c r="G570" s="34" t="s">
        <v>1579</v>
      </c>
      <c r="H570" s="34" t="s">
        <v>1146</v>
      </c>
      <c r="I570" s="34" t="s">
        <v>1569</v>
      </c>
      <c r="J570" s="34">
        <v>50000</v>
      </c>
      <c r="K570" s="34">
        <v>200000</v>
      </c>
      <c r="L570" s="34" t="s">
        <v>14</v>
      </c>
      <c r="M570" s="34" t="s">
        <v>14</v>
      </c>
      <c r="N570" s="33" t="s">
        <v>14</v>
      </c>
      <c r="O570" s="33" t="s">
        <v>14</v>
      </c>
      <c r="P570" s="33" t="s">
        <v>14</v>
      </c>
      <c r="Q570" s="34" t="s">
        <v>14</v>
      </c>
    </row>
    <row r="571" spans="2:17" ht="26.25" thickBot="1" x14ac:dyDescent="0.3">
      <c r="B571" s="35">
        <v>28</v>
      </c>
      <c r="C571" s="34" t="s">
        <v>598</v>
      </c>
      <c r="D571" s="34" t="s">
        <v>598</v>
      </c>
      <c r="E571" s="40">
        <v>45461</v>
      </c>
      <c r="F571" s="34" t="s">
        <v>1580</v>
      </c>
      <c r="G571" s="34" t="s">
        <v>1581</v>
      </c>
      <c r="H571" s="34" t="s">
        <v>1146</v>
      </c>
      <c r="I571" s="34" t="s">
        <v>1569</v>
      </c>
      <c r="J571" s="34">
        <v>100000</v>
      </c>
      <c r="K571" s="34">
        <v>400000</v>
      </c>
      <c r="L571" s="34" t="s">
        <v>14</v>
      </c>
      <c r="M571" s="34" t="s">
        <v>14</v>
      </c>
      <c r="N571" s="33" t="s">
        <v>14</v>
      </c>
      <c r="O571" s="33" t="s">
        <v>14</v>
      </c>
      <c r="P571" s="33" t="s">
        <v>14</v>
      </c>
      <c r="Q571" s="34" t="s">
        <v>14</v>
      </c>
    </row>
    <row r="572" spans="2:17" ht="39" thickBot="1" x14ac:dyDescent="0.3">
      <c r="B572" s="35">
        <v>29</v>
      </c>
      <c r="C572" s="34" t="s">
        <v>598</v>
      </c>
      <c r="D572" s="34" t="s">
        <v>598</v>
      </c>
      <c r="E572" s="40">
        <v>45462</v>
      </c>
      <c r="F572" s="34" t="s">
        <v>1582</v>
      </c>
      <c r="G572" s="34" t="s">
        <v>1583</v>
      </c>
      <c r="H572" s="34" t="s">
        <v>1146</v>
      </c>
      <c r="I572" s="34" t="s">
        <v>1568</v>
      </c>
      <c r="J572" s="34"/>
      <c r="K572" s="34"/>
      <c r="L572" s="34" t="s">
        <v>14</v>
      </c>
      <c r="M572" s="34" t="s">
        <v>14</v>
      </c>
      <c r="N572" s="33" t="s">
        <v>14</v>
      </c>
      <c r="O572" s="33" t="s">
        <v>14</v>
      </c>
      <c r="P572" s="33" t="s">
        <v>14</v>
      </c>
      <c r="Q572" s="34" t="s">
        <v>14</v>
      </c>
    </row>
    <row r="573" spans="2:17" ht="15.75" thickBot="1" x14ac:dyDescent="0.3">
      <c r="B573" s="35">
        <v>30</v>
      </c>
      <c r="C573" s="34" t="s">
        <v>598</v>
      </c>
      <c r="D573" s="34" t="s">
        <v>598</v>
      </c>
      <c r="E573" s="40">
        <v>45462</v>
      </c>
      <c r="F573" s="34" t="s">
        <v>1426</v>
      </c>
      <c r="G573" s="34" t="s">
        <v>1584</v>
      </c>
      <c r="H573" s="34" t="s">
        <v>1146</v>
      </c>
      <c r="I573" s="34" t="s">
        <v>1569</v>
      </c>
      <c r="J573" s="34">
        <v>20000</v>
      </c>
      <c r="K573" s="34">
        <v>200000</v>
      </c>
      <c r="L573" s="34" t="s">
        <v>14</v>
      </c>
      <c r="M573" s="34" t="s">
        <v>14</v>
      </c>
      <c r="N573" s="33" t="s">
        <v>14</v>
      </c>
      <c r="O573" s="33" t="s">
        <v>14</v>
      </c>
      <c r="P573" s="33" t="s">
        <v>14</v>
      </c>
      <c r="Q573" s="34" t="s">
        <v>14</v>
      </c>
    </row>
    <row r="574" spans="2:17" ht="15.75" thickBot="1" x14ac:dyDescent="0.3">
      <c r="B574" s="35">
        <v>31</v>
      </c>
      <c r="C574" s="34" t="s">
        <v>598</v>
      </c>
      <c r="D574" s="34" t="s">
        <v>598</v>
      </c>
      <c r="E574" s="40">
        <v>45463</v>
      </c>
      <c r="F574" s="34" t="s">
        <v>1585</v>
      </c>
      <c r="G574" s="34" t="s">
        <v>1293</v>
      </c>
      <c r="H574" s="34" t="s">
        <v>1146</v>
      </c>
      <c r="I574" s="34" t="s">
        <v>1575</v>
      </c>
      <c r="J574" s="34">
        <v>20000</v>
      </c>
      <c r="K574" s="34">
        <v>180000</v>
      </c>
      <c r="L574" s="34" t="s">
        <v>14</v>
      </c>
      <c r="M574" s="34" t="s">
        <v>14</v>
      </c>
      <c r="N574" s="33" t="s">
        <v>14</v>
      </c>
      <c r="O574" s="33" t="s">
        <v>14</v>
      </c>
      <c r="P574" s="33" t="s">
        <v>14</v>
      </c>
      <c r="Q574" s="34" t="s">
        <v>14</v>
      </c>
    </row>
    <row r="575" spans="2:17" ht="15.75" thickBot="1" x14ac:dyDescent="0.3">
      <c r="B575" s="35"/>
      <c r="C575" s="34"/>
      <c r="D575" s="34"/>
      <c r="E575" s="34"/>
      <c r="F575" s="38"/>
      <c r="G575" s="34"/>
      <c r="H575" s="34"/>
      <c r="I575" s="34"/>
      <c r="J575" s="38" t="s">
        <v>1586</v>
      </c>
      <c r="K575" s="34" t="s">
        <v>1587</v>
      </c>
      <c r="L575" s="34"/>
      <c r="M575" s="34"/>
      <c r="N575" s="33"/>
      <c r="O575" s="33"/>
      <c r="P575" s="33"/>
      <c r="Q575" s="34"/>
    </row>
    <row r="576" spans="2:17" x14ac:dyDescent="0.25">
      <c r="B576" s="48" t="s">
        <v>1588</v>
      </c>
    </row>
    <row r="577" spans="2:17" ht="15.75" thickBot="1" x14ac:dyDescent="0.3">
      <c r="B577" s="48" t="s">
        <v>1589</v>
      </c>
      <c r="H577" s="48" t="s">
        <v>1590</v>
      </c>
    </row>
    <row r="578" spans="2:17" ht="15" customHeight="1" thickBot="1" x14ac:dyDescent="0.3">
      <c r="B578" s="86" t="s">
        <v>589</v>
      </c>
      <c r="C578" s="86" t="s">
        <v>0</v>
      </c>
      <c r="D578" s="86" t="s">
        <v>713</v>
      </c>
      <c r="E578" s="94" t="s">
        <v>67</v>
      </c>
      <c r="F578" s="95"/>
      <c r="G578" s="96"/>
      <c r="H578" s="86" t="s">
        <v>714</v>
      </c>
      <c r="I578" s="97" t="s">
        <v>8</v>
      </c>
      <c r="J578" s="85"/>
      <c r="K578" s="84" t="s">
        <v>9</v>
      </c>
      <c r="L578" s="85"/>
      <c r="M578" s="84" t="s">
        <v>10</v>
      </c>
      <c r="N578" s="93"/>
    </row>
    <row r="579" spans="2:17" ht="15.75" thickBot="1" x14ac:dyDescent="0.3">
      <c r="B579" s="58"/>
      <c r="C579" s="58"/>
      <c r="D579" s="58"/>
      <c r="E579" s="34" t="s">
        <v>68</v>
      </c>
      <c r="F579" s="34" t="s">
        <v>715</v>
      </c>
      <c r="G579" s="34" t="s">
        <v>716</v>
      </c>
      <c r="H579" s="58"/>
      <c r="I579" s="33" t="s">
        <v>11</v>
      </c>
      <c r="J579" s="33" t="s">
        <v>597</v>
      </c>
      <c r="K579" s="33" t="s">
        <v>11</v>
      </c>
      <c r="L579" s="33" t="s">
        <v>597</v>
      </c>
      <c r="M579" s="33" t="s">
        <v>11</v>
      </c>
      <c r="N579" s="34" t="s">
        <v>597</v>
      </c>
    </row>
    <row r="580" spans="2:17" ht="15.75" thickBot="1" x14ac:dyDescent="0.3">
      <c r="B580" s="35">
        <v>1</v>
      </c>
      <c r="C580" s="34">
        <v>2</v>
      </c>
      <c r="D580" s="34">
        <v>3</v>
      </c>
      <c r="E580" s="34">
        <v>4</v>
      </c>
      <c r="F580" s="34">
        <v>5</v>
      </c>
      <c r="G580" s="34">
        <v>6</v>
      </c>
      <c r="H580" s="34">
        <v>7</v>
      </c>
      <c r="I580" s="34">
        <v>8</v>
      </c>
      <c r="J580" s="34">
        <v>9</v>
      </c>
      <c r="K580" s="33">
        <v>10</v>
      </c>
      <c r="L580" s="33">
        <v>11</v>
      </c>
      <c r="M580" s="33">
        <v>12</v>
      </c>
      <c r="N580" s="34">
        <v>13</v>
      </c>
    </row>
    <row r="581" spans="2:17" ht="39" thickBot="1" x14ac:dyDescent="0.3">
      <c r="B581" s="35">
        <v>1</v>
      </c>
      <c r="C581" s="34" t="s">
        <v>598</v>
      </c>
      <c r="D581" s="40">
        <v>45449</v>
      </c>
      <c r="E581" s="34"/>
      <c r="F581" s="34" t="s">
        <v>14</v>
      </c>
      <c r="G581" s="34" t="s">
        <v>1591</v>
      </c>
      <c r="H581" s="38" t="s">
        <v>1592</v>
      </c>
      <c r="I581" s="94"/>
      <c r="J581" s="96"/>
      <c r="K581" s="33" t="s">
        <v>20</v>
      </c>
      <c r="L581" s="33" t="s">
        <v>20</v>
      </c>
      <c r="M581" s="33" t="s">
        <v>20</v>
      </c>
      <c r="N581" s="34" t="s">
        <v>20</v>
      </c>
    </row>
    <row r="582" spans="2:17" ht="51.75" thickBot="1" x14ac:dyDescent="0.3">
      <c r="B582" s="35">
        <v>2</v>
      </c>
      <c r="C582" s="34" t="s">
        <v>598</v>
      </c>
      <c r="D582" s="40">
        <v>45416</v>
      </c>
      <c r="E582" s="34"/>
      <c r="F582" s="34"/>
      <c r="G582" s="34" t="s">
        <v>70</v>
      </c>
      <c r="H582" s="38" t="s">
        <v>1593</v>
      </c>
      <c r="I582" s="34" t="s">
        <v>20</v>
      </c>
      <c r="J582" s="34"/>
      <c r="K582" s="33" t="s">
        <v>14</v>
      </c>
      <c r="L582" s="33" t="s">
        <v>20</v>
      </c>
      <c r="M582" s="33" t="s">
        <v>14</v>
      </c>
      <c r="N582" s="34">
        <v>1</v>
      </c>
    </row>
    <row r="583" spans="2:17" ht="51.75" thickBot="1" x14ac:dyDescent="0.3">
      <c r="B583" s="35">
        <v>3</v>
      </c>
      <c r="C583" s="34" t="s">
        <v>598</v>
      </c>
      <c r="D583" s="40">
        <v>45473</v>
      </c>
      <c r="E583" s="34"/>
      <c r="F583" s="34"/>
      <c r="G583" s="34" t="s">
        <v>70</v>
      </c>
      <c r="H583" s="38" t="s">
        <v>1594</v>
      </c>
      <c r="I583" s="34" t="s">
        <v>20</v>
      </c>
      <c r="J583" s="34"/>
      <c r="K583" s="33">
        <v>1</v>
      </c>
      <c r="L583" s="33" t="s">
        <v>20</v>
      </c>
      <c r="M583" s="33">
        <v>1</v>
      </c>
      <c r="N583" s="34" t="s">
        <v>14</v>
      </c>
    </row>
    <row r="584" spans="2:17" ht="15.75" thickBot="1" x14ac:dyDescent="0.3">
      <c r="B584" s="35"/>
      <c r="C584" s="34"/>
      <c r="D584" s="34"/>
      <c r="E584" s="34"/>
      <c r="F584" s="34"/>
      <c r="G584" s="34"/>
      <c r="H584" s="34" t="s">
        <v>19</v>
      </c>
      <c r="I584" s="34" t="s">
        <v>20</v>
      </c>
      <c r="J584" s="34" t="s">
        <v>20</v>
      </c>
      <c r="K584" s="33" t="s">
        <v>20</v>
      </c>
      <c r="L584" s="33" t="s">
        <v>20</v>
      </c>
      <c r="M584" s="33">
        <v>1</v>
      </c>
      <c r="N584" s="34">
        <v>1</v>
      </c>
    </row>
    <row r="585" spans="2:17" ht="17.25" thickBot="1" x14ac:dyDescent="0.3">
      <c r="B585" s="52" t="s">
        <v>1595</v>
      </c>
      <c r="C585" s="53" t="s">
        <v>779</v>
      </c>
    </row>
    <row r="586" spans="2:17" ht="117" customHeight="1" thickBot="1" x14ac:dyDescent="0.3">
      <c r="B586" s="86" t="s">
        <v>589</v>
      </c>
      <c r="C586" s="86" t="s">
        <v>0</v>
      </c>
      <c r="D586" s="86" t="s">
        <v>590</v>
      </c>
      <c r="E586" s="86" t="s">
        <v>1</v>
      </c>
      <c r="F586" s="86" t="s">
        <v>592</v>
      </c>
      <c r="G586" s="86" t="s">
        <v>593</v>
      </c>
      <c r="H586" s="86" t="s">
        <v>4</v>
      </c>
      <c r="I586" s="86" t="s">
        <v>594</v>
      </c>
      <c r="J586" s="86" t="s">
        <v>595</v>
      </c>
      <c r="K586" s="86" t="s">
        <v>596</v>
      </c>
      <c r="L586" s="97" t="s">
        <v>8</v>
      </c>
      <c r="M586" s="85"/>
      <c r="N586" s="84" t="s">
        <v>9</v>
      </c>
      <c r="O586" s="85"/>
      <c r="P586" s="84" t="s">
        <v>10</v>
      </c>
      <c r="Q586" s="85"/>
    </row>
    <row r="587" spans="2:17" ht="15.75" thickBot="1" x14ac:dyDescent="0.3">
      <c r="B587" s="58"/>
      <c r="C587" s="58"/>
      <c r="D587" s="58"/>
      <c r="E587" s="58"/>
      <c r="F587" s="58"/>
      <c r="G587" s="58"/>
      <c r="H587" s="58"/>
      <c r="I587" s="58"/>
      <c r="J587" s="58"/>
      <c r="K587" s="58"/>
      <c r="L587" s="33" t="s">
        <v>11</v>
      </c>
      <c r="M587" s="33" t="s">
        <v>597</v>
      </c>
      <c r="N587" s="33" t="s">
        <v>11</v>
      </c>
      <c r="O587" s="33" t="s">
        <v>597</v>
      </c>
      <c r="P587" s="33" t="s">
        <v>11</v>
      </c>
      <c r="Q587" s="34" t="s">
        <v>597</v>
      </c>
    </row>
    <row r="588" spans="2:17" ht="15.75" thickBot="1" x14ac:dyDescent="0.3">
      <c r="B588" s="35">
        <v>1</v>
      </c>
      <c r="C588" s="34">
        <v>2</v>
      </c>
      <c r="D588" s="34">
        <v>3</v>
      </c>
      <c r="E588" s="34">
        <v>4</v>
      </c>
      <c r="F588" s="34">
        <v>5</v>
      </c>
      <c r="G588" s="34">
        <v>6</v>
      </c>
      <c r="H588" s="34">
        <v>7</v>
      </c>
      <c r="I588" s="34">
        <v>8</v>
      </c>
      <c r="J588" s="34">
        <v>9</v>
      </c>
      <c r="K588" s="34">
        <v>10</v>
      </c>
      <c r="L588" s="34">
        <v>11</v>
      </c>
      <c r="M588" s="34">
        <v>12</v>
      </c>
      <c r="N588" s="33">
        <v>13</v>
      </c>
      <c r="O588" s="33">
        <v>14</v>
      </c>
      <c r="P588" s="33">
        <v>15</v>
      </c>
      <c r="Q588" s="34">
        <v>16</v>
      </c>
    </row>
    <row r="589" spans="2:17" ht="64.5" thickBot="1" x14ac:dyDescent="0.3">
      <c r="B589" s="35">
        <v>1</v>
      </c>
      <c r="C589" s="34" t="s">
        <v>598</v>
      </c>
      <c r="D589" s="34" t="s">
        <v>598</v>
      </c>
      <c r="E589" s="38" t="s">
        <v>1596</v>
      </c>
      <c r="F589" s="34" t="s">
        <v>1597</v>
      </c>
      <c r="G589" s="36" t="s">
        <v>1598</v>
      </c>
      <c r="H589" s="36" t="s">
        <v>629</v>
      </c>
      <c r="I589" s="38" t="s">
        <v>1599</v>
      </c>
      <c r="J589" s="69">
        <v>5000</v>
      </c>
      <c r="K589" s="69">
        <v>45000</v>
      </c>
      <c r="L589" s="38" t="s">
        <v>14</v>
      </c>
      <c r="M589" s="38" t="s">
        <v>14</v>
      </c>
      <c r="N589" s="39" t="s">
        <v>14</v>
      </c>
      <c r="O589" s="39" t="s">
        <v>14</v>
      </c>
      <c r="P589" s="39" t="s">
        <v>14</v>
      </c>
      <c r="Q589" s="38" t="s">
        <v>14</v>
      </c>
    </row>
    <row r="590" spans="2:17" ht="51.75" thickBot="1" x14ac:dyDescent="0.3">
      <c r="B590" s="35">
        <v>2</v>
      </c>
      <c r="C590" s="34" t="s">
        <v>598</v>
      </c>
      <c r="D590" s="34" t="s">
        <v>598</v>
      </c>
      <c r="E590" s="42">
        <v>45476</v>
      </c>
      <c r="F590" s="34" t="s">
        <v>837</v>
      </c>
      <c r="G590" s="36" t="s">
        <v>1600</v>
      </c>
      <c r="H590" s="36" t="s">
        <v>629</v>
      </c>
      <c r="I590" s="36" t="s">
        <v>1601</v>
      </c>
      <c r="J590" s="69" t="s">
        <v>14</v>
      </c>
      <c r="K590" s="69" t="s">
        <v>14</v>
      </c>
      <c r="L590" s="38" t="s">
        <v>14</v>
      </c>
      <c r="M590" s="38" t="s">
        <v>14</v>
      </c>
      <c r="N590" s="39" t="s">
        <v>14</v>
      </c>
      <c r="O590" s="39" t="s">
        <v>14</v>
      </c>
      <c r="P590" s="39" t="s">
        <v>14</v>
      </c>
      <c r="Q590" s="38" t="s">
        <v>14</v>
      </c>
    </row>
    <row r="591" spans="2:17" ht="90" thickBot="1" x14ac:dyDescent="0.3">
      <c r="B591" s="35">
        <v>3</v>
      </c>
      <c r="C591" s="34" t="s">
        <v>598</v>
      </c>
      <c r="D591" s="34" t="s">
        <v>598</v>
      </c>
      <c r="E591" s="42">
        <v>45477</v>
      </c>
      <c r="F591" s="34" t="s">
        <v>1602</v>
      </c>
      <c r="G591" s="36" t="s">
        <v>1603</v>
      </c>
      <c r="H591" s="36" t="s">
        <v>629</v>
      </c>
      <c r="I591" s="36" t="s">
        <v>764</v>
      </c>
      <c r="J591" s="69" t="s">
        <v>1604</v>
      </c>
      <c r="K591" s="69" t="s">
        <v>14</v>
      </c>
      <c r="L591" s="38" t="s">
        <v>14</v>
      </c>
      <c r="M591" s="38" t="s">
        <v>14</v>
      </c>
      <c r="N591" s="39" t="s">
        <v>14</v>
      </c>
      <c r="O591" s="39" t="s">
        <v>14</v>
      </c>
      <c r="P591" s="39" t="s">
        <v>14</v>
      </c>
      <c r="Q591" s="38" t="s">
        <v>14</v>
      </c>
    </row>
    <row r="592" spans="2:17" ht="15.75" thickBot="1" x14ac:dyDescent="0.3">
      <c r="B592" s="35">
        <v>4</v>
      </c>
      <c r="C592" s="34" t="s">
        <v>598</v>
      </c>
      <c r="D592" s="34" t="s">
        <v>598</v>
      </c>
      <c r="E592" s="42">
        <v>45478</v>
      </c>
      <c r="F592" s="34"/>
      <c r="G592" s="36"/>
      <c r="H592" s="36"/>
      <c r="I592" s="36" t="s">
        <v>952</v>
      </c>
      <c r="J592" s="69" t="s">
        <v>14</v>
      </c>
      <c r="K592" s="69" t="s">
        <v>14</v>
      </c>
      <c r="L592" s="38" t="s">
        <v>14</v>
      </c>
      <c r="M592" s="38" t="s">
        <v>14</v>
      </c>
      <c r="N592" s="39" t="s">
        <v>14</v>
      </c>
      <c r="O592" s="39" t="s">
        <v>14</v>
      </c>
      <c r="P592" s="39" t="s">
        <v>14</v>
      </c>
      <c r="Q592" s="38" t="s">
        <v>14</v>
      </c>
    </row>
    <row r="593" spans="2:17" ht="39" thickBot="1" x14ac:dyDescent="0.3">
      <c r="B593" s="35">
        <v>5</v>
      </c>
      <c r="C593" s="34" t="s">
        <v>598</v>
      </c>
      <c r="D593" s="34" t="s">
        <v>598</v>
      </c>
      <c r="E593" s="42">
        <v>45479</v>
      </c>
      <c r="F593" s="38" t="s">
        <v>37</v>
      </c>
      <c r="G593" s="36" t="s">
        <v>1605</v>
      </c>
      <c r="H593" s="36" t="s">
        <v>652</v>
      </c>
      <c r="I593" s="36" t="s">
        <v>1606</v>
      </c>
      <c r="J593" s="69">
        <v>200000</v>
      </c>
      <c r="K593" s="69">
        <v>1800000</v>
      </c>
      <c r="L593" s="38" t="s">
        <v>14</v>
      </c>
      <c r="M593" s="38" t="s">
        <v>14</v>
      </c>
      <c r="N593" s="39" t="s">
        <v>14</v>
      </c>
      <c r="O593" s="61" t="s">
        <v>20</v>
      </c>
      <c r="P593" s="39" t="s">
        <v>14</v>
      </c>
      <c r="Q593" s="38" t="s">
        <v>14</v>
      </c>
    </row>
    <row r="594" spans="2:17" ht="77.25" thickBot="1" x14ac:dyDescent="0.3">
      <c r="B594" s="35">
        <v>6</v>
      </c>
      <c r="C594" s="34" t="s">
        <v>598</v>
      </c>
      <c r="D594" s="34" t="s">
        <v>598</v>
      </c>
      <c r="E594" s="42">
        <v>45481</v>
      </c>
      <c r="F594" s="34" t="s">
        <v>1607</v>
      </c>
      <c r="G594" s="36" t="s">
        <v>1608</v>
      </c>
      <c r="H594" s="36" t="s">
        <v>629</v>
      </c>
      <c r="I594" s="36" t="s">
        <v>1609</v>
      </c>
      <c r="J594" s="69" t="s">
        <v>14</v>
      </c>
      <c r="K594" s="75" t="s">
        <v>14</v>
      </c>
      <c r="L594" s="38" t="s">
        <v>14</v>
      </c>
      <c r="M594" s="38" t="s">
        <v>14</v>
      </c>
      <c r="N594" s="39" t="s">
        <v>14</v>
      </c>
      <c r="O594" s="39" t="s">
        <v>14</v>
      </c>
      <c r="P594" s="39" t="s">
        <v>14</v>
      </c>
      <c r="Q594" s="38" t="s">
        <v>14</v>
      </c>
    </row>
    <row r="595" spans="2:17" ht="64.5" thickBot="1" x14ac:dyDescent="0.3">
      <c r="B595" s="35">
        <v>7</v>
      </c>
      <c r="C595" s="34" t="s">
        <v>598</v>
      </c>
      <c r="D595" s="34" t="s">
        <v>598</v>
      </c>
      <c r="E595" s="42">
        <v>45487</v>
      </c>
      <c r="F595" s="34" t="s">
        <v>37</v>
      </c>
      <c r="G595" s="36" t="s">
        <v>1610</v>
      </c>
      <c r="H595" s="36" t="s">
        <v>14</v>
      </c>
      <c r="I595" s="36" t="s">
        <v>1609</v>
      </c>
      <c r="J595" s="75" t="s">
        <v>14</v>
      </c>
      <c r="K595" s="75" t="s">
        <v>14</v>
      </c>
      <c r="L595" s="38" t="s">
        <v>14</v>
      </c>
      <c r="M595" s="38" t="s">
        <v>14</v>
      </c>
      <c r="N595" s="39" t="s">
        <v>14</v>
      </c>
      <c r="O595" s="39" t="s">
        <v>14</v>
      </c>
      <c r="P595" s="39" t="s">
        <v>14</v>
      </c>
      <c r="Q595" s="38" t="s">
        <v>14</v>
      </c>
    </row>
    <row r="596" spans="2:17" ht="128.25" thickBot="1" x14ac:dyDescent="0.3">
      <c r="B596" s="35">
        <v>8</v>
      </c>
      <c r="C596" s="34" t="s">
        <v>598</v>
      </c>
      <c r="D596" s="34" t="s">
        <v>598</v>
      </c>
      <c r="E596" s="42">
        <v>45489</v>
      </c>
      <c r="F596" s="34" t="s">
        <v>1226</v>
      </c>
      <c r="G596" s="36" t="s">
        <v>1611</v>
      </c>
      <c r="H596" s="36" t="s">
        <v>629</v>
      </c>
      <c r="I596" s="36" t="s">
        <v>1612</v>
      </c>
      <c r="J596" s="75" t="s">
        <v>14</v>
      </c>
      <c r="K596" s="75" t="s">
        <v>14</v>
      </c>
      <c r="L596" s="38" t="s">
        <v>14</v>
      </c>
      <c r="M596" s="38" t="s">
        <v>14</v>
      </c>
      <c r="N596" s="39" t="s">
        <v>14</v>
      </c>
      <c r="O596" s="39" t="s">
        <v>14</v>
      </c>
      <c r="P596" s="39" t="s">
        <v>14</v>
      </c>
      <c r="Q596" s="38" t="s">
        <v>14</v>
      </c>
    </row>
    <row r="597" spans="2:17" ht="141" thickBot="1" x14ac:dyDescent="0.3">
      <c r="B597" s="35">
        <v>9</v>
      </c>
      <c r="C597" s="34" t="s">
        <v>598</v>
      </c>
      <c r="D597" s="34" t="s">
        <v>598</v>
      </c>
      <c r="E597" s="42">
        <v>45489</v>
      </c>
      <c r="F597" s="34" t="s">
        <v>1415</v>
      </c>
      <c r="G597" s="36" t="s">
        <v>1613</v>
      </c>
      <c r="H597" s="36" t="s">
        <v>629</v>
      </c>
      <c r="I597" s="36" t="s">
        <v>1614</v>
      </c>
      <c r="J597" s="75" t="s">
        <v>14</v>
      </c>
      <c r="K597" s="75" t="s">
        <v>14</v>
      </c>
      <c r="L597" s="38" t="s">
        <v>14</v>
      </c>
      <c r="M597" s="38" t="s">
        <v>14</v>
      </c>
      <c r="N597" s="39" t="s">
        <v>14</v>
      </c>
      <c r="O597" s="39" t="s">
        <v>14</v>
      </c>
      <c r="P597" s="39" t="s">
        <v>14</v>
      </c>
      <c r="Q597" s="38" t="s">
        <v>14</v>
      </c>
    </row>
    <row r="598" spans="2:17" ht="328.15" customHeight="1" x14ac:dyDescent="0.25">
      <c r="B598" s="78"/>
      <c r="C598" s="86" t="s">
        <v>598</v>
      </c>
      <c r="D598" s="86" t="s">
        <v>598</v>
      </c>
      <c r="E598" s="98">
        <v>45490</v>
      </c>
      <c r="F598" s="86" t="s">
        <v>1615</v>
      </c>
      <c r="G598" s="86" t="s">
        <v>1616</v>
      </c>
      <c r="H598" s="86" t="s">
        <v>663</v>
      </c>
      <c r="I598" s="86" t="s">
        <v>1617</v>
      </c>
      <c r="J598" s="86">
        <v>400000</v>
      </c>
      <c r="K598" s="86">
        <v>4600000</v>
      </c>
      <c r="L598" s="86" t="s">
        <v>664</v>
      </c>
      <c r="M598" s="86" t="s">
        <v>664</v>
      </c>
      <c r="N598" s="87" t="s">
        <v>664</v>
      </c>
      <c r="O598" s="88" t="s">
        <v>664</v>
      </c>
      <c r="P598" s="88" t="s">
        <v>664</v>
      </c>
      <c r="Q598" s="89" t="s">
        <v>664</v>
      </c>
    </row>
    <row r="599" spans="2:17" ht="15.75" thickBot="1" x14ac:dyDescent="0.3">
      <c r="B599" s="58">
        <v>10</v>
      </c>
      <c r="C599" s="58"/>
      <c r="D599" s="58"/>
      <c r="E599" s="99"/>
      <c r="F599" s="58"/>
      <c r="G599" s="58"/>
      <c r="H599" s="58"/>
      <c r="I599" s="58"/>
      <c r="J599" s="58"/>
      <c r="K599" s="58"/>
      <c r="L599" s="58"/>
      <c r="M599" s="58"/>
      <c r="N599" s="90"/>
      <c r="O599" s="91"/>
      <c r="P599" s="91"/>
      <c r="Q599" s="92"/>
    </row>
    <row r="600" spans="2:17" ht="192" thickBot="1" x14ac:dyDescent="0.3">
      <c r="B600" s="58">
        <v>11</v>
      </c>
      <c r="C600" s="34" t="s">
        <v>598</v>
      </c>
      <c r="D600" s="34" t="s">
        <v>598</v>
      </c>
      <c r="E600" s="42">
        <v>45498</v>
      </c>
      <c r="F600" s="38" t="s">
        <v>1618</v>
      </c>
      <c r="G600" s="38" t="s">
        <v>1619</v>
      </c>
      <c r="H600" s="34" t="s">
        <v>652</v>
      </c>
      <c r="I600" s="34" t="s">
        <v>1620</v>
      </c>
      <c r="J600" s="34">
        <v>20000</v>
      </c>
      <c r="K600" s="34">
        <v>180000</v>
      </c>
      <c r="L600" s="38" t="s">
        <v>664</v>
      </c>
      <c r="M600" s="38" t="s">
        <v>664</v>
      </c>
      <c r="N600" s="39" t="s">
        <v>664</v>
      </c>
      <c r="O600" s="39" t="s">
        <v>664</v>
      </c>
      <c r="P600" s="39" t="s">
        <v>664</v>
      </c>
      <c r="Q600" s="38" t="s">
        <v>664</v>
      </c>
    </row>
    <row r="601" spans="2:17" ht="319.5" thickBot="1" x14ac:dyDescent="0.3">
      <c r="B601" s="58">
        <v>12</v>
      </c>
      <c r="C601" s="34" t="s">
        <v>598</v>
      </c>
      <c r="D601" s="34" t="s">
        <v>598</v>
      </c>
      <c r="E601" s="42">
        <v>45499</v>
      </c>
      <c r="F601" s="38" t="s">
        <v>1621</v>
      </c>
      <c r="G601" s="38" t="s">
        <v>1622</v>
      </c>
      <c r="H601" s="34" t="s">
        <v>14</v>
      </c>
      <c r="I601" s="34" t="s">
        <v>1623</v>
      </c>
      <c r="J601" s="34" t="s">
        <v>664</v>
      </c>
      <c r="K601" s="34" t="s">
        <v>664</v>
      </c>
      <c r="L601" s="38" t="s">
        <v>664</v>
      </c>
      <c r="M601" s="38" t="s">
        <v>664</v>
      </c>
      <c r="N601" s="39" t="s">
        <v>664</v>
      </c>
      <c r="O601" s="39" t="s">
        <v>664</v>
      </c>
      <c r="P601" s="39" t="s">
        <v>664</v>
      </c>
      <c r="Q601" s="38" t="s">
        <v>664</v>
      </c>
    </row>
    <row r="602" spans="2:17" ht="159.75" thickBot="1" x14ac:dyDescent="0.3">
      <c r="B602" s="58">
        <v>13</v>
      </c>
      <c r="C602" s="34" t="s">
        <v>598</v>
      </c>
      <c r="D602" s="34" t="s">
        <v>598</v>
      </c>
      <c r="E602" s="36" t="s">
        <v>1624</v>
      </c>
      <c r="F602" s="38" t="s">
        <v>149</v>
      </c>
      <c r="G602" s="38" t="s">
        <v>1625</v>
      </c>
      <c r="H602" s="34" t="s">
        <v>882</v>
      </c>
      <c r="I602" s="34" t="s">
        <v>1626</v>
      </c>
      <c r="J602" s="34" t="s">
        <v>664</v>
      </c>
      <c r="K602" s="34" t="s">
        <v>664</v>
      </c>
      <c r="L602" s="38" t="s">
        <v>664</v>
      </c>
      <c r="M602" s="38" t="s">
        <v>664</v>
      </c>
      <c r="N602" s="39" t="s">
        <v>664</v>
      </c>
      <c r="O602" s="39" t="s">
        <v>664</v>
      </c>
      <c r="P602" s="39" t="s">
        <v>664</v>
      </c>
      <c r="Q602" s="38" t="s">
        <v>664</v>
      </c>
    </row>
    <row r="603" spans="2:17" ht="153.75" thickBot="1" x14ac:dyDescent="0.3">
      <c r="B603" s="58">
        <v>14</v>
      </c>
      <c r="C603" s="34" t="s">
        <v>598</v>
      </c>
      <c r="D603" s="34" t="s">
        <v>598</v>
      </c>
      <c r="E603" s="42">
        <v>45500</v>
      </c>
      <c r="F603" s="38" t="s">
        <v>913</v>
      </c>
      <c r="G603" s="38" t="s">
        <v>1627</v>
      </c>
      <c r="H603" s="34" t="s">
        <v>1628</v>
      </c>
      <c r="I603" s="34" t="s">
        <v>1629</v>
      </c>
      <c r="J603" s="34" t="s">
        <v>664</v>
      </c>
      <c r="K603" s="34" t="s">
        <v>664</v>
      </c>
      <c r="L603" s="38" t="s">
        <v>664</v>
      </c>
      <c r="M603" s="38" t="s">
        <v>664</v>
      </c>
      <c r="N603" s="39" t="s">
        <v>664</v>
      </c>
      <c r="O603" s="39" t="s">
        <v>664</v>
      </c>
      <c r="P603" s="39" t="s">
        <v>664</v>
      </c>
      <c r="Q603" s="38" t="s">
        <v>664</v>
      </c>
    </row>
    <row r="604" spans="2:17" ht="128.25" thickBot="1" x14ac:dyDescent="0.3">
      <c r="B604" s="58">
        <v>15</v>
      </c>
      <c r="C604" s="34" t="s">
        <v>598</v>
      </c>
      <c r="D604" s="34" t="s">
        <v>598</v>
      </c>
      <c r="E604" s="42">
        <v>45501</v>
      </c>
      <c r="F604" s="38" t="s">
        <v>1630</v>
      </c>
      <c r="G604" s="38" t="s">
        <v>1631</v>
      </c>
      <c r="H604" s="34" t="s">
        <v>629</v>
      </c>
      <c r="I604" s="34" t="s">
        <v>1632</v>
      </c>
      <c r="J604" s="34" t="s">
        <v>664</v>
      </c>
      <c r="K604" s="34" t="s">
        <v>664</v>
      </c>
      <c r="L604" s="38" t="s">
        <v>664</v>
      </c>
      <c r="M604" s="38" t="s">
        <v>664</v>
      </c>
      <c r="N604" s="39" t="s">
        <v>664</v>
      </c>
      <c r="O604" s="39" t="s">
        <v>664</v>
      </c>
      <c r="P604" s="39" t="s">
        <v>664</v>
      </c>
      <c r="Q604" s="38" t="s">
        <v>664</v>
      </c>
    </row>
    <row r="605" spans="2:17" ht="153.75" thickBot="1" x14ac:dyDescent="0.3">
      <c r="B605" s="58">
        <v>16</v>
      </c>
      <c r="C605" s="34" t="s">
        <v>598</v>
      </c>
      <c r="D605" s="34" t="s">
        <v>598</v>
      </c>
      <c r="E605" s="42">
        <v>45502</v>
      </c>
      <c r="F605" s="38" t="s">
        <v>1633</v>
      </c>
      <c r="G605" s="38" t="s">
        <v>1634</v>
      </c>
      <c r="H605" s="34" t="s">
        <v>663</v>
      </c>
      <c r="I605" s="34" t="s">
        <v>1635</v>
      </c>
      <c r="J605" s="34">
        <v>10000</v>
      </c>
      <c r="K605" s="34">
        <v>2990000</v>
      </c>
      <c r="L605" s="38"/>
      <c r="M605" s="38"/>
      <c r="N605" s="39"/>
      <c r="O605" s="39"/>
      <c r="P605" s="39"/>
      <c r="Q605" s="38"/>
    </row>
    <row r="606" spans="2:17" ht="128.25" thickBot="1" x14ac:dyDescent="0.3">
      <c r="B606" s="58">
        <v>17</v>
      </c>
      <c r="C606" s="34" t="s">
        <v>598</v>
      </c>
      <c r="D606" s="34" t="s">
        <v>598</v>
      </c>
      <c r="E606" s="42">
        <v>45504</v>
      </c>
      <c r="F606" s="38" t="s">
        <v>146</v>
      </c>
      <c r="G606" s="38" t="s">
        <v>1636</v>
      </c>
      <c r="H606" s="34" t="s">
        <v>629</v>
      </c>
      <c r="I606" s="34" t="s">
        <v>1637</v>
      </c>
      <c r="J606" s="34" t="s">
        <v>664</v>
      </c>
      <c r="K606" s="34" t="s">
        <v>664</v>
      </c>
      <c r="L606" s="38" t="s">
        <v>664</v>
      </c>
      <c r="M606" s="38" t="s">
        <v>664</v>
      </c>
      <c r="N606" s="39" t="s">
        <v>664</v>
      </c>
      <c r="O606" s="39" t="s">
        <v>664</v>
      </c>
      <c r="P606" s="39" t="s">
        <v>664</v>
      </c>
      <c r="Q606" s="38" t="s">
        <v>664</v>
      </c>
    </row>
    <row r="607" spans="2:17" ht="15.75" thickBot="1" x14ac:dyDescent="0.3">
      <c r="B607" s="58"/>
      <c r="C607" s="34"/>
      <c r="D607" s="34"/>
      <c r="E607" s="36"/>
      <c r="F607" s="38"/>
      <c r="G607" s="38"/>
      <c r="H607" s="34"/>
      <c r="I607" s="34" t="s">
        <v>19</v>
      </c>
      <c r="J607" s="79">
        <v>635000</v>
      </c>
      <c r="K607" s="79">
        <v>9615000</v>
      </c>
      <c r="L607" s="38"/>
      <c r="M607" s="38"/>
      <c r="N607" s="39"/>
      <c r="O607" s="39"/>
      <c r="P607" s="39"/>
      <c r="Q607" s="38"/>
    </row>
    <row r="608" spans="2:17" x14ac:dyDescent="0.25">
      <c r="B608" s="48" t="s">
        <v>700</v>
      </c>
    </row>
    <row r="609" spans="2:17" ht="15.75" thickBot="1" x14ac:dyDescent="0.3">
      <c r="B609" s="49" t="s">
        <v>998</v>
      </c>
    </row>
    <row r="610" spans="2:17" ht="117" customHeight="1" thickBot="1" x14ac:dyDescent="0.3">
      <c r="B610" s="86" t="s">
        <v>589</v>
      </c>
      <c r="C610" s="86" t="s">
        <v>0</v>
      </c>
      <c r="D610" s="86" t="s">
        <v>590</v>
      </c>
      <c r="E610" s="86" t="s">
        <v>1</v>
      </c>
      <c r="F610" s="86" t="s">
        <v>592</v>
      </c>
      <c r="G610" s="86" t="s">
        <v>702</v>
      </c>
      <c r="H610" s="86" t="s">
        <v>4</v>
      </c>
      <c r="I610" s="86" t="s">
        <v>703</v>
      </c>
      <c r="J610" s="86" t="s">
        <v>595</v>
      </c>
      <c r="K610" s="86" t="s">
        <v>596</v>
      </c>
      <c r="L610" s="97" t="s">
        <v>8</v>
      </c>
      <c r="M610" s="85"/>
      <c r="N610" s="84" t="s">
        <v>9</v>
      </c>
      <c r="O610" s="85"/>
      <c r="P610" s="84" t="s">
        <v>10</v>
      </c>
      <c r="Q610" s="93"/>
    </row>
    <row r="611" spans="2:17" ht="15.75" thickBot="1" x14ac:dyDescent="0.3">
      <c r="B611" s="58"/>
      <c r="C611" s="58"/>
      <c r="D611" s="58"/>
      <c r="E611" s="58"/>
      <c r="F611" s="58"/>
      <c r="G611" s="58"/>
      <c r="H611" s="58"/>
      <c r="I611" s="58"/>
      <c r="J611" s="58"/>
      <c r="K611" s="58"/>
      <c r="L611" s="33" t="s">
        <v>11</v>
      </c>
      <c r="M611" s="33" t="s">
        <v>597</v>
      </c>
      <c r="N611" s="33" t="s">
        <v>11</v>
      </c>
      <c r="O611" s="33" t="s">
        <v>597</v>
      </c>
      <c r="P611" s="33" t="s">
        <v>11</v>
      </c>
      <c r="Q611" s="34" t="s">
        <v>597</v>
      </c>
    </row>
    <row r="612" spans="2:17" ht="15.75" thickBot="1" x14ac:dyDescent="0.3">
      <c r="B612" s="35">
        <v>1</v>
      </c>
      <c r="C612" s="34">
        <v>2</v>
      </c>
      <c r="D612" s="34">
        <v>3</v>
      </c>
      <c r="E612" s="34">
        <v>4</v>
      </c>
      <c r="F612" s="34">
        <v>5</v>
      </c>
      <c r="G612" s="34">
        <v>6</v>
      </c>
      <c r="H612" s="34">
        <v>7</v>
      </c>
      <c r="I612" s="34">
        <v>8</v>
      </c>
      <c r="J612" s="34">
        <v>9</v>
      </c>
      <c r="K612" s="34">
        <v>10</v>
      </c>
      <c r="L612" s="34">
        <v>11</v>
      </c>
      <c r="M612" s="34">
        <v>12</v>
      </c>
      <c r="N612" s="33">
        <v>13</v>
      </c>
      <c r="O612" s="33">
        <v>14</v>
      </c>
      <c r="P612" s="33">
        <v>15</v>
      </c>
      <c r="Q612" s="34">
        <v>16</v>
      </c>
    </row>
    <row r="613" spans="2:17" ht="15.75" thickBot="1" x14ac:dyDescent="0.3">
      <c r="B613" s="35"/>
      <c r="C613" s="34"/>
      <c r="D613" s="34"/>
      <c r="E613" s="34"/>
      <c r="F613" s="38"/>
      <c r="G613" s="34"/>
      <c r="H613" s="34"/>
      <c r="I613" s="34"/>
      <c r="J613" s="38"/>
      <c r="K613" s="34"/>
      <c r="L613" s="34"/>
      <c r="M613" s="34"/>
      <c r="N613" s="33"/>
      <c r="O613" s="33"/>
      <c r="P613" s="33"/>
      <c r="Q613" s="34"/>
    </row>
    <row r="614" spans="2:17" x14ac:dyDescent="0.25">
      <c r="B614" s="48" t="s">
        <v>1588</v>
      </c>
    </row>
    <row r="615" spans="2:17" ht="15.75" thickBot="1" x14ac:dyDescent="0.3">
      <c r="B615" s="48" t="s">
        <v>1589</v>
      </c>
      <c r="H615" s="48" t="s">
        <v>1590</v>
      </c>
    </row>
    <row r="616" spans="2:17" ht="15" customHeight="1" thickBot="1" x14ac:dyDescent="0.3">
      <c r="B616" s="86" t="s">
        <v>589</v>
      </c>
      <c r="C616" s="86" t="s">
        <v>0</v>
      </c>
      <c r="D616" s="86" t="s">
        <v>713</v>
      </c>
      <c r="E616" s="94" t="s">
        <v>67</v>
      </c>
      <c r="F616" s="95"/>
      <c r="G616" s="96"/>
      <c r="H616" s="86" t="s">
        <v>714</v>
      </c>
      <c r="I616" s="97" t="s">
        <v>8</v>
      </c>
      <c r="J616" s="85"/>
      <c r="K616" s="84" t="s">
        <v>9</v>
      </c>
      <c r="L616" s="85"/>
      <c r="M616" s="84" t="s">
        <v>10</v>
      </c>
      <c r="N616" s="93"/>
    </row>
    <row r="617" spans="2:17" ht="15.75" thickBot="1" x14ac:dyDescent="0.3">
      <c r="B617" s="58"/>
      <c r="C617" s="58"/>
      <c r="D617" s="58"/>
      <c r="E617" s="34" t="s">
        <v>68</v>
      </c>
      <c r="F617" s="34" t="s">
        <v>715</v>
      </c>
      <c r="G617" s="34" t="s">
        <v>716</v>
      </c>
      <c r="H617" s="58"/>
      <c r="I617" s="33" t="s">
        <v>11</v>
      </c>
      <c r="J617" s="33" t="s">
        <v>597</v>
      </c>
      <c r="K617" s="33" t="s">
        <v>11</v>
      </c>
      <c r="L617" s="33" t="s">
        <v>597</v>
      </c>
      <c r="M617" s="33" t="s">
        <v>11</v>
      </c>
      <c r="N617" s="34" t="s">
        <v>597</v>
      </c>
    </row>
    <row r="618" spans="2:17" ht="15.75" thickBot="1" x14ac:dyDescent="0.3">
      <c r="B618" s="35">
        <v>1</v>
      </c>
      <c r="C618" s="34">
        <v>2</v>
      </c>
      <c r="D618" s="34">
        <v>3</v>
      </c>
      <c r="E618" s="34">
        <v>4</v>
      </c>
      <c r="F618" s="34">
        <v>5</v>
      </c>
      <c r="G618" s="34">
        <v>6</v>
      </c>
      <c r="H618" s="34">
        <v>7</v>
      </c>
      <c r="I618" s="33">
        <v>8</v>
      </c>
      <c r="J618" s="34">
        <v>9</v>
      </c>
      <c r="K618" s="33">
        <v>10</v>
      </c>
      <c r="L618" s="33">
        <v>11</v>
      </c>
      <c r="M618" s="33">
        <v>12</v>
      </c>
      <c r="N618" s="34">
        <v>13</v>
      </c>
    </row>
    <row r="619" spans="2:17" ht="268.5" thickBot="1" x14ac:dyDescent="0.3">
      <c r="B619" s="35">
        <v>1</v>
      </c>
      <c r="C619" s="34" t="s">
        <v>598</v>
      </c>
      <c r="D619" s="40">
        <v>45475</v>
      </c>
      <c r="E619" s="34" t="s">
        <v>14</v>
      </c>
      <c r="F619" s="34" t="s">
        <v>1638</v>
      </c>
      <c r="G619" s="34" t="s">
        <v>14</v>
      </c>
      <c r="H619" s="38" t="s">
        <v>1639</v>
      </c>
      <c r="I619" s="33" t="s">
        <v>14</v>
      </c>
      <c r="J619" s="34" t="s">
        <v>14</v>
      </c>
      <c r="K619" s="33">
        <v>4</v>
      </c>
      <c r="L619" s="33"/>
      <c r="M619" s="33"/>
      <c r="N619" s="34"/>
    </row>
    <row r="620" spans="2:17" ht="204.75" thickBot="1" x14ac:dyDescent="0.3">
      <c r="B620" s="35">
        <v>2</v>
      </c>
      <c r="C620" s="34" t="s">
        <v>598</v>
      </c>
      <c r="D620" s="40">
        <v>45477</v>
      </c>
      <c r="E620" s="34" t="s">
        <v>14</v>
      </c>
      <c r="F620" s="38" t="s">
        <v>14</v>
      </c>
      <c r="G620" s="34" t="s">
        <v>1640</v>
      </c>
      <c r="H620" s="38" t="s">
        <v>1641</v>
      </c>
      <c r="I620" s="34" t="s">
        <v>14</v>
      </c>
      <c r="J620" s="34" t="s">
        <v>14</v>
      </c>
      <c r="K620" s="33" t="s">
        <v>14</v>
      </c>
      <c r="L620" s="33" t="s">
        <v>14</v>
      </c>
      <c r="M620" s="33">
        <v>10</v>
      </c>
      <c r="N620" s="34"/>
    </row>
    <row r="621" spans="2:17" ht="204.75" thickBot="1" x14ac:dyDescent="0.3">
      <c r="B621" s="35">
        <v>3</v>
      </c>
      <c r="C621" s="34" t="s">
        <v>598</v>
      </c>
      <c r="D621" s="40">
        <v>45481</v>
      </c>
      <c r="E621" s="34" t="s">
        <v>14</v>
      </c>
      <c r="F621" s="34" t="s">
        <v>14</v>
      </c>
      <c r="G621" s="38" t="s">
        <v>1642</v>
      </c>
      <c r="H621" s="38" t="s">
        <v>1643</v>
      </c>
      <c r="I621" s="34" t="s">
        <v>14</v>
      </c>
      <c r="J621" s="34" t="s">
        <v>14</v>
      </c>
      <c r="K621" s="33" t="s">
        <v>14</v>
      </c>
      <c r="L621" s="33" t="s">
        <v>14</v>
      </c>
      <c r="M621" s="33" t="s">
        <v>14</v>
      </c>
      <c r="N621" s="34" t="s">
        <v>14</v>
      </c>
    </row>
    <row r="622" spans="2:17" ht="192" thickBot="1" x14ac:dyDescent="0.3">
      <c r="B622" s="35">
        <v>4</v>
      </c>
      <c r="C622" s="34" t="s">
        <v>598</v>
      </c>
      <c r="D622" s="40">
        <v>45491</v>
      </c>
      <c r="E622" s="34" t="s">
        <v>14</v>
      </c>
      <c r="F622" s="34" t="s">
        <v>14</v>
      </c>
      <c r="G622" s="38" t="s">
        <v>1644</v>
      </c>
      <c r="H622" s="38" t="s">
        <v>1645</v>
      </c>
      <c r="I622" s="34" t="s">
        <v>14</v>
      </c>
      <c r="J622" s="34" t="s">
        <v>14</v>
      </c>
      <c r="K622" s="33" t="s">
        <v>14</v>
      </c>
      <c r="L622" s="33" t="s">
        <v>14</v>
      </c>
      <c r="M622" s="33"/>
      <c r="N622" s="34">
        <v>1</v>
      </c>
    </row>
    <row r="623" spans="2:17" ht="243" thickBot="1" x14ac:dyDescent="0.3">
      <c r="B623" s="35">
        <v>5</v>
      </c>
      <c r="C623" s="34" t="s">
        <v>598</v>
      </c>
      <c r="D623" s="40">
        <v>45493</v>
      </c>
      <c r="E623" s="34" t="s">
        <v>14</v>
      </c>
      <c r="F623" s="34" t="s">
        <v>14</v>
      </c>
      <c r="G623" s="38" t="s">
        <v>1646</v>
      </c>
      <c r="H623" s="38" t="s">
        <v>1647</v>
      </c>
      <c r="I623" s="34" t="s">
        <v>14</v>
      </c>
      <c r="J623" s="34" t="s">
        <v>14</v>
      </c>
      <c r="K623" s="33" t="s">
        <v>14</v>
      </c>
      <c r="L623" s="33" t="s">
        <v>14</v>
      </c>
      <c r="M623" s="33"/>
      <c r="N623" s="34">
        <v>1</v>
      </c>
    </row>
    <row r="624" spans="2:17" ht="306.75" thickBot="1" x14ac:dyDescent="0.3">
      <c r="B624" s="35">
        <v>6</v>
      </c>
      <c r="C624" s="34" t="s">
        <v>598</v>
      </c>
      <c r="D624" s="40">
        <v>45494</v>
      </c>
      <c r="E624" s="34" t="s">
        <v>14</v>
      </c>
      <c r="F624" s="34" t="s">
        <v>14</v>
      </c>
      <c r="G624" s="38" t="s">
        <v>1648</v>
      </c>
      <c r="H624" s="38" t="s">
        <v>1649</v>
      </c>
      <c r="I624" s="34" t="s">
        <v>14</v>
      </c>
      <c r="J624" s="34" t="s">
        <v>14</v>
      </c>
      <c r="K624" s="33" t="s">
        <v>14</v>
      </c>
      <c r="L624" s="33" t="s">
        <v>14</v>
      </c>
      <c r="M624" s="33" t="s">
        <v>14</v>
      </c>
      <c r="N624" s="34" t="s">
        <v>14</v>
      </c>
    </row>
    <row r="625" spans="2:17" ht="345" thickBot="1" x14ac:dyDescent="0.3">
      <c r="B625" s="35">
        <v>7</v>
      </c>
      <c r="C625" s="34" t="s">
        <v>598</v>
      </c>
      <c r="D625" s="40">
        <v>45499</v>
      </c>
      <c r="E625" s="34" t="s">
        <v>14</v>
      </c>
      <c r="F625" s="34" t="s">
        <v>14</v>
      </c>
      <c r="G625" s="34" t="s">
        <v>1650</v>
      </c>
      <c r="H625" s="36" t="s">
        <v>1651</v>
      </c>
      <c r="I625" s="34" t="s">
        <v>14</v>
      </c>
      <c r="J625" s="34" t="s">
        <v>14</v>
      </c>
      <c r="K625" s="33" t="s">
        <v>14</v>
      </c>
      <c r="L625" s="33" t="s">
        <v>14</v>
      </c>
      <c r="M625" s="33" t="s">
        <v>14</v>
      </c>
      <c r="N625" s="34" t="s">
        <v>14</v>
      </c>
    </row>
    <row r="626" spans="2:17" ht="166.5" thickBot="1" x14ac:dyDescent="0.3">
      <c r="B626" s="35">
        <v>8</v>
      </c>
      <c r="C626" s="34" t="s">
        <v>598</v>
      </c>
      <c r="D626" s="40">
        <v>45500</v>
      </c>
      <c r="E626" s="34" t="s">
        <v>14</v>
      </c>
      <c r="F626" s="34" t="s">
        <v>14</v>
      </c>
      <c r="G626" s="34" t="s">
        <v>1652</v>
      </c>
      <c r="H626" s="36" t="s">
        <v>1653</v>
      </c>
      <c r="I626" s="34" t="s">
        <v>14</v>
      </c>
      <c r="J626" s="34" t="s">
        <v>14</v>
      </c>
      <c r="K626" s="33" t="s">
        <v>14</v>
      </c>
      <c r="L626" s="33" t="s">
        <v>14</v>
      </c>
      <c r="M626" s="33" t="s">
        <v>14</v>
      </c>
      <c r="N626" s="34">
        <v>1</v>
      </c>
    </row>
    <row r="627" spans="2:17" ht="230.25" thickBot="1" x14ac:dyDescent="0.3">
      <c r="B627" s="35">
        <v>9</v>
      </c>
      <c r="C627" s="34" t="s">
        <v>598</v>
      </c>
      <c r="D627" s="40">
        <v>45504</v>
      </c>
      <c r="E627" s="34" t="s">
        <v>14</v>
      </c>
      <c r="F627" s="34" t="s">
        <v>1654</v>
      </c>
      <c r="G627" s="34" t="s">
        <v>1655</v>
      </c>
      <c r="H627" s="36" t="s">
        <v>1656</v>
      </c>
      <c r="I627" s="34" t="s">
        <v>14</v>
      </c>
      <c r="J627" s="34" t="s">
        <v>14</v>
      </c>
      <c r="K627" s="33" t="s">
        <v>14</v>
      </c>
      <c r="L627" s="33" t="s">
        <v>14</v>
      </c>
      <c r="M627" s="33" t="s">
        <v>14</v>
      </c>
      <c r="N627" s="34" t="s">
        <v>14</v>
      </c>
    </row>
    <row r="628" spans="2:17" ht="166.5" thickBot="1" x14ac:dyDescent="0.3">
      <c r="B628" s="35">
        <v>10</v>
      </c>
      <c r="C628" s="34" t="s">
        <v>598</v>
      </c>
      <c r="D628" s="80">
        <v>45504</v>
      </c>
      <c r="E628" s="34" t="s">
        <v>14</v>
      </c>
      <c r="F628" s="34" t="s">
        <v>1657</v>
      </c>
      <c r="G628" s="38" t="s">
        <v>1658</v>
      </c>
      <c r="H628" s="36" t="s">
        <v>1659</v>
      </c>
      <c r="I628" s="34"/>
      <c r="J628" s="34"/>
      <c r="K628" s="33"/>
      <c r="L628" s="33"/>
      <c r="M628" s="33"/>
      <c r="N628" s="34"/>
    </row>
    <row r="629" spans="2:17" ht="345" thickBot="1" x14ac:dyDescent="0.3">
      <c r="B629" s="35">
        <v>11</v>
      </c>
      <c r="C629" s="34" t="s">
        <v>598</v>
      </c>
      <c r="D629" s="40">
        <v>45504</v>
      </c>
      <c r="E629" s="34" t="s">
        <v>14</v>
      </c>
      <c r="F629" s="34" t="s">
        <v>70</v>
      </c>
      <c r="G629" s="38" t="s">
        <v>1660</v>
      </c>
      <c r="H629" s="36" t="s">
        <v>1661</v>
      </c>
      <c r="I629" s="34"/>
      <c r="J629" s="34"/>
      <c r="K629" s="33"/>
      <c r="L629" s="33"/>
      <c r="M629" s="33"/>
      <c r="N629" s="34"/>
    </row>
    <row r="630" spans="2:17" ht="15.75" thickBot="1" x14ac:dyDescent="0.3">
      <c r="B630" s="35"/>
      <c r="C630" s="34"/>
      <c r="D630" s="34"/>
      <c r="E630" s="34"/>
      <c r="F630" s="34"/>
      <c r="G630" s="34"/>
      <c r="H630" s="34" t="s">
        <v>19</v>
      </c>
      <c r="I630" s="34" t="s">
        <v>14</v>
      </c>
      <c r="J630" s="34" t="s">
        <v>14</v>
      </c>
      <c r="K630" s="33"/>
      <c r="L630" s="33"/>
      <c r="M630" s="33"/>
      <c r="N630" s="34"/>
    </row>
    <row r="631" spans="2:17" x14ac:dyDescent="0.25">
      <c r="B631" s="81" t="s">
        <v>274</v>
      </c>
    </row>
    <row r="632" spans="2:17" ht="17.25" thickBot="1" x14ac:dyDescent="0.3">
      <c r="B632" s="52" t="s">
        <v>1662</v>
      </c>
      <c r="C632" s="53" t="s">
        <v>779</v>
      </c>
    </row>
    <row r="633" spans="2:17" ht="117" customHeight="1" thickBot="1" x14ac:dyDescent="0.3">
      <c r="B633" s="86" t="s">
        <v>589</v>
      </c>
      <c r="C633" s="86" t="s">
        <v>0</v>
      </c>
      <c r="D633" s="86" t="s">
        <v>590</v>
      </c>
      <c r="E633" s="86" t="s">
        <v>1</v>
      </c>
      <c r="F633" s="86" t="s">
        <v>592</v>
      </c>
      <c r="G633" s="86" t="s">
        <v>593</v>
      </c>
      <c r="H633" s="86" t="s">
        <v>4</v>
      </c>
      <c r="I633" s="86" t="s">
        <v>594</v>
      </c>
      <c r="J633" s="86" t="s">
        <v>595</v>
      </c>
      <c r="K633" s="86" t="s">
        <v>596</v>
      </c>
      <c r="L633" s="97" t="s">
        <v>8</v>
      </c>
      <c r="M633" s="85"/>
      <c r="N633" s="84" t="s">
        <v>9</v>
      </c>
      <c r="O633" s="85"/>
      <c r="P633" s="84" t="s">
        <v>10</v>
      </c>
      <c r="Q633" s="85"/>
    </row>
    <row r="634" spans="2:17" ht="15.75" thickBot="1" x14ac:dyDescent="0.3">
      <c r="B634" s="58"/>
      <c r="C634" s="58"/>
      <c r="D634" s="58"/>
      <c r="E634" s="58"/>
      <c r="F634" s="58"/>
      <c r="G634" s="58"/>
      <c r="H634" s="58"/>
      <c r="I634" s="58"/>
      <c r="J634" s="58"/>
      <c r="K634" s="58"/>
      <c r="L634" s="33" t="s">
        <v>11</v>
      </c>
      <c r="M634" s="33" t="s">
        <v>597</v>
      </c>
      <c r="N634" s="33" t="s">
        <v>11</v>
      </c>
      <c r="O634" s="33" t="s">
        <v>597</v>
      </c>
      <c r="P634" s="33" t="s">
        <v>11</v>
      </c>
      <c r="Q634" s="34" t="s">
        <v>597</v>
      </c>
    </row>
    <row r="635" spans="2:17" ht="15.75" thickBot="1" x14ac:dyDescent="0.3">
      <c r="B635" s="35">
        <v>1</v>
      </c>
      <c r="C635" s="34">
        <v>2</v>
      </c>
      <c r="D635" s="34">
        <v>3</v>
      </c>
      <c r="E635" s="34">
        <v>4</v>
      </c>
      <c r="F635" s="34">
        <v>5</v>
      </c>
      <c r="G635" s="34">
        <v>6</v>
      </c>
      <c r="H635" s="34">
        <v>7</v>
      </c>
      <c r="I635" s="34">
        <v>8</v>
      </c>
      <c r="J635" s="34">
        <v>9</v>
      </c>
      <c r="K635" s="34">
        <v>10</v>
      </c>
      <c r="L635" s="34">
        <v>11</v>
      </c>
      <c r="M635" s="34">
        <v>12</v>
      </c>
      <c r="N635" s="33">
        <v>13</v>
      </c>
      <c r="O635" s="33">
        <v>14</v>
      </c>
      <c r="P635" s="33">
        <v>15</v>
      </c>
      <c r="Q635" s="34">
        <v>16</v>
      </c>
    </row>
    <row r="636" spans="2:17" ht="64.5" thickBot="1" x14ac:dyDescent="0.3">
      <c r="B636" s="35">
        <v>1</v>
      </c>
      <c r="C636" s="34" t="s">
        <v>598</v>
      </c>
      <c r="D636" s="34" t="s">
        <v>598</v>
      </c>
      <c r="E636" s="65">
        <v>45506</v>
      </c>
      <c r="F636" s="34" t="s">
        <v>1301</v>
      </c>
      <c r="G636" s="36" t="s">
        <v>1663</v>
      </c>
      <c r="H636" s="36" t="s">
        <v>629</v>
      </c>
      <c r="I636" s="38" t="s">
        <v>1599</v>
      </c>
      <c r="J636" s="69">
        <v>10000</v>
      </c>
      <c r="K636" s="69">
        <v>4990000</v>
      </c>
      <c r="L636" s="38" t="s">
        <v>14</v>
      </c>
      <c r="M636" s="38" t="s">
        <v>14</v>
      </c>
      <c r="N636" s="39" t="s">
        <v>14</v>
      </c>
      <c r="O636" s="39" t="s">
        <v>14</v>
      </c>
      <c r="P636" s="39" t="s">
        <v>14</v>
      </c>
      <c r="Q636" s="38" t="s">
        <v>14</v>
      </c>
    </row>
    <row r="637" spans="2:17" ht="64.5" thickBot="1" x14ac:dyDescent="0.3">
      <c r="B637" s="35">
        <v>2</v>
      </c>
      <c r="C637" s="34" t="s">
        <v>598</v>
      </c>
      <c r="D637" s="34" t="s">
        <v>598</v>
      </c>
      <c r="E637" s="42">
        <v>45507</v>
      </c>
      <c r="F637" s="34" t="s">
        <v>1664</v>
      </c>
      <c r="G637" s="36" t="s">
        <v>1665</v>
      </c>
      <c r="H637" s="36" t="s">
        <v>629</v>
      </c>
      <c r="I637" s="36" t="s">
        <v>1601</v>
      </c>
      <c r="J637" s="69" t="s">
        <v>14</v>
      </c>
      <c r="K637" s="69" t="s">
        <v>14</v>
      </c>
      <c r="L637" s="38" t="s">
        <v>14</v>
      </c>
      <c r="M637" s="38" t="s">
        <v>14</v>
      </c>
      <c r="N637" s="39" t="s">
        <v>14</v>
      </c>
      <c r="O637" s="39" t="s">
        <v>14</v>
      </c>
      <c r="P637" s="39" t="s">
        <v>14</v>
      </c>
      <c r="Q637" s="38" t="s">
        <v>14</v>
      </c>
    </row>
    <row r="638" spans="2:17" ht="39" thickBot="1" x14ac:dyDescent="0.3">
      <c r="B638" s="35">
        <v>3</v>
      </c>
      <c r="C638" s="34" t="s">
        <v>598</v>
      </c>
      <c r="D638" s="34" t="s">
        <v>598</v>
      </c>
      <c r="E638" s="42">
        <v>45507</v>
      </c>
      <c r="F638" s="34" t="s">
        <v>1666</v>
      </c>
      <c r="G638" s="36" t="s">
        <v>1667</v>
      </c>
      <c r="H638" s="36" t="s">
        <v>14</v>
      </c>
      <c r="I638" s="36" t="s">
        <v>764</v>
      </c>
      <c r="J638" s="69" t="s">
        <v>1604</v>
      </c>
      <c r="K638" s="69" t="s">
        <v>14</v>
      </c>
      <c r="L638" s="38" t="s">
        <v>14</v>
      </c>
      <c r="M638" s="38" t="s">
        <v>14</v>
      </c>
      <c r="N638" s="39" t="s">
        <v>14</v>
      </c>
      <c r="O638" s="39" t="s">
        <v>14</v>
      </c>
      <c r="P638" s="39" t="s">
        <v>14</v>
      </c>
      <c r="Q638" s="38" t="s">
        <v>14</v>
      </c>
    </row>
    <row r="639" spans="2:17" ht="51.75" thickBot="1" x14ac:dyDescent="0.3">
      <c r="B639" s="35">
        <v>4</v>
      </c>
      <c r="C639" s="34" t="s">
        <v>598</v>
      </c>
      <c r="D639" s="34" t="s">
        <v>598</v>
      </c>
      <c r="E639" s="42">
        <v>45508</v>
      </c>
      <c r="F639" s="34" t="s">
        <v>1668</v>
      </c>
      <c r="G639" s="36" t="s">
        <v>1669</v>
      </c>
      <c r="H639" s="36" t="s">
        <v>629</v>
      </c>
      <c r="I639" s="36" t="s">
        <v>1601</v>
      </c>
      <c r="J639" s="75" t="s">
        <v>14</v>
      </c>
      <c r="K639" s="75" t="s">
        <v>1670</v>
      </c>
      <c r="L639" s="38" t="s">
        <v>14</v>
      </c>
      <c r="M639" s="38" t="s">
        <v>14</v>
      </c>
      <c r="N639" s="39" t="s">
        <v>14</v>
      </c>
      <c r="O639" s="39" t="s">
        <v>14</v>
      </c>
      <c r="P639" s="39" t="s">
        <v>14</v>
      </c>
      <c r="Q639" s="38" t="s">
        <v>14</v>
      </c>
    </row>
    <row r="640" spans="2:17" ht="51.75" thickBot="1" x14ac:dyDescent="0.3">
      <c r="B640" s="35">
        <v>5</v>
      </c>
      <c r="C640" s="34" t="s">
        <v>598</v>
      </c>
      <c r="D640" s="34" t="s">
        <v>598</v>
      </c>
      <c r="E640" s="42">
        <v>45515</v>
      </c>
      <c r="F640" s="38" t="s">
        <v>1671</v>
      </c>
      <c r="G640" s="36" t="s">
        <v>1672</v>
      </c>
      <c r="H640" s="36" t="s">
        <v>40</v>
      </c>
      <c r="I640" s="36" t="s">
        <v>1606</v>
      </c>
      <c r="J640" s="69">
        <v>200000</v>
      </c>
      <c r="K640" s="69">
        <v>1300000</v>
      </c>
      <c r="L640" s="38" t="s">
        <v>14</v>
      </c>
      <c r="M640" s="38" t="s">
        <v>14</v>
      </c>
      <c r="N640" s="39" t="s">
        <v>14</v>
      </c>
      <c r="O640" s="61" t="s">
        <v>20</v>
      </c>
      <c r="P640" s="39" t="s">
        <v>14</v>
      </c>
      <c r="Q640" s="38" t="s">
        <v>14</v>
      </c>
    </row>
    <row r="641" spans="2:17" ht="39" thickBot="1" x14ac:dyDescent="0.3">
      <c r="B641" s="35">
        <v>6</v>
      </c>
      <c r="C641" s="34" t="s">
        <v>598</v>
      </c>
      <c r="D641" s="34" t="s">
        <v>598</v>
      </c>
      <c r="E641" s="42">
        <v>45516</v>
      </c>
      <c r="F641" s="34" t="s">
        <v>1673</v>
      </c>
      <c r="G641" s="36" t="s">
        <v>1674</v>
      </c>
      <c r="H641" s="36" t="s">
        <v>1155</v>
      </c>
      <c r="I641" s="36" t="s">
        <v>14</v>
      </c>
      <c r="J641" s="69" t="s">
        <v>14</v>
      </c>
      <c r="K641" s="75" t="s">
        <v>14</v>
      </c>
      <c r="L641" s="38" t="s">
        <v>14</v>
      </c>
      <c r="M641" s="38" t="s">
        <v>14</v>
      </c>
      <c r="N641" s="39" t="s">
        <v>14</v>
      </c>
      <c r="O641" s="39" t="s">
        <v>14</v>
      </c>
      <c r="P641" s="39" t="s">
        <v>14</v>
      </c>
      <c r="Q641" s="38" t="s">
        <v>14</v>
      </c>
    </row>
    <row r="642" spans="2:17" ht="128.25" thickBot="1" x14ac:dyDescent="0.3">
      <c r="B642" s="35">
        <v>7</v>
      </c>
      <c r="C642" s="34" t="s">
        <v>598</v>
      </c>
      <c r="D642" s="34" t="s">
        <v>598</v>
      </c>
      <c r="E642" s="42">
        <v>45516</v>
      </c>
      <c r="F642" s="34" t="s">
        <v>803</v>
      </c>
      <c r="G642" s="36" t="s">
        <v>1675</v>
      </c>
      <c r="H642" s="36" t="s">
        <v>629</v>
      </c>
      <c r="I642" s="36" t="s">
        <v>1676</v>
      </c>
      <c r="J642" s="75" t="s">
        <v>14</v>
      </c>
      <c r="K642" s="75" t="s">
        <v>14</v>
      </c>
      <c r="L642" s="38" t="s">
        <v>14</v>
      </c>
      <c r="M642" s="38" t="s">
        <v>14</v>
      </c>
      <c r="N642" s="39" t="s">
        <v>14</v>
      </c>
      <c r="O642" s="39" t="s">
        <v>14</v>
      </c>
      <c r="P642" s="39" t="s">
        <v>14</v>
      </c>
      <c r="Q642" s="38" t="s">
        <v>14</v>
      </c>
    </row>
    <row r="643" spans="2:17" ht="128.25" thickBot="1" x14ac:dyDescent="0.3">
      <c r="B643" s="35">
        <v>8</v>
      </c>
      <c r="C643" s="34" t="s">
        <v>598</v>
      </c>
      <c r="D643" s="34" t="s">
        <v>598</v>
      </c>
      <c r="E643" s="42">
        <v>45519</v>
      </c>
      <c r="F643" s="34" t="s">
        <v>1677</v>
      </c>
      <c r="G643" s="36" t="s">
        <v>1678</v>
      </c>
      <c r="H643" s="36" t="s">
        <v>1679</v>
      </c>
      <c r="I643" s="36" t="s">
        <v>1676</v>
      </c>
      <c r="J643" s="75" t="s">
        <v>14</v>
      </c>
      <c r="K643" s="75" t="s">
        <v>14</v>
      </c>
      <c r="L643" s="38" t="s">
        <v>14</v>
      </c>
      <c r="M643" s="38" t="s">
        <v>14</v>
      </c>
      <c r="N643" s="39" t="s">
        <v>14</v>
      </c>
      <c r="O643" s="39" t="s">
        <v>14</v>
      </c>
      <c r="P643" s="39" t="s">
        <v>14</v>
      </c>
      <c r="Q643" s="38" t="s">
        <v>14</v>
      </c>
    </row>
    <row r="644" spans="2:17" ht="141" thickBot="1" x14ac:dyDescent="0.3">
      <c r="B644" s="35">
        <v>9</v>
      </c>
      <c r="C644" s="34" t="s">
        <v>598</v>
      </c>
      <c r="D644" s="34" t="s">
        <v>598</v>
      </c>
      <c r="E644" s="42">
        <v>45523</v>
      </c>
      <c r="F644" s="34" t="s">
        <v>1680</v>
      </c>
      <c r="G644" s="36" t="s">
        <v>1681</v>
      </c>
      <c r="H644" s="36" t="s">
        <v>14</v>
      </c>
      <c r="I644" s="36" t="s">
        <v>1614</v>
      </c>
      <c r="J644" s="75" t="s">
        <v>14</v>
      </c>
      <c r="K644" s="75" t="s">
        <v>14</v>
      </c>
      <c r="L644" s="38" t="s">
        <v>14</v>
      </c>
      <c r="M644" s="38" t="s">
        <v>14</v>
      </c>
      <c r="N644" s="39" t="s">
        <v>14</v>
      </c>
      <c r="O644" s="39" t="s">
        <v>14</v>
      </c>
      <c r="P644" s="39" t="s">
        <v>14</v>
      </c>
      <c r="Q644" s="38" t="s">
        <v>14</v>
      </c>
    </row>
    <row r="645" spans="2:17" ht="90.6" customHeight="1" x14ac:dyDescent="0.25">
      <c r="B645" s="78"/>
      <c r="C645" s="86" t="s">
        <v>598</v>
      </c>
      <c r="D645" s="86" t="s">
        <v>598</v>
      </c>
      <c r="E645" s="98">
        <v>45525</v>
      </c>
      <c r="F645" s="86" t="s">
        <v>1249</v>
      </c>
      <c r="G645" s="86" t="s">
        <v>1682</v>
      </c>
      <c r="H645" s="86" t="s">
        <v>151</v>
      </c>
      <c r="I645" s="86" t="s">
        <v>1683</v>
      </c>
      <c r="J645" s="86">
        <v>5000</v>
      </c>
      <c r="K645" s="86">
        <v>495000</v>
      </c>
      <c r="L645" s="86" t="s">
        <v>664</v>
      </c>
      <c r="M645" s="86" t="s">
        <v>664</v>
      </c>
      <c r="N645" s="87" t="s">
        <v>664</v>
      </c>
      <c r="O645" s="88" t="s">
        <v>664</v>
      </c>
      <c r="P645" s="88" t="s">
        <v>664</v>
      </c>
      <c r="Q645" s="89" t="s">
        <v>664</v>
      </c>
    </row>
    <row r="646" spans="2:17" ht="15.75" thickBot="1" x14ac:dyDescent="0.3">
      <c r="B646" s="58">
        <v>10</v>
      </c>
      <c r="C646" s="58"/>
      <c r="D646" s="58"/>
      <c r="E646" s="99"/>
      <c r="F646" s="58"/>
      <c r="G646" s="58"/>
      <c r="H646" s="58"/>
      <c r="I646" s="58"/>
      <c r="J646" s="58"/>
      <c r="K646" s="58"/>
      <c r="L646" s="58"/>
      <c r="M646" s="58"/>
      <c r="N646" s="90"/>
      <c r="O646" s="91"/>
      <c r="P646" s="91"/>
      <c r="Q646" s="92"/>
    </row>
    <row r="647" spans="2:17" ht="268.5" thickBot="1" x14ac:dyDescent="0.3">
      <c r="B647" s="58">
        <v>11</v>
      </c>
      <c r="C647" s="34" t="s">
        <v>598</v>
      </c>
      <c r="D647" s="34" t="s">
        <v>598</v>
      </c>
      <c r="E647" s="42">
        <v>45529</v>
      </c>
      <c r="F647" s="38" t="s">
        <v>1168</v>
      </c>
      <c r="G647" s="38" t="s">
        <v>1684</v>
      </c>
      <c r="H647" s="34" t="s">
        <v>151</v>
      </c>
      <c r="I647" s="34" t="s">
        <v>1685</v>
      </c>
      <c r="J647" s="34" t="s">
        <v>14</v>
      </c>
      <c r="K647" s="34" t="s">
        <v>14</v>
      </c>
      <c r="L647" s="38" t="s">
        <v>664</v>
      </c>
      <c r="M647" s="38" t="s">
        <v>664</v>
      </c>
      <c r="N647" s="39" t="s">
        <v>664</v>
      </c>
      <c r="O647" s="39" t="s">
        <v>664</v>
      </c>
      <c r="P647" s="39" t="s">
        <v>664</v>
      </c>
      <c r="Q647" s="38" t="s">
        <v>664</v>
      </c>
    </row>
    <row r="648" spans="2:17" ht="15.75" thickBot="1" x14ac:dyDescent="0.3">
      <c r="B648" s="58"/>
      <c r="C648" s="34"/>
      <c r="D648" s="34"/>
      <c r="E648" s="36"/>
      <c r="F648" s="38"/>
      <c r="G648" s="38"/>
      <c r="H648" s="34"/>
      <c r="I648" s="34" t="s">
        <v>19</v>
      </c>
      <c r="J648" s="79">
        <v>215000</v>
      </c>
      <c r="K648" s="79">
        <v>6785000</v>
      </c>
      <c r="L648" s="38"/>
      <c r="M648" s="38"/>
      <c r="N648" s="39"/>
      <c r="O648" s="39"/>
      <c r="P648" s="39"/>
      <c r="Q648" s="38"/>
    </row>
    <row r="649" spans="2:17" x14ac:dyDescent="0.25">
      <c r="B649" s="48" t="s">
        <v>700</v>
      </c>
    </row>
    <row r="650" spans="2:17" ht="15.75" thickBot="1" x14ac:dyDescent="0.3">
      <c r="B650" s="49" t="s">
        <v>998</v>
      </c>
    </row>
    <row r="651" spans="2:17" ht="117" customHeight="1" thickBot="1" x14ac:dyDescent="0.3">
      <c r="B651" s="86" t="s">
        <v>589</v>
      </c>
      <c r="C651" s="86" t="s">
        <v>0</v>
      </c>
      <c r="D651" s="86" t="s">
        <v>590</v>
      </c>
      <c r="E651" s="86" t="s">
        <v>1</v>
      </c>
      <c r="F651" s="86" t="s">
        <v>592</v>
      </c>
      <c r="G651" s="86" t="s">
        <v>702</v>
      </c>
      <c r="H651" s="86" t="s">
        <v>4</v>
      </c>
      <c r="I651" s="86" t="s">
        <v>703</v>
      </c>
      <c r="J651" s="86" t="s">
        <v>595</v>
      </c>
      <c r="K651" s="86" t="s">
        <v>596</v>
      </c>
      <c r="L651" s="97" t="s">
        <v>8</v>
      </c>
      <c r="M651" s="85"/>
      <c r="N651" s="84" t="s">
        <v>9</v>
      </c>
      <c r="O651" s="85"/>
      <c r="P651" s="84" t="s">
        <v>10</v>
      </c>
      <c r="Q651" s="93"/>
    </row>
    <row r="652" spans="2:17" ht="15.75" thickBot="1" x14ac:dyDescent="0.3">
      <c r="B652" s="58"/>
      <c r="C652" s="58"/>
      <c r="D652" s="58"/>
      <c r="E652" s="58"/>
      <c r="F652" s="58"/>
      <c r="G652" s="58"/>
      <c r="H652" s="58"/>
      <c r="I652" s="58"/>
      <c r="J652" s="58"/>
      <c r="K652" s="58"/>
      <c r="L652" s="33" t="s">
        <v>11</v>
      </c>
      <c r="M652" s="33" t="s">
        <v>597</v>
      </c>
      <c r="N652" s="33" t="s">
        <v>11</v>
      </c>
      <c r="O652" s="33" t="s">
        <v>597</v>
      </c>
      <c r="P652" s="33" t="s">
        <v>11</v>
      </c>
      <c r="Q652" s="34" t="s">
        <v>597</v>
      </c>
    </row>
    <row r="653" spans="2:17" ht="15.75" thickBot="1" x14ac:dyDescent="0.3">
      <c r="B653" s="35">
        <v>1</v>
      </c>
      <c r="C653" s="34">
        <v>2</v>
      </c>
      <c r="D653" s="34">
        <v>3</v>
      </c>
      <c r="E653" s="34">
        <v>4</v>
      </c>
      <c r="F653" s="34">
        <v>5</v>
      </c>
      <c r="G653" s="34">
        <v>6</v>
      </c>
      <c r="H653" s="34">
        <v>7</v>
      </c>
      <c r="I653" s="34">
        <v>8</v>
      </c>
      <c r="J653" s="34">
        <v>9</v>
      </c>
      <c r="K653" s="34">
        <v>10</v>
      </c>
      <c r="L653" s="34">
        <v>11</v>
      </c>
      <c r="M653" s="34">
        <v>12</v>
      </c>
      <c r="N653" s="33">
        <v>13</v>
      </c>
      <c r="O653" s="33">
        <v>14</v>
      </c>
      <c r="P653" s="33">
        <v>15</v>
      </c>
      <c r="Q653" s="34">
        <v>16</v>
      </c>
    </row>
    <row r="654" spans="2:17" ht="15.75" thickBot="1" x14ac:dyDescent="0.3">
      <c r="B654" s="35"/>
      <c r="C654" s="34"/>
      <c r="D654" s="34"/>
      <c r="E654" s="34"/>
      <c r="F654" s="38"/>
      <c r="G654" s="34"/>
      <c r="H654" s="34"/>
      <c r="I654" s="34"/>
      <c r="J654" s="38"/>
      <c r="K654" s="34"/>
      <c r="L654" s="34"/>
      <c r="M654" s="34"/>
      <c r="N654" s="33"/>
      <c r="O654" s="33"/>
      <c r="P654" s="33"/>
      <c r="Q654" s="34"/>
    </row>
    <row r="655" spans="2:17" x14ac:dyDescent="0.25">
      <c r="B655" s="48" t="s">
        <v>1588</v>
      </c>
    </row>
    <row r="656" spans="2:17" ht="15.75" thickBot="1" x14ac:dyDescent="0.3">
      <c r="B656" s="48" t="s">
        <v>1589</v>
      </c>
      <c r="H656" s="48" t="s">
        <v>1590</v>
      </c>
    </row>
    <row r="657" spans="2:14" ht="15" customHeight="1" thickBot="1" x14ac:dyDescent="0.3">
      <c r="B657" s="86" t="s">
        <v>589</v>
      </c>
      <c r="C657" s="86" t="s">
        <v>0</v>
      </c>
      <c r="D657" s="86" t="s">
        <v>713</v>
      </c>
      <c r="E657" s="94" t="s">
        <v>67</v>
      </c>
      <c r="F657" s="95"/>
      <c r="G657" s="96"/>
      <c r="H657" s="86" t="s">
        <v>714</v>
      </c>
      <c r="I657" s="97" t="s">
        <v>8</v>
      </c>
      <c r="J657" s="85"/>
      <c r="K657" s="84" t="s">
        <v>9</v>
      </c>
      <c r="L657" s="85"/>
      <c r="M657" s="84" t="s">
        <v>10</v>
      </c>
      <c r="N657" s="93"/>
    </row>
    <row r="658" spans="2:14" ht="15.75" thickBot="1" x14ac:dyDescent="0.3">
      <c r="B658" s="58"/>
      <c r="C658" s="58"/>
      <c r="D658" s="58"/>
      <c r="E658" s="34" t="s">
        <v>68</v>
      </c>
      <c r="F658" s="34" t="s">
        <v>715</v>
      </c>
      <c r="G658" s="34" t="s">
        <v>716</v>
      </c>
      <c r="H658" s="58"/>
      <c r="I658" s="33" t="s">
        <v>11</v>
      </c>
      <c r="J658" s="33" t="s">
        <v>597</v>
      </c>
      <c r="K658" s="33" t="s">
        <v>11</v>
      </c>
      <c r="L658" s="33" t="s">
        <v>597</v>
      </c>
      <c r="M658" s="33" t="s">
        <v>11</v>
      </c>
      <c r="N658" s="34" t="s">
        <v>597</v>
      </c>
    </row>
    <row r="659" spans="2:14" ht="15.75" thickBot="1" x14ac:dyDescent="0.3">
      <c r="B659" s="35">
        <v>1</v>
      </c>
      <c r="C659" s="34">
        <v>2</v>
      </c>
      <c r="D659" s="34">
        <v>3</v>
      </c>
      <c r="E659" s="34">
        <v>4</v>
      </c>
      <c r="F659" s="34">
        <v>5</v>
      </c>
      <c r="G659" s="34">
        <v>6</v>
      </c>
      <c r="H659" s="34">
        <v>7</v>
      </c>
      <c r="I659" s="33">
        <v>8</v>
      </c>
      <c r="J659" s="34">
        <v>9</v>
      </c>
      <c r="K659" s="33">
        <v>10</v>
      </c>
      <c r="L659" s="33">
        <v>11</v>
      </c>
      <c r="M659" s="33">
        <v>12</v>
      </c>
      <c r="N659" s="34">
        <v>13</v>
      </c>
    </row>
    <row r="660" spans="2:14" ht="192" thickBot="1" x14ac:dyDescent="0.3">
      <c r="B660" s="35">
        <v>1</v>
      </c>
      <c r="C660" s="34" t="s">
        <v>598</v>
      </c>
      <c r="D660" s="40">
        <v>45505</v>
      </c>
      <c r="E660" s="34" t="s">
        <v>14</v>
      </c>
      <c r="F660" s="34" t="s">
        <v>14</v>
      </c>
      <c r="G660" s="38" t="s">
        <v>1686</v>
      </c>
      <c r="H660" s="38" t="s">
        <v>1687</v>
      </c>
      <c r="I660" s="33" t="s">
        <v>14</v>
      </c>
      <c r="J660" s="34" t="s">
        <v>14</v>
      </c>
      <c r="K660" s="33" t="s">
        <v>14</v>
      </c>
      <c r="L660" s="33"/>
      <c r="M660" s="33">
        <v>1</v>
      </c>
      <c r="N660" s="34" t="s">
        <v>14</v>
      </c>
    </row>
    <row r="661" spans="2:14" ht="141" thickBot="1" x14ac:dyDescent="0.3">
      <c r="B661" s="35">
        <v>2</v>
      </c>
      <c r="C661" s="34" t="s">
        <v>598</v>
      </c>
      <c r="D661" s="40">
        <v>45505</v>
      </c>
      <c r="E661" s="34" t="s">
        <v>14</v>
      </c>
      <c r="F661" s="38" t="s">
        <v>14</v>
      </c>
      <c r="G661" s="34" t="s">
        <v>1688</v>
      </c>
      <c r="H661" s="38" t="s">
        <v>1689</v>
      </c>
      <c r="I661" s="34" t="s">
        <v>14</v>
      </c>
      <c r="J661" s="34" t="s">
        <v>14</v>
      </c>
      <c r="K661" s="33" t="s">
        <v>14</v>
      </c>
      <c r="L661" s="33" t="s">
        <v>14</v>
      </c>
      <c r="M661" s="33" t="s">
        <v>14</v>
      </c>
      <c r="N661" s="34">
        <v>1</v>
      </c>
    </row>
    <row r="662" spans="2:14" ht="179.25" thickBot="1" x14ac:dyDescent="0.3">
      <c r="B662" s="35">
        <v>3</v>
      </c>
      <c r="C662" s="34" t="s">
        <v>598</v>
      </c>
      <c r="D662" s="40">
        <v>45512</v>
      </c>
      <c r="E662" s="34" t="s">
        <v>14</v>
      </c>
      <c r="F662" s="34" t="s">
        <v>14</v>
      </c>
      <c r="G662" s="38" t="s">
        <v>1690</v>
      </c>
      <c r="H662" s="38" t="s">
        <v>1691</v>
      </c>
      <c r="I662" s="34" t="s">
        <v>14</v>
      </c>
      <c r="J662" s="34" t="s">
        <v>14</v>
      </c>
      <c r="K662" s="33" t="s">
        <v>14</v>
      </c>
      <c r="L662" s="33" t="s">
        <v>14</v>
      </c>
      <c r="M662" s="33" t="s">
        <v>14</v>
      </c>
      <c r="N662" s="34" t="s">
        <v>14</v>
      </c>
    </row>
    <row r="663" spans="2:14" ht="115.5" thickBot="1" x14ac:dyDescent="0.3">
      <c r="B663" s="35">
        <v>4</v>
      </c>
      <c r="C663" s="34" t="s">
        <v>598</v>
      </c>
      <c r="D663" s="40">
        <v>45517</v>
      </c>
      <c r="E663" s="34" t="s">
        <v>14</v>
      </c>
      <c r="F663" s="34" t="s">
        <v>14</v>
      </c>
      <c r="G663" s="38" t="s">
        <v>1692</v>
      </c>
      <c r="H663" s="38" t="s">
        <v>1693</v>
      </c>
      <c r="I663" s="34" t="s">
        <v>14</v>
      </c>
      <c r="J663" s="34" t="s">
        <v>14</v>
      </c>
      <c r="K663" s="33" t="s">
        <v>14</v>
      </c>
      <c r="L663" s="33" t="s">
        <v>14</v>
      </c>
      <c r="M663" s="33"/>
      <c r="N663" s="34" t="s">
        <v>14</v>
      </c>
    </row>
    <row r="664" spans="2:14" ht="255.75" thickBot="1" x14ac:dyDescent="0.3">
      <c r="B664" s="35">
        <v>5</v>
      </c>
      <c r="C664" s="34" t="s">
        <v>598</v>
      </c>
      <c r="D664" s="40">
        <v>45520</v>
      </c>
      <c r="E664" s="34" t="s">
        <v>14</v>
      </c>
      <c r="F664" s="34" t="s">
        <v>14</v>
      </c>
      <c r="G664" s="38" t="s">
        <v>1694</v>
      </c>
      <c r="H664" s="38" t="s">
        <v>1695</v>
      </c>
      <c r="I664" s="34" t="s">
        <v>14</v>
      </c>
      <c r="J664" s="34" t="s">
        <v>14</v>
      </c>
      <c r="K664" s="33" t="s">
        <v>14</v>
      </c>
      <c r="L664" s="33" t="s">
        <v>14</v>
      </c>
      <c r="M664" s="33">
        <v>1</v>
      </c>
      <c r="N664" s="34" t="s">
        <v>14</v>
      </c>
    </row>
    <row r="665" spans="2:14" ht="345" thickBot="1" x14ac:dyDescent="0.3">
      <c r="B665" s="35">
        <v>6</v>
      </c>
      <c r="C665" s="34" t="s">
        <v>598</v>
      </c>
      <c r="D665" s="40">
        <v>45521</v>
      </c>
      <c r="E665" s="34" t="s">
        <v>14</v>
      </c>
      <c r="F665" s="34" t="s">
        <v>14</v>
      </c>
      <c r="G665" s="38" t="s">
        <v>1696</v>
      </c>
      <c r="H665" s="38" t="s">
        <v>1697</v>
      </c>
      <c r="I665" s="34" t="s">
        <v>14</v>
      </c>
      <c r="J665" s="34" t="s">
        <v>14</v>
      </c>
      <c r="K665" s="33" t="s">
        <v>14</v>
      </c>
      <c r="L665" s="33" t="s">
        <v>14</v>
      </c>
      <c r="M665" s="33" t="s">
        <v>14</v>
      </c>
      <c r="N665" s="34" t="s">
        <v>14</v>
      </c>
    </row>
    <row r="666" spans="2:14" ht="249" customHeight="1" x14ac:dyDescent="0.25">
      <c r="B666" s="86">
        <v>7</v>
      </c>
      <c r="C666" s="86" t="s">
        <v>598</v>
      </c>
      <c r="D666" s="98">
        <v>45523</v>
      </c>
      <c r="E666" s="86" t="s">
        <v>14</v>
      </c>
      <c r="F666" s="86" t="s">
        <v>14</v>
      </c>
      <c r="G666" s="86" t="s">
        <v>1698</v>
      </c>
      <c r="H666" s="86" t="s">
        <v>1699</v>
      </c>
      <c r="I666" s="86" t="s">
        <v>14</v>
      </c>
      <c r="J666" s="86" t="s">
        <v>14</v>
      </c>
      <c r="K666" s="87" t="s">
        <v>14</v>
      </c>
      <c r="L666" s="88" t="s">
        <v>14</v>
      </c>
      <c r="M666" s="88" t="s">
        <v>14</v>
      </c>
      <c r="N666" s="89" t="s">
        <v>14</v>
      </c>
    </row>
    <row r="667" spans="2:14" ht="15.75" thickBot="1" x14ac:dyDescent="0.3">
      <c r="B667" s="58"/>
      <c r="C667" s="58"/>
      <c r="D667" s="99"/>
      <c r="E667" s="58"/>
      <c r="F667" s="58"/>
      <c r="G667" s="58"/>
      <c r="H667" s="58"/>
      <c r="I667" s="58"/>
      <c r="J667" s="58"/>
      <c r="K667" s="90"/>
      <c r="L667" s="91"/>
      <c r="M667" s="91"/>
      <c r="N667" s="92"/>
    </row>
    <row r="668" spans="2:14" ht="141" thickBot="1" x14ac:dyDescent="0.3">
      <c r="B668" s="35">
        <v>8</v>
      </c>
      <c r="C668" s="34" t="s">
        <v>598</v>
      </c>
      <c r="D668" s="40">
        <v>45523</v>
      </c>
      <c r="E668" s="34" t="s">
        <v>14</v>
      </c>
      <c r="F668" s="34" t="s">
        <v>14</v>
      </c>
      <c r="G668" s="34" t="s">
        <v>1700</v>
      </c>
      <c r="H668" s="36" t="s">
        <v>1701</v>
      </c>
      <c r="I668" s="34" t="s">
        <v>14</v>
      </c>
      <c r="J668" s="34" t="s">
        <v>14</v>
      </c>
      <c r="K668" s="33" t="s">
        <v>14</v>
      </c>
      <c r="L668" s="33" t="s">
        <v>14</v>
      </c>
      <c r="M668" s="33">
        <v>2</v>
      </c>
      <c r="N668" s="34" t="s">
        <v>14</v>
      </c>
    </row>
    <row r="669" spans="2:14" ht="217.5" thickBot="1" x14ac:dyDescent="0.3">
      <c r="B669" s="35">
        <v>9</v>
      </c>
      <c r="C669" s="34" t="s">
        <v>598</v>
      </c>
      <c r="D669" s="40">
        <v>45524</v>
      </c>
      <c r="E669" s="34" t="s">
        <v>14</v>
      </c>
      <c r="F669" s="34" t="s">
        <v>70</v>
      </c>
      <c r="G669" s="34" t="s">
        <v>1702</v>
      </c>
      <c r="H669" s="36" t="s">
        <v>1703</v>
      </c>
      <c r="I669" s="34" t="s">
        <v>14</v>
      </c>
      <c r="J669" s="34" t="s">
        <v>14</v>
      </c>
      <c r="K669" s="33" t="s">
        <v>14</v>
      </c>
      <c r="L669" s="33" t="s">
        <v>14</v>
      </c>
      <c r="M669" s="33" t="s">
        <v>14</v>
      </c>
      <c r="N669" s="34" t="s">
        <v>14</v>
      </c>
    </row>
    <row r="670" spans="2:14" ht="153.75" thickBot="1" x14ac:dyDescent="0.3">
      <c r="B670" s="35">
        <v>10</v>
      </c>
      <c r="C670" s="34" t="s">
        <v>598</v>
      </c>
      <c r="D670" s="40">
        <v>45525</v>
      </c>
      <c r="E670" s="34" t="s">
        <v>14</v>
      </c>
      <c r="F670" s="34" t="s">
        <v>1704</v>
      </c>
      <c r="G670" s="38" t="s">
        <v>1705</v>
      </c>
      <c r="H670" s="36" t="s">
        <v>1706</v>
      </c>
      <c r="I670" s="34" t="s">
        <v>14</v>
      </c>
      <c r="J670" s="34" t="s">
        <v>14</v>
      </c>
      <c r="K670" s="33" t="s">
        <v>14</v>
      </c>
      <c r="L670" s="33" t="s">
        <v>14</v>
      </c>
      <c r="M670" s="33" t="s">
        <v>14</v>
      </c>
      <c r="N670" s="34" t="s">
        <v>14</v>
      </c>
    </row>
    <row r="671" spans="2:14" ht="153.75" thickBot="1" x14ac:dyDescent="0.3">
      <c r="B671" s="35">
        <v>11</v>
      </c>
      <c r="C671" s="34" t="s">
        <v>598</v>
      </c>
      <c r="D671" s="40">
        <v>45525</v>
      </c>
      <c r="E671" s="34" t="s">
        <v>14</v>
      </c>
      <c r="F671" s="34" t="s">
        <v>70</v>
      </c>
      <c r="G671" s="38" t="s">
        <v>1707</v>
      </c>
      <c r="H671" s="36" t="s">
        <v>1708</v>
      </c>
      <c r="I671" s="34" t="s">
        <v>14</v>
      </c>
      <c r="J671" s="34" t="s">
        <v>14</v>
      </c>
      <c r="K671" s="33" t="s">
        <v>14</v>
      </c>
      <c r="L671" s="33" t="s">
        <v>14</v>
      </c>
      <c r="M671" s="33" t="s">
        <v>14</v>
      </c>
      <c r="N671" s="34" t="s">
        <v>14</v>
      </c>
    </row>
    <row r="672" spans="2:14" ht="153.75" thickBot="1" x14ac:dyDescent="0.3">
      <c r="B672" s="35">
        <v>12</v>
      </c>
      <c r="C672" s="34" t="s">
        <v>598</v>
      </c>
      <c r="D672" s="40">
        <v>45525</v>
      </c>
      <c r="E672" s="34" t="s">
        <v>14</v>
      </c>
      <c r="F672" s="34" t="s">
        <v>70</v>
      </c>
      <c r="G672" s="38" t="s">
        <v>1709</v>
      </c>
      <c r="H672" s="36" t="s">
        <v>1708</v>
      </c>
      <c r="I672" s="34" t="s">
        <v>14</v>
      </c>
      <c r="J672" s="34" t="s">
        <v>14</v>
      </c>
      <c r="K672" s="33" t="s">
        <v>14</v>
      </c>
      <c r="L672" s="33" t="s">
        <v>14</v>
      </c>
      <c r="M672" s="33" t="s">
        <v>14</v>
      </c>
      <c r="N672" s="34" t="s">
        <v>14</v>
      </c>
    </row>
    <row r="673" spans="2:17" ht="243" thickBot="1" x14ac:dyDescent="0.3">
      <c r="B673" s="35">
        <v>13</v>
      </c>
      <c r="C673" s="34" t="s">
        <v>598</v>
      </c>
      <c r="D673" s="40">
        <v>45525</v>
      </c>
      <c r="E673" s="34" t="s">
        <v>14</v>
      </c>
      <c r="F673" s="34" t="s">
        <v>70</v>
      </c>
      <c r="G673" s="38" t="s">
        <v>1710</v>
      </c>
      <c r="H673" s="36" t="s">
        <v>1711</v>
      </c>
      <c r="I673" s="34" t="s">
        <v>14</v>
      </c>
      <c r="J673" s="34" t="s">
        <v>14</v>
      </c>
      <c r="K673" s="33" t="s">
        <v>14</v>
      </c>
      <c r="L673" s="33" t="s">
        <v>14</v>
      </c>
      <c r="M673" s="33">
        <v>4</v>
      </c>
      <c r="N673" s="34" t="s">
        <v>14</v>
      </c>
    </row>
    <row r="674" spans="2:17" ht="230.25" thickBot="1" x14ac:dyDescent="0.3">
      <c r="B674" s="35">
        <v>13</v>
      </c>
      <c r="C674" s="34" t="s">
        <v>598</v>
      </c>
      <c r="D674" s="40">
        <v>45527</v>
      </c>
      <c r="E674" s="34" t="s">
        <v>14</v>
      </c>
      <c r="F674" s="34" t="s">
        <v>70</v>
      </c>
      <c r="G674" s="38" t="s">
        <v>1712</v>
      </c>
      <c r="H674" s="36" t="s">
        <v>1713</v>
      </c>
      <c r="I674" s="34" t="s">
        <v>14</v>
      </c>
      <c r="J674" s="34" t="s">
        <v>14</v>
      </c>
      <c r="K674" s="33" t="s">
        <v>14</v>
      </c>
      <c r="L674" s="33" t="s">
        <v>14</v>
      </c>
      <c r="M674" s="33" t="s">
        <v>14</v>
      </c>
      <c r="N674" s="34" t="s">
        <v>14</v>
      </c>
    </row>
    <row r="675" spans="2:17" ht="166.5" thickBot="1" x14ac:dyDescent="0.3">
      <c r="B675" s="35">
        <v>14</v>
      </c>
      <c r="C675" s="34" t="s">
        <v>598</v>
      </c>
      <c r="D675" s="40">
        <v>45532</v>
      </c>
      <c r="E675" s="34" t="s">
        <v>14</v>
      </c>
      <c r="F675" s="34" t="s">
        <v>70</v>
      </c>
      <c r="G675" s="38" t="s">
        <v>1714</v>
      </c>
      <c r="H675" s="36" t="s">
        <v>1715</v>
      </c>
      <c r="I675" s="34" t="s">
        <v>14</v>
      </c>
      <c r="J675" s="34" t="s">
        <v>14</v>
      </c>
      <c r="K675" s="33" t="s">
        <v>14</v>
      </c>
      <c r="L675" s="33" t="s">
        <v>14</v>
      </c>
      <c r="M675" s="33" t="s">
        <v>14</v>
      </c>
      <c r="N675" s="34">
        <v>1</v>
      </c>
    </row>
    <row r="676" spans="2:17" ht="262.14999999999998" customHeight="1" x14ac:dyDescent="0.25">
      <c r="B676" s="86">
        <v>15</v>
      </c>
      <c r="C676" s="86" t="s">
        <v>598</v>
      </c>
      <c r="D676" s="98">
        <v>45532</v>
      </c>
      <c r="E676" s="86" t="s">
        <v>14</v>
      </c>
      <c r="F676" s="86" t="s">
        <v>70</v>
      </c>
      <c r="G676" s="86" t="s">
        <v>1716</v>
      </c>
      <c r="H676" s="86" t="s">
        <v>1717</v>
      </c>
      <c r="I676" s="86" t="s">
        <v>14</v>
      </c>
      <c r="J676" s="86">
        <v>1</v>
      </c>
      <c r="K676" s="87" t="s">
        <v>14</v>
      </c>
      <c r="L676" s="88" t="s">
        <v>14</v>
      </c>
      <c r="M676" s="88" t="s">
        <v>14</v>
      </c>
      <c r="N676" s="89" t="s">
        <v>14</v>
      </c>
    </row>
    <row r="677" spans="2:17" ht="15.75" thickBot="1" x14ac:dyDescent="0.3">
      <c r="B677" s="58"/>
      <c r="C677" s="58"/>
      <c r="D677" s="99"/>
      <c r="E677" s="58"/>
      <c r="F677" s="58"/>
      <c r="G677" s="58"/>
      <c r="H677" s="58"/>
      <c r="I677" s="58"/>
      <c r="J677" s="58"/>
      <c r="K677" s="90"/>
      <c r="L677" s="91"/>
      <c r="M677" s="91"/>
      <c r="N677" s="92"/>
    </row>
    <row r="678" spans="2:17" ht="217.5" thickBot="1" x14ac:dyDescent="0.3">
      <c r="B678" s="35">
        <v>16</v>
      </c>
      <c r="C678" s="34" t="s">
        <v>598</v>
      </c>
      <c r="D678" s="40">
        <v>45534</v>
      </c>
      <c r="E678" s="34" t="s">
        <v>14</v>
      </c>
      <c r="F678" s="34" t="s">
        <v>70</v>
      </c>
      <c r="G678" s="38" t="s">
        <v>1718</v>
      </c>
      <c r="H678" s="36" t="s">
        <v>1719</v>
      </c>
      <c r="I678" s="34" t="s">
        <v>14</v>
      </c>
      <c r="J678" s="34">
        <v>1</v>
      </c>
      <c r="K678" s="33" t="s">
        <v>14</v>
      </c>
      <c r="L678" s="33" t="s">
        <v>14</v>
      </c>
      <c r="M678" s="33" t="s">
        <v>14</v>
      </c>
      <c r="N678" s="34" t="s">
        <v>14</v>
      </c>
    </row>
    <row r="679" spans="2:17" ht="15.75" thickBot="1" x14ac:dyDescent="0.3">
      <c r="B679" s="35"/>
      <c r="C679" s="34"/>
      <c r="D679" s="34"/>
      <c r="E679" s="34"/>
      <c r="F679" s="34"/>
      <c r="G679" s="34"/>
      <c r="H679" s="34" t="s">
        <v>19</v>
      </c>
      <c r="I679" s="34" t="s">
        <v>14</v>
      </c>
      <c r="J679" s="34">
        <v>2</v>
      </c>
      <c r="K679" s="33"/>
      <c r="L679" s="33"/>
      <c r="M679" s="33">
        <v>8</v>
      </c>
      <c r="N679" s="34">
        <v>2</v>
      </c>
    </row>
    <row r="680" spans="2:17" ht="16.5" x14ac:dyDescent="0.25">
      <c r="B680" s="52" t="s">
        <v>1720</v>
      </c>
    </row>
    <row r="681" spans="2:17" ht="17.25" thickBot="1" x14ac:dyDescent="0.3">
      <c r="B681" s="52" t="s">
        <v>1721</v>
      </c>
      <c r="C681" s="53" t="s">
        <v>779</v>
      </c>
    </row>
    <row r="682" spans="2:17" ht="117" customHeight="1" thickBot="1" x14ac:dyDescent="0.3">
      <c r="B682" s="86" t="s">
        <v>589</v>
      </c>
      <c r="C682" s="86" t="s">
        <v>0</v>
      </c>
      <c r="D682" s="86" t="s">
        <v>590</v>
      </c>
      <c r="E682" s="86" t="s">
        <v>1</v>
      </c>
      <c r="F682" s="86" t="s">
        <v>592</v>
      </c>
      <c r="G682" s="86" t="s">
        <v>593</v>
      </c>
      <c r="H682" s="86" t="s">
        <v>4</v>
      </c>
      <c r="I682" s="86" t="s">
        <v>594</v>
      </c>
      <c r="J682" s="86" t="s">
        <v>595</v>
      </c>
      <c r="K682" s="86" t="s">
        <v>596</v>
      </c>
      <c r="L682" s="97" t="s">
        <v>8</v>
      </c>
      <c r="M682" s="85"/>
      <c r="N682" s="84" t="s">
        <v>9</v>
      </c>
      <c r="O682" s="85"/>
      <c r="P682" s="84" t="s">
        <v>10</v>
      </c>
      <c r="Q682" s="85"/>
    </row>
    <row r="683" spans="2:17" ht="15.75" thickBot="1" x14ac:dyDescent="0.3">
      <c r="B683" s="58"/>
      <c r="C683" s="58"/>
      <c r="D683" s="58"/>
      <c r="E683" s="58"/>
      <c r="F683" s="58"/>
      <c r="G683" s="58"/>
      <c r="H683" s="58"/>
      <c r="I683" s="58"/>
      <c r="J683" s="58"/>
      <c r="K683" s="58"/>
      <c r="L683" s="33" t="s">
        <v>11</v>
      </c>
      <c r="M683" s="33" t="s">
        <v>597</v>
      </c>
      <c r="N683" s="33" t="s">
        <v>11</v>
      </c>
      <c r="O683" s="33" t="s">
        <v>597</v>
      </c>
      <c r="P683" s="33" t="s">
        <v>11</v>
      </c>
      <c r="Q683" s="34" t="s">
        <v>597</v>
      </c>
    </row>
    <row r="684" spans="2:17" ht="15.75" thickBot="1" x14ac:dyDescent="0.3">
      <c r="B684" s="35">
        <v>1</v>
      </c>
      <c r="C684" s="34">
        <v>2</v>
      </c>
      <c r="D684" s="34">
        <v>3</v>
      </c>
      <c r="E684" s="34">
        <v>4</v>
      </c>
      <c r="F684" s="34">
        <v>5</v>
      </c>
      <c r="G684" s="34">
        <v>6</v>
      </c>
      <c r="H684" s="34">
        <v>7</v>
      </c>
      <c r="I684" s="34">
        <v>8</v>
      </c>
      <c r="J684" s="34">
        <v>9</v>
      </c>
      <c r="K684" s="34">
        <v>10</v>
      </c>
      <c r="L684" s="34">
        <v>11</v>
      </c>
      <c r="M684" s="34">
        <v>12</v>
      </c>
      <c r="N684" s="33">
        <v>13</v>
      </c>
      <c r="O684" s="33">
        <v>14</v>
      </c>
      <c r="P684" s="33">
        <v>15</v>
      </c>
      <c r="Q684" s="34">
        <v>16</v>
      </c>
    </row>
    <row r="685" spans="2:17" ht="15.75" thickBot="1" x14ac:dyDescent="0.3">
      <c r="B685" s="35">
        <v>1</v>
      </c>
      <c r="C685" s="34" t="s">
        <v>598</v>
      </c>
      <c r="D685" s="34" t="s">
        <v>598</v>
      </c>
      <c r="E685" s="65">
        <v>45567</v>
      </c>
      <c r="F685" s="34" t="s">
        <v>248</v>
      </c>
      <c r="G685" s="36" t="s">
        <v>1722</v>
      </c>
      <c r="H685" s="36" t="s">
        <v>1723</v>
      </c>
      <c r="I685" s="38" t="s">
        <v>877</v>
      </c>
      <c r="J685" s="82" t="s">
        <v>14</v>
      </c>
      <c r="K685" s="82">
        <v>500000</v>
      </c>
      <c r="L685" s="38" t="s">
        <v>14</v>
      </c>
      <c r="M685" s="38" t="s">
        <v>14</v>
      </c>
      <c r="N685" s="39" t="s">
        <v>14</v>
      </c>
      <c r="O685" s="39" t="s">
        <v>14</v>
      </c>
      <c r="P685" s="39" t="s">
        <v>14</v>
      </c>
      <c r="Q685" s="38" t="s">
        <v>14</v>
      </c>
    </row>
    <row r="686" spans="2:17" ht="39" thickBot="1" x14ac:dyDescent="0.3">
      <c r="B686" s="35">
        <v>2</v>
      </c>
      <c r="C686" s="34" t="s">
        <v>598</v>
      </c>
      <c r="D686" s="34" t="s">
        <v>598</v>
      </c>
      <c r="E686" s="42">
        <v>45570</v>
      </c>
      <c r="F686" s="34" t="s">
        <v>1724</v>
      </c>
      <c r="G686" s="36" t="s">
        <v>1725</v>
      </c>
      <c r="H686" s="36" t="s">
        <v>1726</v>
      </c>
      <c r="I686" s="36" t="s">
        <v>1727</v>
      </c>
      <c r="J686" s="82">
        <v>250000</v>
      </c>
      <c r="K686" s="82">
        <v>50000</v>
      </c>
      <c r="L686" s="38" t="s">
        <v>14</v>
      </c>
      <c r="M686" s="38" t="s">
        <v>14</v>
      </c>
      <c r="N686" s="39" t="s">
        <v>14</v>
      </c>
      <c r="O686" s="39" t="s">
        <v>14</v>
      </c>
      <c r="P686" s="39" t="s">
        <v>14</v>
      </c>
      <c r="Q686" s="38" t="s">
        <v>14</v>
      </c>
    </row>
    <row r="687" spans="2:17" ht="26.25" thickBot="1" x14ac:dyDescent="0.3">
      <c r="B687" s="35">
        <v>3</v>
      </c>
      <c r="C687" s="34" t="s">
        <v>598</v>
      </c>
      <c r="D687" s="34" t="s">
        <v>598</v>
      </c>
      <c r="E687" s="42">
        <v>45571</v>
      </c>
      <c r="F687" s="34" t="s">
        <v>1728</v>
      </c>
      <c r="G687" s="36" t="s">
        <v>1729</v>
      </c>
      <c r="H687" s="36" t="s">
        <v>629</v>
      </c>
      <c r="I687" s="36" t="s">
        <v>524</v>
      </c>
      <c r="J687" s="82">
        <v>100000</v>
      </c>
      <c r="K687" s="82">
        <v>8400000</v>
      </c>
      <c r="L687" s="38" t="s">
        <v>14</v>
      </c>
      <c r="M687" s="38" t="s">
        <v>14</v>
      </c>
      <c r="N687" s="39" t="s">
        <v>14</v>
      </c>
      <c r="O687" s="39" t="s">
        <v>14</v>
      </c>
      <c r="P687" s="39" t="s">
        <v>14</v>
      </c>
      <c r="Q687" s="38" t="s">
        <v>14</v>
      </c>
    </row>
    <row r="688" spans="2:17" ht="39" thickBot="1" x14ac:dyDescent="0.3">
      <c r="B688" s="35">
        <v>4</v>
      </c>
      <c r="C688" s="34" t="s">
        <v>598</v>
      </c>
      <c r="D688" s="34" t="s">
        <v>598</v>
      </c>
      <c r="E688" s="42">
        <v>43746</v>
      </c>
      <c r="F688" s="34" t="s">
        <v>1730</v>
      </c>
      <c r="G688" s="36" t="s">
        <v>1731</v>
      </c>
      <c r="H688" s="36" t="s">
        <v>151</v>
      </c>
      <c r="I688" s="36" t="s">
        <v>1732</v>
      </c>
      <c r="J688" s="59">
        <v>100000</v>
      </c>
      <c r="K688" s="59">
        <v>300000</v>
      </c>
      <c r="L688" s="38" t="s">
        <v>14</v>
      </c>
      <c r="M688" s="38" t="s">
        <v>14</v>
      </c>
      <c r="N688" s="39" t="s">
        <v>14</v>
      </c>
      <c r="O688" s="39" t="s">
        <v>14</v>
      </c>
      <c r="P688" s="39" t="s">
        <v>14</v>
      </c>
      <c r="Q688" s="38" t="s">
        <v>14</v>
      </c>
    </row>
    <row r="689" spans="2:17" ht="39" thickBot="1" x14ac:dyDescent="0.3">
      <c r="B689" s="35">
        <v>5</v>
      </c>
      <c r="C689" s="34" t="s">
        <v>598</v>
      </c>
      <c r="D689" s="34" t="s">
        <v>598</v>
      </c>
      <c r="E689" s="42">
        <v>45573</v>
      </c>
      <c r="F689" s="38" t="s">
        <v>1733</v>
      </c>
      <c r="G689" s="36" t="s">
        <v>1734</v>
      </c>
      <c r="H689" s="36" t="s">
        <v>14</v>
      </c>
      <c r="I689" s="36" t="s">
        <v>1735</v>
      </c>
      <c r="J689" s="36" t="s">
        <v>14</v>
      </c>
      <c r="K689" s="36" t="s">
        <v>14</v>
      </c>
      <c r="L689" s="38" t="s">
        <v>14</v>
      </c>
      <c r="M689" s="38" t="s">
        <v>14</v>
      </c>
      <c r="N689" s="39" t="s">
        <v>14</v>
      </c>
      <c r="O689" s="61" t="s">
        <v>20</v>
      </c>
      <c r="P689" s="39" t="s">
        <v>14</v>
      </c>
      <c r="Q689" s="38" t="s">
        <v>14</v>
      </c>
    </row>
    <row r="690" spans="2:17" ht="39" thickBot="1" x14ac:dyDescent="0.3">
      <c r="B690" s="35">
        <v>6</v>
      </c>
      <c r="C690" s="34" t="s">
        <v>598</v>
      </c>
      <c r="D690" s="34" t="s">
        <v>598</v>
      </c>
      <c r="E690" s="42">
        <v>45574</v>
      </c>
      <c r="F690" s="34" t="s">
        <v>913</v>
      </c>
      <c r="G690" s="36" t="s">
        <v>1736</v>
      </c>
      <c r="H690" s="36" t="s">
        <v>629</v>
      </c>
      <c r="I690" s="36" t="s">
        <v>484</v>
      </c>
      <c r="J690" s="82">
        <v>10000</v>
      </c>
      <c r="K690" s="36">
        <v>490000</v>
      </c>
      <c r="L690" s="38" t="s">
        <v>14</v>
      </c>
      <c r="M690" s="38" t="s">
        <v>14</v>
      </c>
      <c r="N690" s="39" t="s">
        <v>14</v>
      </c>
      <c r="O690" s="39" t="s">
        <v>14</v>
      </c>
      <c r="P690" s="39" t="s">
        <v>14</v>
      </c>
      <c r="Q690" s="38" t="s">
        <v>14</v>
      </c>
    </row>
    <row r="691" spans="2:17" ht="26.25" thickBot="1" x14ac:dyDescent="0.3">
      <c r="B691" s="35">
        <v>7</v>
      </c>
      <c r="C691" s="34" t="s">
        <v>598</v>
      </c>
      <c r="D691" s="34" t="s">
        <v>598</v>
      </c>
      <c r="E691" s="42">
        <v>45575</v>
      </c>
      <c r="F691" s="34" t="s">
        <v>295</v>
      </c>
      <c r="G691" s="36" t="s">
        <v>1737</v>
      </c>
      <c r="H691" s="36" t="s">
        <v>25</v>
      </c>
      <c r="I691" s="36" t="s">
        <v>1727</v>
      </c>
      <c r="J691" s="36">
        <v>355000</v>
      </c>
      <c r="K691" s="36">
        <v>95000</v>
      </c>
      <c r="L691" s="38" t="s">
        <v>14</v>
      </c>
      <c r="M691" s="38" t="s">
        <v>14</v>
      </c>
      <c r="N691" s="39" t="s">
        <v>14</v>
      </c>
      <c r="O691" s="39" t="s">
        <v>14</v>
      </c>
      <c r="P691" s="39" t="s">
        <v>14</v>
      </c>
      <c r="Q691" s="38" t="s">
        <v>14</v>
      </c>
    </row>
    <row r="692" spans="2:17" ht="39" thickBot="1" x14ac:dyDescent="0.3">
      <c r="B692" s="35">
        <v>8</v>
      </c>
      <c r="C692" s="34" t="s">
        <v>598</v>
      </c>
      <c r="D692" s="34" t="s">
        <v>598</v>
      </c>
      <c r="E692" s="42">
        <v>45577</v>
      </c>
      <c r="F692" s="34" t="s">
        <v>1301</v>
      </c>
      <c r="G692" s="36" t="s">
        <v>1738</v>
      </c>
      <c r="H692" s="36" t="s">
        <v>14</v>
      </c>
      <c r="I692" s="36" t="s">
        <v>1735</v>
      </c>
      <c r="J692" s="36" t="s">
        <v>14</v>
      </c>
      <c r="K692" s="36" t="s">
        <v>14</v>
      </c>
      <c r="L692" s="38" t="s">
        <v>14</v>
      </c>
      <c r="M692" s="38" t="s">
        <v>14</v>
      </c>
      <c r="N692" s="39" t="s">
        <v>14</v>
      </c>
      <c r="O692" s="39" t="s">
        <v>14</v>
      </c>
      <c r="P692" s="39" t="s">
        <v>14</v>
      </c>
      <c r="Q692" s="38" t="s">
        <v>14</v>
      </c>
    </row>
    <row r="693" spans="2:17" ht="39" thickBot="1" x14ac:dyDescent="0.3">
      <c r="B693" s="35">
        <v>9</v>
      </c>
      <c r="C693" s="34" t="s">
        <v>598</v>
      </c>
      <c r="D693" s="34" t="s">
        <v>598</v>
      </c>
      <c r="E693" s="42">
        <v>45578</v>
      </c>
      <c r="F693" s="34" t="s">
        <v>1739</v>
      </c>
      <c r="G693" s="36" t="s">
        <v>1740</v>
      </c>
      <c r="H693" s="36" t="s">
        <v>629</v>
      </c>
      <c r="I693" s="36" t="s">
        <v>124</v>
      </c>
      <c r="J693" s="36" t="s">
        <v>952</v>
      </c>
      <c r="K693" s="36" t="s">
        <v>14</v>
      </c>
      <c r="L693" s="38" t="s">
        <v>14</v>
      </c>
      <c r="M693" s="38" t="s">
        <v>14</v>
      </c>
      <c r="N693" s="39" t="s">
        <v>14</v>
      </c>
      <c r="O693" s="39" t="s">
        <v>14</v>
      </c>
      <c r="P693" s="39" t="s">
        <v>14</v>
      </c>
      <c r="Q693" s="38" t="s">
        <v>14</v>
      </c>
    </row>
    <row r="694" spans="2:17" ht="51" customHeight="1" x14ac:dyDescent="0.25">
      <c r="B694" s="70"/>
      <c r="C694" s="86" t="s">
        <v>598</v>
      </c>
      <c r="D694" s="86" t="s">
        <v>598</v>
      </c>
      <c r="E694" s="98">
        <v>45578</v>
      </c>
      <c r="F694" s="86" t="s">
        <v>1741</v>
      </c>
      <c r="G694" s="86" t="s">
        <v>1742</v>
      </c>
      <c r="H694" s="86" t="s">
        <v>629</v>
      </c>
      <c r="I694" s="86" t="s">
        <v>869</v>
      </c>
      <c r="J694" s="86">
        <v>200000</v>
      </c>
      <c r="K694" s="86">
        <v>4800000</v>
      </c>
      <c r="L694" s="86" t="s">
        <v>664</v>
      </c>
      <c r="M694" s="86" t="s">
        <v>664</v>
      </c>
      <c r="N694" s="87" t="s">
        <v>664</v>
      </c>
      <c r="O694" s="88" t="s">
        <v>664</v>
      </c>
      <c r="P694" s="88" t="s">
        <v>664</v>
      </c>
      <c r="Q694" s="89" t="s">
        <v>664</v>
      </c>
    </row>
    <row r="695" spans="2:17" ht="15.75" thickBot="1" x14ac:dyDescent="0.3">
      <c r="B695" s="35">
        <v>10</v>
      </c>
      <c r="C695" s="58"/>
      <c r="D695" s="58"/>
      <c r="E695" s="99"/>
      <c r="F695" s="58"/>
      <c r="G695" s="58"/>
      <c r="H695" s="58"/>
      <c r="I695" s="58"/>
      <c r="J695" s="58"/>
      <c r="K695" s="58"/>
      <c r="L695" s="58"/>
      <c r="M695" s="58"/>
      <c r="N695" s="90"/>
      <c r="O695" s="91"/>
      <c r="P695" s="91"/>
      <c r="Q695" s="92"/>
    </row>
    <row r="696" spans="2:17" ht="51.75" thickBot="1" x14ac:dyDescent="0.3">
      <c r="B696" s="35">
        <v>11</v>
      </c>
      <c r="C696" s="34" t="s">
        <v>598</v>
      </c>
      <c r="D696" s="34" t="s">
        <v>598</v>
      </c>
      <c r="E696" s="42">
        <v>45580</v>
      </c>
      <c r="F696" s="38" t="s">
        <v>1743</v>
      </c>
      <c r="G696" s="38" t="s">
        <v>1744</v>
      </c>
      <c r="H696" s="34" t="s">
        <v>629</v>
      </c>
      <c r="I696" s="34" t="s">
        <v>188</v>
      </c>
      <c r="J696" s="34">
        <v>5000</v>
      </c>
      <c r="K696" s="34">
        <v>45000</v>
      </c>
      <c r="L696" s="38" t="s">
        <v>664</v>
      </c>
      <c r="M696" s="38" t="s">
        <v>664</v>
      </c>
      <c r="N696" s="39" t="s">
        <v>664</v>
      </c>
      <c r="O696" s="39" t="s">
        <v>664</v>
      </c>
      <c r="P696" s="39" t="s">
        <v>664</v>
      </c>
      <c r="Q696" s="38" t="s">
        <v>664</v>
      </c>
    </row>
    <row r="697" spans="2:17" ht="15.75" thickBot="1" x14ac:dyDescent="0.3">
      <c r="B697" s="35">
        <v>12</v>
      </c>
      <c r="C697" s="34" t="s">
        <v>598</v>
      </c>
      <c r="D697" s="34" t="s">
        <v>598</v>
      </c>
      <c r="E697" s="42">
        <v>45582</v>
      </c>
      <c r="F697" s="38" t="s">
        <v>1745</v>
      </c>
      <c r="G697" s="38" t="s">
        <v>1005</v>
      </c>
      <c r="H697" s="34" t="s">
        <v>40</v>
      </c>
      <c r="I697" s="34" t="s">
        <v>1746</v>
      </c>
      <c r="J697" s="34">
        <v>500</v>
      </c>
      <c r="K697" s="34">
        <v>49500</v>
      </c>
      <c r="L697" s="38" t="s">
        <v>664</v>
      </c>
      <c r="M697" s="38" t="s">
        <v>664</v>
      </c>
      <c r="N697" s="39" t="s">
        <v>664</v>
      </c>
      <c r="O697" s="39" t="s">
        <v>664</v>
      </c>
      <c r="P697" s="39" t="s">
        <v>664</v>
      </c>
      <c r="Q697" s="38" t="s">
        <v>664</v>
      </c>
    </row>
    <row r="698" spans="2:17" ht="39" thickBot="1" x14ac:dyDescent="0.3">
      <c r="B698" s="35">
        <v>13</v>
      </c>
      <c r="C698" s="34" t="s">
        <v>598</v>
      </c>
      <c r="D698" s="34" t="s">
        <v>598</v>
      </c>
      <c r="E698" s="42">
        <v>45582</v>
      </c>
      <c r="F698" s="38" t="s">
        <v>1747</v>
      </c>
      <c r="G698" s="38" t="s">
        <v>1748</v>
      </c>
      <c r="H698" s="34" t="s">
        <v>629</v>
      </c>
      <c r="I698" s="34" t="s">
        <v>188</v>
      </c>
      <c r="J698" s="34">
        <v>15000</v>
      </c>
      <c r="K698" s="34">
        <v>35000</v>
      </c>
      <c r="L698" s="38" t="s">
        <v>14</v>
      </c>
      <c r="M698" s="38" t="s">
        <v>14</v>
      </c>
      <c r="N698" s="39" t="s">
        <v>14</v>
      </c>
      <c r="O698" s="39" t="s">
        <v>14</v>
      </c>
      <c r="P698" s="39" t="s">
        <v>14</v>
      </c>
      <c r="Q698" s="38" t="s">
        <v>14</v>
      </c>
    </row>
    <row r="699" spans="2:17" ht="39" thickBot="1" x14ac:dyDescent="0.3">
      <c r="B699" s="35">
        <v>14</v>
      </c>
      <c r="C699" s="34" t="s">
        <v>598</v>
      </c>
      <c r="D699" s="34" t="s">
        <v>598</v>
      </c>
      <c r="E699" s="42">
        <v>45583</v>
      </c>
      <c r="F699" s="38" t="s">
        <v>932</v>
      </c>
      <c r="G699" s="38" t="s">
        <v>1749</v>
      </c>
      <c r="H699" s="34" t="s">
        <v>629</v>
      </c>
      <c r="I699" s="34" t="s">
        <v>1750</v>
      </c>
      <c r="J699" s="34">
        <v>100000</v>
      </c>
      <c r="K699" s="34">
        <v>700000</v>
      </c>
      <c r="L699" s="38" t="s">
        <v>14</v>
      </c>
      <c r="M699" s="38" t="s">
        <v>14</v>
      </c>
      <c r="N699" s="39" t="s">
        <v>14</v>
      </c>
      <c r="O699" s="39" t="s">
        <v>14</v>
      </c>
      <c r="P699" s="39" t="s">
        <v>14</v>
      </c>
      <c r="Q699" s="38" t="s">
        <v>14</v>
      </c>
    </row>
    <row r="700" spans="2:17" ht="26.25" thickBot="1" x14ac:dyDescent="0.3">
      <c r="B700" s="35">
        <v>15</v>
      </c>
      <c r="C700" s="34" t="s">
        <v>598</v>
      </c>
      <c r="D700" s="34" t="s">
        <v>598</v>
      </c>
      <c r="E700" s="42">
        <v>45586</v>
      </c>
      <c r="F700" s="38" t="s">
        <v>1751</v>
      </c>
      <c r="G700" s="38" t="s">
        <v>1752</v>
      </c>
      <c r="H700" s="34" t="s">
        <v>14</v>
      </c>
      <c r="I700" s="34" t="s">
        <v>1753</v>
      </c>
      <c r="J700" s="34" t="s">
        <v>14</v>
      </c>
      <c r="K700" s="34" t="s">
        <v>14</v>
      </c>
      <c r="L700" s="38" t="s">
        <v>14</v>
      </c>
      <c r="M700" s="38" t="s">
        <v>14</v>
      </c>
      <c r="N700" s="39" t="s">
        <v>14</v>
      </c>
      <c r="O700" s="39" t="s">
        <v>14</v>
      </c>
      <c r="P700" s="39" t="s">
        <v>14</v>
      </c>
      <c r="Q700" s="38" t="s">
        <v>14</v>
      </c>
    </row>
    <row r="701" spans="2:17" ht="26.25" thickBot="1" x14ac:dyDescent="0.3">
      <c r="B701" s="35">
        <v>16</v>
      </c>
      <c r="C701" s="34" t="s">
        <v>598</v>
      </c>
      <c r="D701" s="34" t="s">
        <v>598</v>
      </c>
      <c r="E701" s="42">
        <v>45586</v>
      </c>
      <c r="F701" s="38" t="s">
        <v>1754</v>
      </c>
      <c r="G701" s="38" t="s">
        <v>1755</v>
      </c>
      <c r="H701" s="34" t="s">
        <v>629</v>
      </c>
      <c r="I701" s="34" t="s">
        <v>137</v>
      </c>
      <c r="J701" s="34">
        <v>5000</v>
      </c>
      <c r="K701" s="34">
        <v>45000</v>
      </c>
      <c r="L701" s="38" t="s">
        <v>14</v>
      </c>
      <c r="M701" s="38" t="s">
        <v>14</v>
      </c>
      <c r="N701" s="39" t="s">
        <v>14</v>
      </c>
      <c r="O701" s="39" t="s">
        <v>14</v>
      </c>
      <c r="P701" s="39" t="s">
        <v>14</v>
      </c>
      <c r="Q701" s="38" t="s">
        <v>14</v>
      </c>
    </row>
    <row r="702" spans="2:17" ht="51.75" thickBot="1" x14ac:dyDescent="0.3">
      <c r="B702" s="35">
        <v>17</v>
      </c>
      <c r="C702" s="34" t="s">
        <v>598</v>
      </c>
      <c r="D702" s="34" t="s">
        <v>598</v>
      </c>
      <c r="E702" s="42">
        <v>45588</v>
      </c>
      <c r="F702" s="38" t="s">
        <v>1756</v>
      </c>
      <c r="G702" s="38" t="s">
        <v>1757</v>
      </c>
      <c r="H702" s="34" t="s">
        <v>40</v>
      </c>
      <c r="I702" s="34" t="s">
        <v>280</v>
      </c>
      <c r="J702" s="34">
        <v>5000</v>
      </c>
      <c r="K702" s="34">
        <v>15000</v>
      </c>
      <c r="L702" s="38" t="s">
        <v>14</v>
      </c>
      <c r="M702" s="38" t="s">
        <v>14</v>
      </c>
      <c r="N702" s="39" t="s">
        <v>14</v>
      </c>
      <c r="O702" s="39" t="s">
        <v>14</v>
      </c>
      <c r="P702" s="39" t="s">
        <v>14</v>
      </c>
      <c r="Q702" s="38" t="s">
        <v>14</v>
      </c>
    </row>
    <row r="703" spans="2:17" ht="39" thickBot="1" x14ac:dyDescent="0.3">
      <c r="B703" s="35">
        <v>18</v>
      </c>
      <c r="C703" s="34" t="s">
        <v>598</v>
      </c>
      <c r="D703" s="34" t="s">
        <v>598</v>
      </c>
      <c r="E703" s="42">
        <v>45589</v>
      </c>
      <c r="F703" s="38" t="s">
        <v>1758</v>
      </c>
      <c r="G703" s="38" t="s">
        <v>1759</v>
      </c>
      <c r="H703" s="34" t="s">
        <v>40</v>
      </c>
      <c r="I703" s="34" t="s">
        <v>280</v>
      </c>
      <c r="J703" s="34">
        <v>5000</v>
      </c>
      <c r="K703" s="34">
        <v>15000</v>
      </c>
      <c r="L703" s="38" t="s">
        <v>14</v>
      </c>
      <c r="M703" s="38" t="s">
        <v>14</v>
      </c>
      <c r="N703" s="39" t="s">
        <v>14</v>
      </c>
      <c r="O703" s="39" t="s">
        <v>14</v>
      </c>
      <c r="P703" s="39" t="s">
        <v>14</v>
      </c>
      <c r="Q703" s="38" t="s">
        <v>14</v>
      </c>
    </row>
    <row r="704" spans="2:17" ht="26.25" thickBot="1" x14ac:dyDescent="0.3">
      <c r="B704" s="35">
        <v>19</v>
      </c>
      <c r="C704" s="34" t="s">
        <v>598</v>
      </c>
      <c r="D704" s="34" t="s">
        <v>598</v>
      </c>
      <c r="E704" s="42">
        <v>45591</v>
      </c>
      <c r="F704" s="38" t="s">
        <v>1760</v>
      </c>
      <c r="G704" s="38" t="s">
        <v>1761</v>
      </c>
      <c r="H704" s="34" t="s">
        <v>14</v>
      </c>
      <c r="I704" s="34" t="s">
        <v>1753</v>
      </c>
      <c r="J704" s="34" t="s">
        <v>14</v>
      </c>
      <c r="K704" s="34" t="s">
        <v>14</v>
      </c>
      <c r="L704" s="38" t="s">
        <v>14</v>
      </c>
      <c r="M704" s="38" t="s">
        <v>14</v>
      </c>
      <c r="N704" s="39" t="s">
        <v>14</v>
      </c>
      <c r="O704" s="39" t="s">
        <v>14</v>
      </c>
      <c r="P704" s="39" t="s">
        <v>14</v>
      </c>
      <c r="Q704" s="38" t="s">
        <v>14</v>
      </c>
    </row>
    <row r="705" spans="2:17" ht="39" thickBot="1" x14ac:dyDescent="0.3">
      <c r="B705" s="35">
        <v>20</v>
      </c>
      <c r="C705" s="34" t="s">
        <v>598</v>
      </c>
      <c r="D705" s="34" t="s">
        <v>598</v>
      </c>
      <c r="E705" s="42">
        <v>45593</v>
      </c>
      <c r="F705" s="38" t="s">
        <v>1404</v>
      </c>
      <c r="G705" s="38" t="s">
        <v>1762</v>
      </c>
      <c r="H705" s="34" t="s">
        <v>40</v>
      </c>
      <c r="I705" s="34" t="s">
        <v>1763</v>
      </c>
      <c r="J705" s="34">
        <v>5000</v>
      </c>
      <c r="K705" s="34">
        <v>95000</v>
      </c>
      <c r="L705" s="38" t="s">
        <v>14</v>
      </c>
      <c r="M705" s="38" t="s">
        <v>14</v>
      </c>
      <c r="N705" s="39" t="s">
        <v>14</v>
      </c>
      <c r="O705" s="39" t="s">
        <v>14</v>
      </c>
      <c r="P705" s="39" t="s">
        <v>14</v>
      </c>
      <c r="Q705" s="38" t="s">
        <v>14</v>
      </c>
    </row>
    <row r="706" spans="2:17" ht="39" thickBot="1" x14ac:dyDescent="0.3">
      <c r="B706" s="35">
        <v>21</v>
      </c>
      <c r="C706" s="34" t="s">
        <v>598</v>
      </c>
      <c r="D706" s="34" t="s">
        <v>598</v>
      </c>
      <c r="E706" s="42">
        <v>45595</v>
      </c>
      <c r="F706" s="38" t="s">
        <v>1764</v>
      </c>
      <c r="G706" s="38" t="s">
        <v>1765</v>
      </c>
      <c r="H706" s="34" t="s">
        <v>14</v>
      </c>
      <c r="I706" s="34" t="s">
        <v>1753</v>
      </c>
      <c r="J706" s="34" t="s">
        <v>14</v>
      </c>
      <c r="K706" s="34" t="s">
        <v>14</v>
      </c>
      <c r="L706" s="38" t="s">
        <v>14</v>
      </c>
      <c r="M706" s="38" t="s">
        <v>14</v>
      </c>
      <c r="N706" s="39" t="s">
        <v>14</v>
      </c>
      <c r="O706" s="39" t="s">
        <v>14</v>
      </c>
      <c r="P706" s="39" t="s">
        <v>14</v>
      </c>
      <c r="Q706" s="38" t="s">
        <v>14</v>
      </c>
    </row>
    <row r="707" spans="2:17" ht="26.25" thickBot="1" x14ac:dyDescent="0.3">
      <c r="B707" s="35">
        <v>22</v>
      </c>
      <c r="C707" s="34" t="s">
        <v>598</v>
      </c>
      <c r="D707" s="34" t="s">
        <v>598</v>
      </c>
      <c r="E707" s="42">
        <v>45595</v>
      </c>
      <c r="F707" s="38" t="s">
        <v>1766</v>
      </c>
      <c r="G707" s="38" t="s">
        <v>1767</v>
      </c>
      <c r="H707" s="34" t="s">
        <v>40</v>
      </c>
      <c r="I707" s="34" t="s">
        <v>267</v>
      </c>
      <c r="J707" s="34">
        <v>80000</v>
      </c>
      <c r="K707" s="34">
        <v>20000</v>
      </c>
      <c r="L707" s="38" t="s">
        <v>14</v>
      </c>
      <c r="M707" s="38" t="s">
        <v>14</v>
      </c>
      <c r="N707" s="39" t="s">
        <v>14</v>
      </c>
      <c r="O707" s="39" t="s">
        <v>14</v>
      </c>
      <c r="P707" s="39" t="s">
        <v>14</v>
      </c>
      <c r="Q707" s="38" t="s">
        <v>14</v>
      </c>
    </row>
    <row r="708" spans="2:17" ht="26.25" thickBot="1" x14ac:dyDescent="0.3">
      <c r="B708" s="35">
        <v>23</v>
      </c>
      <c r="C708" s="34" t="s">
        <v>598</v>
      </c>
      <c r="D708" s="34" t="s">
        <v>598</v>
      </c>
      <c r="E708" s="42">
        <v>45595</v>
      </c>
      <c r="F708" s="38" t="s">
        <v>253</v>
      </c>
      <c r="G708" s="38" t="s">
        <v>1768</v>
      </c>
      <c r="H708" s="34" t="s">
        <v>40</v>
      </c>
      <c r="I708" s="34" t="s">
        <v>896</v>
      </c>
      <c r="J708" s="34">
        <v>5000</v>
      </c>
      <c r="K708" s="34">
        <v>95000</v>
      </c>
      <c r="L708" s="38" t="s">
        <v>14</v>
      </c>
      <c r="M708" s="38" t="s">
        <v>14</v>
      </c>
      <c r="N708" s="39" t="s">
        <v>14</v>
      </c>
      <c r="O708" s="39" t="s">
        <v>14</v>
      </c>
      <c r="P708" s="39" t="s">
        <v>14</v>
      </c>
      <c r="Q708" s="38" t="s">
        <v>14</v>
      </c>
    </row>
    <row r="709" spans="2:17" ht="39" thickBot="1" x14ac:dyDescent="0.3">
      <c r="B709" s="35">
        <v>24</v>
      </c>
      <c r="C709" s="34" t="s">
        <v>598</v>
      </c>
      <c r="D709" s="34" t="s">
        <v>598</v>
      </c>
      <c r="E709" s="36" t="s">
        <v>1769</v>
      </c>
      <c r="F709" s="38" t="s">
        <v>120</v>
      </c>
      <c r="G709" s="38" t="s">
        <v>1770</v>
      </c>
      <c r="H709" s="34" t="s">
        <v>40</v>
      </c>
      <c r="I709" s="34" t="s">
        <v>1771</v>
      </c>
      <c r="J709" s="34">
        <v>20000</v>
      </c>
      <c r="K709" s="34">
        <v>180000</v>
      </c>
      <c r="L709" s="38"/>
      <c r="M709" s="38"/>
      <c r="N709" s="39"/>
      <c r="O709" s="39"/>
      <c r="P709" s="39"/>
      <c r="Q709" s="38"/>
    </row>
    <row r="710" spans="2:17" ht="26.25" thickBot="1" x14ac:dyDescent="0.3">
      <c r="B710" s="35">
        <v>25</v>
      </c>
      <c r="C710" s="34" t="s">
        <v>598</v>
      </c>
      <c r="D710" s="34" t="s">
        <v>598</v>
      </c>
      <c r="E710" s="42">
        <v>45596</v>
      </c>
      <c r="F710" s="38" t="s">
        <v>1772</v>
      </c>
      <c r="G710" s="38" t="s">
        <v>1773</v>
      </c>
      <c r="H710" s="34" t="s">
        <v>1774</v>
      </c>
      <c r="I710" s="34" t="s">
        <v>1753</v>
      </c>
      <c r="J710" s="34" t="s">
        <v>14</v>
      </c>
      <c r="K710" s="34" t="s">
        <v>14</v>
      </c>
      <c r="L710" s="38" t="s">
        <v>14</v>
      </c>
      <c r="M710" s="38" t="s">
        <v>14</v>
      </c>
      <c r="N710" s="39" t="s">
        <v>14</v>
      </c>
      <c r="O710" s="39" t="s">
        <v>14</v>
      </c>
      <c r="P710" s="39" t="s">
        <v>14</v>
      </c>
      <c r="Q710" s="38" t="s">
        <v>14</v>
      </c>
    </row>
    <row r="711" spans="2:17" ht="26.25" thickBot="1" x14ac:dyDescent="0.3">
      <c r="B711" s="35">
        <v>26</v>
      </c>
      <c r="C711" s="34" t="s">
        <v>598</v>
      </c>
      <c r="D711" s="34" t="s">
        <v>598</v>
      </c>
      <c r="E711" s="42">
        <v>45596</v>
      </c>
      <c r="F711" s="38" t="s">
        <v>249</v>
      </c>
      <c r="G711" s="38" t="s">
        <v>1775</v>
      </c>
      <c r="H711" s="34" t="s">
        <v>1774</v>
      </c>
      <c r="I711" s="34" t="s">
        <v>1776</v>
      </c>
      <c r="J711" s="34">
        <v>990000</v>
      </c>
      <c r="K711" s="34">
        <v>4010000</v>
      </c>
      <c r="L711" s="38" t="s">
        <v>14</v>
      </c>
      <c r="M711" s="38" t="s">
        <v>14</v>
      </c>
      <c r="N711" s="39" t="s">
        <v>14</v>
      </c>
      <c r="O711" s="39" t="s">
        <v>14</v>
      </c>
      <c r="P711" s="39" t="s">
        <v>14</v>
      </c>
      <c r="Q711" s="38" t="s">
        <v>14</v>
      </c>
    </row>
    <row r="712" spans="2:17" ht="26.25" thickBot="1" x14ac:dyDescent="0.3">
      <c r="B712" s="35">
        <v>27</v>
      </c>
      <c r="C712" s="34" t="s">
        <v>598</v>
      </c>
      <c r="D712" s="34" t="s">
        <v>598</v>
      </c>
      <c r="E712" s="42">
        <v>45596</v>
      </c>
      <c r="F712" s="38" t="s">
        <v>1777</v>
      </c>
      <c r="G712" s="38" t="s">
        <v>1778</v>
      </c>
      <c r="H712" s="34" t="s">
        <v>629</v>
      </c>
      <c r="I712" s="34" t="s">
        <v>188</v>
      </c>
      <c r="J712" s="34">
        <v>500</v>
      </c>
      <c r="K712" s="34">
        <v>9500</v>
      </c>
      <c r="L712" s="38" t="s">
        <v>14</v>
      </c>
      <c r="M712" s="38" t="s">
        <v>14</v>
      </c>
      <c r="N712" s="39" t="s">
        <v>14</v>
      </c>
      <c r="O712" s="39" t="s">
        <v>14</v>
      </c>
      <c r="P712" s="39" t="s">
        <v>14</v>
      </c>
      <c r="Q712" s="38" t="s">
        <v>14</v>
      </c>
    </row>
    <row r="713" spans="2:17" ht="51.75" thickBot="1" x14ac:dyDescent="0.3">
      <c r="B713" s="35">
        <v>28</v>
      </c>
      <c r="C713" s="34" t="s">
        <v>598</v>
      </c>
      <c r="D713" s="34" t="s">
        <v>598</v>
      </c>
      <c r="E713" s="42">
        <v>45596</v>
      </c>
      <c r="F713" s="38" t="s">
        <v>1779</v>
      </c>
      <c r="G713" s="38" t="s">
        <v>1780</v>
      </c>
      <c r="H713" s="34" t="s">
        <v>858</v>
      </c>
      <c r="I713" s="34" t="s">
        <v>1732</v>
      </c>
      <c r="J713" s="34">
        <v>10000</v>
      </c>
      <c r="K713" s="34">
        <v>1990000</v>
      </c>
      <c r="L713" s="38" t="s">
        <v>14</v>
      </c>
      <c r="M713" s="38" t="s">
        <v>14</v>
      </c>
      <c r="N713" s="39" t="s">
        <v>14</v>
      </c>
      <c r="O713" s="39" t="s">
        <v>14</v>
      </c>
      <c r="P713" s="39" t="s">
        <v>14</v>
      </c>
      <c r="Q713" s="38" t="s">
        <v>14</v>
      </c>
    </row>
    <row r="714" spans="2:17" ht="39" thickBot="1" x14ac:dyDescent="0.3">
      <c r="B714" s="35">
        <v>29</v>
      </c>
      <c r="C714" s="34" t="s">
        <v>598</v>
      </c>
      <c r="D714" s="34" t="s">
        <v>598</v>
      </c>
      <c r="E714" s="42">
        <v>45596</v>
      </c>
      <c r="F714" s="38" t="s">
        <v>1781</v>
      </c>
      <c r="G714" s="38" t="s">
        <v>1782</v>
      </c>
      <c r="H714" s="34" t="s">
        <v>1783</v>
      </c>
      <c r="I714" s="34" t="s">
        <v>1784</v>
      </c>
      <c r="J714" s="34">
        <v>80000</v>
      </c>
      <c r="K714" s="34">
        <v>120000</v>
      </c>
      <c r="L714" s="38" t="s">
        <v>14</v>
      </c>
      <c r="M714" s="38" t="s">
        <v>14</v>
      </c>
      <c r="N714" s="39" t="s">
        <v>14</v>
      </c>
      <c r="O714" s="39" t="s">
        <v>14</v>
      </c>
      <c r="P714" s="39" t="s">
        <v>14</v>
      </c>
      <c r="Q714" s="38" t="s">
        <v>14</v>
      </c>
    </row>
    <row r="715" spans="2:17" ht="51.75" thickBot="1" x14ac:dyDescent="0.3">
      <c r="B715" s="35">
        <v>30</v>
      </c>
      <c r="C715" s="34" t="s">
        <v>598</v>
      </c>
      <c r="D715" s="34" t="s">
        <v>598</v>
      </c>
      <c r="E715" s="42">
        <v>45596</v>
      </c>
      <c r="F715" s="38" t="s">
        <v>120</v>
      </c>
      <c r="G715" s="38" t="s">
        <v>1785</v>
      </c>
      <c r="H715" s="34" t="s">
        <v>1774</v>
      </c>
      <c r="I715" s="34" t="s">
        <v>268</v>
      </c>
      <c r="J715" s="34">
        <v>10000</v>
      </c>
      <c r="K715" s="34">
        <v>490000</v>
      </c>
      <c r="L715" s="38" t="s">
        <v>14</v>
      </c>
      <c r="M715" s="38" t="s">
        <v>14</v>
      </c>
      <c r="N715" s="39" t="s">
        <v>14</v>
      </c>
      <c r="O715" s="39" t="s">
        <v>14</v>
      </c>
      <c r="P715" s="39" t="s">
        <v>14</v>
      </c>
      <c r="Q715" s="38" t="s">
        <v>14</v>
      </c>
    </row>
    <row r="716" spans="2:17" ht="26.25" thickBot="1" x14ac:dyDescent="0.3">
      <c r="B716" s="35">
        <v>31</v>
      </c>
      <c r="C716" s="34" t="s">
        <v>598</v>
      </c>
      <c r="D716" s="34" t="s">
        <v>598</v>
      </c>
      <c r="E716" s="42">
        <v>45596</v>
      </c>
      <c r="F716" s="38" t="s">
        <v>1371</v>
      </c>
      <c r="G716" s="38" t="s">
        <v>1786</v>
      </c>
      <c r="H716" s="34" t="s">
        <v>1774</v>
      </c>
      <c r="I716" s="34" t="s">
        <v>459</v>
      </c>
      <c r="J716" s="34">
        <v>500</v>
      </c>
      <c r="K716" s="34">
        <v>499500</v>
      </c>
      <c r="L716" s="38"/>
      <c r="M716" s="38"/>
      <c r="N716" s="39"/>
      <c r="O716" s="39"/>
      <c r="P716" s="39"/>
      <c r="Q716" s="38"/>
    </row>
    <row r="717" spans="2:17" ht="15.75" thickBot="1" x14ac:dyDescent="0.3">
      <c r="B717" s="35"/>
      <c r="C717" s="34"/>
      <c r="D717" s="34"/>
      <c r="E717" s="36"/>
      <c r="F717" s="38"/>
      <c r="G717" s="38" t="s">
        <v>19</v>
      </c>
      <c r="H717" s="34"/>
      <c r="I717" s="34"/>
      <c r="J717" s="83">
        <v>2351500</v>
      </c>
      <c r="K717" s="83">
        <v>23048500</v>
      </c>
      <c r="L717" s="38"/>
      <c r="M717" s="38"/>
      <c r="N717" s="39"/>
      <c r="O717" s="39"/>
      <c r="P717" s="39"/>
      <c r="Q717" s="38"/>
    </row>
    <row r="718" spans="2:17" x14ac:dyDescent="0.25">
      <c r="B718" s="48" t="s">
        <v>700</v>
      </c>
    </row>
    <row r="719" spans="2:17" ht="15.75" thickBot="1" x14ac:dyDescent="0.3">
      <c r="B719" s="49" t="s">
        <v>998</v>
      </c>
    </row>
    <row r="720" spans="2:17" ht="117" customHeight="1" thickBot="1" x14ac:dyDescent="0.3">
      <c r="B720" s="86" t="s">
        <v>589</v>
      </c>
      <c r="C720" s="86" t="s">
        <v>0</v>
      </c>
      <c r="D720" s="86" t="s">
        <v>590</v>
      </c>
      <c r="E720" s="86" t="s">
        <v>1</v>
      </c>
      <c r="F720" s="86" t="s">
        <v>592</v>
      </c>
      <c r="G720" s="86" t="s">
        <v>702</v>
      </c>
      <c r="H720" s="86" t="s">
        <v>4</v>
      </c>
      <c r="I720" s="86" t="s">
        <v>703</v>
      </c>
      <c r="J720" s="86" t="s">
        <v>595</v>
      </c>
      <c r="K720" s="86" t="s">
        <v>596</v>
      </c>
      <c r="L720" s="97" t="s">
        <v>8</v>
      </c>
      <c r="M720" s="85"/>
      <c r="N720" s="84" t="s">
        <v>9</v>
      </c>
      <c r="O720" s="85"/>
      <c r="P720" s="84" t="s">
        <v>10</v>
      </c>
      <c r="Q720" s="93"/>
    </row>
    <row r="721" spans="2:17" ht="15.75" thickBot="1" x14ac:dyDescent="0.3">
      <c r="B721" s="58"/>
      <c r="C721" s="58"/>
      <c r="D721" s="58"/>
      <c r="E721" s="58"/>
      <c r="F721" s="58"/>
      <c r="G721" s="58"/>
      <c r="H721" s="58"/>
      <c r="I721" s="58"/>
      <c r="J721" s="58"/>
      <c r="K721" s="58"/>
      <c r="L721" s="33" t="s">
        <v>11</v>
      </c>
      <c r="M721" s="33" t="s">
        <v>597</v>
      </c>
      <c r="N721" s="33" t="s">
        <v>11</v>
      </c>
      <c r="O721" s="33" t="s">
        <v>597</v>
      </c>
      <c r="P721" s="33" t="s">
        <v>11</v>
      </c>
      <c r="Q721" s="34" t="s">
        <v>597</v>
      </c>
    </row>
    <row r="722" spans="2:17" ht="15.75" thickBot="1" x14ac:dyDescent="0.3">
      <c r="B722" s="35">
        <v>1</v>
      </c>
      <c r="C722" s="34">
        <v>2</v>
      </c>
      <c r="D722" s="34">
        <v>3</v>
      </c>
      <c r="E722" s="34">
        <v>4</v>
      </c>
      <c r="F722" s="34">
        <v>5</v>
      </c>
      <c r="G722" s="34">
        <v>6</v>
      </c>
      <c r="H722" s="34">
        <v>7</v>
      </c>
      <c r="I722" s="34">
        <v>8</v>
      </c>
      <c r="J722" s="34">
        <v>9</v>
      </c>
      <c r="K722" s="34">
        <v>10</v>
      </c>
      <c r="L722" s="34">
        <v>11</v>
      </c>
      <c r="M722" s="34">
        <v>12</v>
      </c>
      <c r="N722" s="33">
        <v>13</v>
      </c>
      <c r="O722" s="33">
        <v>14</v>
      </c>
      <c r="P722" s="33">
        <v>15</v>
      </c>
      <c r="Q722" s="34">
        <v>16</v>
      </c>
    </row>
    <row r="723" spans="2:17" ht="15.75" thickBot="1" x14ac:dyDescent="0.3">
      <c r="B723" s="35"/>
      <c r="C723" s="34"/>
      <c r="D723" s="34"/>
      <c r="E723" s="34"/>
      <c r="F723" s="38"/>
      <c r="G723" s="34"/>
      <c r="H723" s="34"/>
      <c r="I723" s="34"/>
      <c r="J723" s="38"/>
      <c r="K723" s="34"/>
      <c r="L723" s="34"/>
      <c r="M723" s="34"/>
      <c r="N723" s="33"/>
      <c r="O723" s="33"/>
      <c r="P723" s="33"/>
      <c r="Q723" s="34"/>
    </row>
    <row r="724" spans="2:17" x14ac:dyDescent="0.25">
      <c r="B724" s="48" t="s">
        <v>1588</v>
      </c>
    </row>
    <row r="725" spans="2:17" ht="15.75" thickBot="1" x14ac:dyDescent="0.3">
      <c r="B725" s="48" t="s">
        <v>1589</v>
      </c>
      <c r="H725" s="48" t="s">
        <v>1590</v>
      </c>
    </row>
    <row r="726" spans="2:17" ht="15" customHeight="1" thickBot="1" x14ac:dyDescent="0.3">
      <c r="B726" s="86" t="s">
        <v>589</v>
      </c>
      <c r="C726" s="86" t="s">
        <v>0</v>
      </c>
      <c r="D726" s="86" t="s">
        <v>713</v>
      </c>
      <c r="E726" s="94" t="s">
        <v>67</v>
      </c>
      <c r="F726" s="95"/>
      <c r="G726" s="96"/>
      <c r="H726" s="86" t="s">
        <v>714</v>
      </c>
      <c r="I726" s="97" t="s">
        <v>8</v>
      </c>
      <c r="J726" s="85"/>
      <c r="K726" s="84" t="s">
        <v>9</v>
      </c>
      <c r="L726" s="85"/>
      <c r="M726" s="84" t="s">
        <v>10</v>
      </c>
      <c r="N726" s="93"/>
    </row>
    <row r="727" spans="2:17" ht="15.75" thickBot="1" x14ac:dyDescent="0.3">
      <c r="B727" s="58"/>
      <c r="C727" s="58"/>
      <c r="D727" s="58"/>
      <c r="E727" s="34" t="s">
        <v>68</v>
      </c>
      <c r="F727" s="34" t="s">
        <v>715</v>
      </c>
      <c r="G727" s="34" t="s">
        <v>716</v>
      </c>
      <c r="H727" s="58"/>
      <c r="I727" s="33" t="s">
        <v>11</v>
      </c>
      <c r="J727" s="33" t="s">
        <v>597</v>
      </c>
      <c r="K727" s="33" t="s">
        <v>11</v>
      </c>
      <c r="L727" s="33" t="s">
        <v>597</v>
      </c>
      <c r="M727" s="33" t="s">
        <v>11</v>
      </c>
      <c r="N727" s="34" t="s">
        <v>597</v>
      </c>
    </row>
    <row r="728" spans="2:17" ht="15.75" thickBot="1" x14ac:dyDescent="0.3">
      <c r="B728" s="35">
        <v>1</v>
      </c>
      <c r="C728" s="34">
        <v>2</v>
      </c>
      <c r="D728" s="34">
        <v>3</v>
      </c>
      <c r="E728" s="34">
        <v>4</v>
      </c>
      <c r="F728" s="34">
        <v>5</v>
      </c>
      <c r="G728" s="34">
        <v>6</v>
      </c>
      <c r="H728" s="34">
        <v>7</v>
      </c>
      <c r="I728" s="33">
        <v>8</v>
      </c>
      <c r="J728" s="34">
        <v>9</v>
      </c>
      <c r="K728" s="33">
        <v>10</v>
      </c>
      <c r="L728" s="33">
        <v>11</v>
      </c>
      <c r="M728" s="33">
        <v>12</v>
      </c>
      <c r="N728" s="34">
        <v>13</v>
      </c>
    </row>
    <row r="729" spans="2:17" ht="217.5" thickBot="1" x14ac:dyDescent="0.3">
      <c r="B729" s="35">
        <v>1</v>
      </c>
      <c r="C729" s="34" t="s">
        <v>598</v>
      </c>
      <c r="D729" s="40">
        <v>45585</v>
      </c>
      <c r="E729" s="34" t="s">
        <v>14</v>
      </c>
      <c r="F729" s="34" t="s">
        <v>14</v>
      </c>
      <c r="G729" s="38" t="s">
        <v>1787</v>
      </c>
      <c r="H729" s="38" t="s">
        <v>1788</v>
      </c>
      <c r="I729" s="33" t="s">
        <v>14</v>
      </c>
      <c r="J729" s="34">
        <v>1</v>
      </c>
      <c r="K729" s="33" t="s">
        <v>14</v>
      </c>
      <c r="L729" s="33"/>
      <c r="M729" s="33" t="s">
        <v>14</v>
      </c>
      <c r="N729" s="34">
        <v>1</v>
      </c>
    </row>
    <row r="730" spans="2:17" ht="15.75" thickBot="1" x14ac:dyDescent="0.3">
      <c r="B730" s="35"/>
      <c r="C730" s="34"/>
      <c r="D730" s="34"/>
      <c r="E730" s="34"/>
      <c r="F730" s="34"/>
      <c r="G730" s="34"/>
      <c r="H730" s="34" t="s">
        <v>19</v>
      </c>
      <c r="I730" s="34" t="s">
        <v>14</v>
      </c>
      <c r="J730" s="34">
        <v>1</v>
      </c>
      <c r="K730" s="33"/>
      <c r="L730" s="33"/>
      <c r="M730" s="33" t="s">
        <v>14</v>
      </c>
      <c r="N730" s="34" t="s">
        <v>14</v>
      </c>
    </row>
    <row r="731" spans="2:17" x14ac:dyDescent="0.25">
      <c r="B731" s="81" t="s">
        <v>274</v>
      </c>
    </row>
    <row r="732" spans="2:17" x14ac:dyDescent="0.25">
      <c r="B732" s="21"/>
    </row>
    <row r="744" spans="2:2" x14ac:dyDescent="0.25">
      <c r="B744" t="s">
        <v>4901</v>
      </c>
    </row>
    <row r="745" spans="2:2" x14ac:dyDescent="0.25">
      <c r="B745" t="s">
        <v>4902</v>
      </c>
    </row>
    <row r="746" spans="2:2" x14ac:dyDescent="0.25">
      <c r="B746" t="s">
        <v>4903</v>
      </c>
    </row>
    <row r="747" spans="2:2" x14ac:dyDescent="0.25">
      <c r="B747" t="s">
        <v>4904</v>
      </c>
    </row>
    <row r="748" spans="2:2" x14ac:dyDescent="0.25">
      <c r="B748" t="s">
        <v>4905</v>
      </c>
    </row>
    <row r="749" spans="2:2" x14ac:dyDescent="0.25">
      <c r="B749" t="s">
        <v>4906</v>
      </c>
    </row>
    <row r="750" spans="2:2" x14ac:dyDescent="0.25">
      <c r="B750" t="s">
        <v>4907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Sheet1</vt:lpstr>
      <vt:lpstr>All-Final</vt:lpstr>
      <vt:lpstr>Sheet2</vt:lpstr>
      <vt:lpstr>ALM</vt:lpstr>
      <vt:lpstr>BGR</vt:lpstr>
      <vt:lpstr>CMI</vt:lpstr>
      <vt:lpstr>CPT</vt:lpstr>
      <vt:lpstr>DDN</vt:lpstr>
      <vt:lpstr>HDR</vt:lpstr>
      <vt:lpstr>NTL</vt:lpstr>
      <vt:lpstr>PWL</vt:lpstr>
      <vt:lpstr>PTH</vt:lpstr>
      <vt:lpstr>RPG</vt:lpstr>
      <vt:lpstr>TWL</vt:lpstr>
      <vt:lpstr>UDN</vt:lpstr>
      <vt:lpstr>UKI</vt:lpstr>
      <vt:lpstr>Rescue</vt:lpstr>
      <vt:lpstr>Forest Fire</vt: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Yogesh Yadav</cp:lastModifiedBy>
  <cp:lastPrinted>2025-04-01T08:38:45Z</cp:lastPrinted>
  <dcterms:created xsi:type="dcterms:W3CDTF">2015-06-05T18:17:20Z</dcterms:created>
  <dcterms:modified xsi:type="dcterms:W3CDTF">2025-07-10T07:34:21Z</dcterms:modified>
</cp:coreProperties>
</file>